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7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8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2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3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14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Ross\Desktop\GABM Epidemic Round #2\Analysis\Collective Analysis\"/>
    </mc:Choice>
  </mc:AlternateContent>
  <xr:revisionPtr revIDLastSave="0" documentId="13_ncr:1_{42ED486F-E852-46DC-B922-D857D95BF8BD}" xr6:coauthVersionLast="47" xr6:coauthVersionMax="47" xr10:uidLastSave="{00000000-0000-0000-0000-000000000000}"/>
  <bookViews>
    <workbookView xWindow="91965" yWindow="2985" windowWidth="28800" windowHeight="15225" activeTab="3" xr2:uid="{00000000-000D-0000-FFFF-FFFF00000000}"/>
  </bookViews>
  <sheets>
    <sheet name="Bar Chart Medians" sheetId="22" r:id="rId1"/>
    <sheet name="GraphsTime" sheetId="20" r:id="rId2"/>
    <sheet name="Bar Graphs Means" sheetId="21" r:id="rId3"/>
    <sheet name="Mobility Curve FF" sheetId="19" r:id="rId4"/>
    <sheet name="Infected NF" sheetId="1" r:id="rId5"/>
    <sheet name="Infected SF" sheetId="2" r:id="rId6"/>
    <sheet name="Infected FF" sheetId="3" r:id="rId7"/>
    <sheet name="Mobility NF" sheetId="4" r:id="rId8"/>
    <sheet name="Mobility SF" sheetId="5" r:id="rId9"/>
    <sheet name="Mobility FF" sheetId="6" r:id="rId10"/>
    <sheet name="# Out NF" sheetId="7" r:id="rId11"/>
    <sheet name="# Out SF" sheetId="8" r:id="rId12"/>
    <sheet name="# Out FF" sheetId="9" r:id="rId13"/>
    <sheet name="New Infections NF" sheetId="10" r:id="rId14"/>
    <sheet name="New Infections SF" sheetId="11" r:id="rId15"/>
    <sheet name="New Infections FF" sheetId="12" r:id="rId16"/>
    <sheet name="DNC4 NF" sheetId="13" r:id="rId17"/>
    <sheet name="DNC4 SF" sheetId="14" r:id="rId18"/>
    <sheet name="DNC4 FF" sheetId="16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1" l="1"/>
  <c r="B39" i="10"/>
  <c r="B37" i="7"/>
  <c r="V9" i="22"/>
  <c r="U9" i="22"/>
  <c r="T9" i="22"/>
  <c r="V8" i="22"/>
  <c r="U8" i="22"/>
  <c r="T8" i="22"/>
  <c r="P9" i="22"/>
  <c r="O9" i="22"/>
  <c r="P8" i="22"/>
  <c r="O8" i="22"/>
  <c r="J9" i="22"/>
  <c r="H9" i="22"/>
  <c r="J8" i="22"/>
  <c r="H8" i="22"/>
  <c r="C9" i="22"/>
  <c r="D9" i="22"/>
  <c r="B9" i="22"/>
  <c r="C8" i="22"/>
  <c r="D8" i="22"/>
  <c r="B8" i="22"/>
  <c r="J5" i="22"/>
  <c r="J6" i="22"/>
  <c r="J4" i="22"/>
  <c r="B220" i="12"/>
  <c r="B219" i="12"/>
  <c r="B218" i="12"/>
  <c r="I5" i="22"/>
  <c r="I6" i="22"/>
  <c r="I4" i="22"/>
  <c r="I9" i="22" s="1"/>
  <c r="B54" i="11"/>
  <c r="B53" i="11"/>
  <c r="B52" i="11"/>
  <c r="H5" i="22"/>
  <c r="H6" i="22"/>
  <c r="H4" i="22"/>
  <c r="B46" i="10"/>
  <c r="B45" i="10"/>
  <c r="B44" i="10"/>
  <c r="B34" i="10"/>
  <c r="B5" i="22"/>
  <c r="B6" i="22"/>
  <c r="B4" i="22"/>
  <c r="O39" i="7"/>
  <c r="O40" i="7"/>
  <c r="O38" i="7"/>
  <c r="D5" i="22"/>
  <c r="D6" i="22"/>
  <c r="D4" i="22"/>
  <c r="O211" i="9"/>
  <c r="O210" i="9"/>
  <c r="O209" i="9"/>
  <c r="C5" i="22"/>
  <c r="C6" i="22"/>
  <c r="C4" i="22"/>
  <c r="O48" i="8"/>
  <c r="O39" i="8"/>
  <c r="O42" i="8" s="1"/>
  <c r="C3" i="21" s="1"/>
  <c r="O47" i="8"/>
  <c r="O46" i="8"/>
  <c r="P39" i="8"/>
  <c r="P5" i="22"/>
  <c r="P6" i="22"/>
  <c r="P4" i="22"/>
  <c r="C213" i="12"/>
  <c r="D213" i="12"/>
  <c r="E213" i="12"/>
  <c r="F213" i="12"/>
  <c r="G213" i="12"/>
  <c r="H213" i="12"/>
  <c r="I213" i="12"/>
  <c r="J213" i="12"/>
  <c r="K213" i="12"/>
  <c r="B213" i="12"/>
  <c r="B214" i="12"/>
  <c r="O5" i="22"/>
  <c r="O6" i="22"/>
  <c r="O4" i="22"/>
  <c r="C47" i="11"/>
  <c r="D47" i="11"/>
  <c r="E47" i="11"/>
  <c r="F47" i="11"/>
  <c r="G47" i="11"/>
  <c r="H47" i="11"/>
  <c r="I47" i="11"/>
  <c r="J47" i="11"/>
  <c r="K47" i="11"/>
  <c r="B47" i="11"/>
  <c r="B48" i="11"/>
  <c r="N5" i="22"/>
  <c r="N6" i="22"/>
  <c r="B40" i="10"/>
  <c r="N4" i="22" s="1"/>
  <c r="C39" i="10"/>
  <c r="D39" i="10"/>
  <c r="E39" i="10"/>
  <c r="F39" i="10"/>
  <c r="G39" i="10"/>
  <c r="H39" i="10"/>
  <c r="I39" i="10"/>
  <c r="J39" i="10"/>
  <c r="K39" i="10"/>
  <c r="B205" i="16"/>
  <c r="B50" i="8"/>
  <c r="B47" i="8"/>
  <c r="T4" i="22"/>
  <c r="C37" i="7"/>
  <c r="AF4" i="21"/>
  <c r="AG4" i="21"/>
  <c r="AH4" i="21"/>
  <c r="AH3" i="21"/>
  <c r="AG3" i="21"/>
  <c r="AF3" i="21"/>
  <c r="AH2" i="21"/>
  <c r="AL3" i="21" s="1"/>
  <c r="AG2" i="21"/>
  <c r="AF2" i="21"/>
  <c r="D34" i="7"/>
  <c r="D33" i="7"/>
  <c r="J3" i="7"/>
  <c r="D44" i="8"/>
  <c r="D43" i="8"/>
  <c r="D42" i="8"/>
  <c r="AB5" i="21"/>
  <c r="AA5" i="21"/>
  <c r="Z5" i="21"/>
  <c r="Q3" i="12"/>
  <c r="Q3" i="11"/>
  <c r="P2" i="10"/>
  <c r="T3" i="21"/>
  <c r="L57" i="16"/>
  <c r="P39" i="11"/>
  <c r="M3" i="11"/>
  <c r="AE3" i="20"/>
  <c r="AE4" i="20"/>
  <c r="AE5" i="20"/>
  <c r="AE6" i="20"/>
  <c r="AE7" i="20"/>
  <c r="AE8" i="20"/>
  <c r="AE9" i="20"/>
  <c r="AE10" i="20"/>
  <c r="AE11" i="20"/>
  <c r="AE12" i="20"/>
  <c r="AE13" i="20"/>
  <c r="AE14" i="20"/>
  <c r="AE15" i="20"/>
  <c r="AE16" i="20"/>
  <c r="AE17" i="20"/>
  <c r="AE18" i="20"/>
  <c r="AE19" i="20"/>
  <c r="AE20" i="20"/>
  <c r="AE21" i="20"/>
  <c r="AE22" i="20"/>
  <c r="AE2" i="20"/>
  <c r="AF3" i="20"/>
  <c r="AF4" i="20"/>
  <c r="AF5" i="20"/>
  <c r="AF6" i="20"/>
  <c r="AF7" i="20"/>
  <c r="AF8" i="20"/>
  <c r="AF9" i="20"/>
  <c r="AF10" i="20"/>
  <c r="AF11" i="20"/>
  <c r="AF12" i="20"/>
  <c r="AF13" i="20"/>
  <c r="AF14" i="20"/>
  <c r="AF15" i="20"/>
  <c r="AF16" i="20"/>
  <c r="AF17" i="20"/>
  <c r="AF18" i="20"/>
  <c r="AF19" i="20"/>
  <c r="AF20" i="20"/>
  <c r="AF21" i="20"/>
  <c r="AF22" i="20"/>
  <c r="AF23" i="20"/>
  <c r="AF24" i="20"/>
  <c r="AF25" i="20"/>
  <c r="AF26" i="20"/>
  <c r="AF27" i="20"/>
  <c r="AF28" i="20"/>
  <c r="AF29" i="20"/>
  <c r="AF30" i="20"/>
  <c r="AF31" i="20"/>
  <c r="AF32" i="20"/>
  <c r="AF33" i="20"/>
  <c r="AF34" i="20"/>
  <c r="AF35" i="20"/>
  <c r="AF36" i="20"/>
  <c r="AF2" i="20"/>
  <c r="AG2" i="20"/>
  <c r="AG3" i="20"/>
  <c r="AG4" i="20"/>
  <c r="AG5" i="20"/>
  <c r="AG6" i="20"/>
  <c r="AG7" i="20"/>
  <c r="AG8" i="20"/>
  <c r="AG9" i="20"/>
  <c r="AG10" i="20"/>
  <c r="AG11" i="20"/>
  <c r="AG12" i="20"/>
  <c r="AG13" i="20"/>
  <c r="AG14" i="20"/>
  <c r="AG15" i="20"/>
  <c r="AG16" i="20"/>
  <c r="AG17" i="20"/>
  <c r="AG18" i="20"/>
  <c r="AG19" i="20"/>
  <c r="AG20" i="20"/>
  <c r="AG21" i="20"/>
  <c r="AG22" i="20"/>
  <c r="AG23" i="20"/>
  <c r="AG24" i="20"/>
  <c r="AG25" i="20"/>
  <c r="AG26" i="20"/>
  <c r="AG27" i="20"/>
  <c r="AG28" i="20"/>
  <c r="AG29" i="20"/>
  <c r="AG30" i="20"/>
  <c r="AG31" i="20"/>
  <c r="AG32" i="20"/>
  <c r="AG33" i="20"/>
  <c r="AG34" i="20"/>
  <c r="AG35" i="20"/>
  <c r="AG36" i="20"/>
  <c r="M39" i="11"/>
  <c r="M40" i="11"/>
  <c r="AG37" i="20"/>
  <c r="AG38" i="20"/>
  <c r="AG39" i="20"/>
  <c r="AG40" i="20"/>
  <c r="AG41" i="20"/>
  <c r="AG42" i="20"/>
  <c r="AG43" i="20"/>
  <c r="AG44" i="20"/>
  <c r="AG45" i="20"/>
  <c r="AG46" i="20"/>
  <c r="AG47" i="20"/>
  <c r="AG48" i="20"/>
  <c r="AG49" i="20"/>
  <c r="AG50" i="20"/>
  <c r="AG51" i="20"/>
  <c r="AG52" i="20"/>
  <c r="AG53" i="20"/>
  <c r="AG54" i="20"/>
  <c r="AG55" i="20"/>
  <c r="AG56" i="20"/>
  <c r="AG57" i="20"/>
  <c r="AG58" i="20"/>
  <c r="AG59" i="20"/>
  <c r="AG60" i="20"/>
  <c r="AG61" i="20"/>
  <c r="AG62" i="20"/>
  <c r="AG63" i="20"/>
  <c r="AG64" i="20"/>
  <c r="AG65" i="20"/>
  <c r="AG66" i="20"/>
  <c r="AG67" i="20"/>
  <c r="AG68" i="20"/>
  <c r="AG69" i="20"/>
  <c r="AG70" i="20"/>
  <c r="AG71" i="20"/>
  <c r="AG72" i="20"/>
  <c r="AG73" i="20"/>
  <c r="AG74" i="20"/>
  <c r="AG75" i="20"/>
  <c r="AG76" i="20"/>
  <c r="AG77" i="20"/>
  <c r="AG78" i="20"/>
  <c r="AG79" i="20"/>
  <c r="AG80" i="20"/>
  <c r="AG81" i="20"/>
  <c r="AG82" i="20"/>
  <c r="AG83" i="20"/>
  <c r="AG84" i="20"/>
  <c r="AG85" i="20"/>
  <c r="AG86" i="20"/>
  <c r="AG87" i="20"/>
  <c r="AG88" i="20"/>
  <c r="AG89" i="20"/>
  <c r="AG90" i="20"/>
  <c r="AG91" i="20"/>
  <c r="AG92" i="20"/>
  <c r="AG93" i="20"/>
  <c r="AG94" i="20"/>
  <c r="AG95" i="20"/>
  <c r="AG96" i="20"/>
  <c r="AG97" i="20"/>
  <c r="AG98" i="20"/>
  <c r="AG99" i="20"/>
  <c r="AG100" i="20"/>
  <c r="AG101" i="20"/>
  <c r="AG102" i="20"/>
  <c r="AG103" i="20"/>
  <c r="AG104" i="20"/>
  <c r="AG105" i="20"/>
  <c r="AG106" i="20"/>
  <c r="AG107" i="20"/>
  <c r="AG108" i="20"/>
  <c r="AG109" i="20"/>
  <c r="AG110" i="20"/>
  <c r="AG111" i="20"/>
  <c r="AG112" i="20"/>
  <c r="AG113" i="20"/>
  <c r="AG114" i="20"/>
  <c r="AG115" i="20"/>
  <c r="AG116" i="20"/>
  <c r="AG117" i="20"/>
  <c r="AG118" i="20"/>
  <c r="AG119" i="20"/>
  <c r="AG120" i="20"/>
  <c r="AG121" i="20"/>
  <c r="AG122" i="20"/>
  <c r="AG123" i="20"/>
  <c r="AG124" i="20"/>
  <c r="AG125" i="20"/>
  <c r="AG126" i="20"/>
  <c r="AG127" i="20"/>
  <c r="AG128" i="20"/>
  <c r="AG129" i="20"/>
  <c r="AG130" i="20"/>
  <c r="AG131" i="20"/>
  <c r="AG132" i="20"/>
  <c r="AG133" i="20"/>
  <c r="AG134" i="20"/>
  <c r="AG135" i="20"/>
  <c r="AG136" i="20"/>
  <c r="AG137" i="20"/>
  <c r="AG138" i="20"/>
  <c r="AG139" i="20"/>
  <c r="AG140" i="20"/>
  <c r="AG141" i="20"/>
  <c r="AG142" i="20"/>
  <c r="AG143" i="20"/>
  <c r="AG144" i="20"/>
  <c r="AG145" i="20"/>
  <c r="AG146" i="20"/>
  <c r="AG147" i="20"/>
  <c r="AG148" i="20"/>
  <c r="AG149" i="20"/>
  <c r="AG150" i="20"/>
  <c r="AG151" i="20"/>
  <c r="AG152" i="20"/>
  <c r="AG153" i="20"/>
  <c r="AG154" i="20"/>
  <c r="AG155" i="20"/>
  <c r="AG156" i="20"/>
  <c r="AG157" i="20"/>
  <c r="AG158" i="20"/>
  <c r="AG159" i="20"/>
  <c r="AG160" i="20"/>
  <c r="AG161" i="20"/>
  <c r="AG162" i="20"/>
  <c r="AG163" i="20"/>
  <c r="AG164" i="20"/>
  <c r="AG165" i="20"/>
  <c r="AG166" i="20"/>
  <c r="AG167" i="20"/>
  <c r="AG168" i="20"/>
  <c r="AG169" i="20"/>
  <c r="AG170" i="20"/>
  <c r="AG171" i="20"/>
  <c r="AG172" i="20"/>
  <c r="AG173" i="20"/>
  <c r="AG174" i="20"/>
  <c r="AG175" i="20"/>
  <c r="AG176" i="20"/>
  <c r="AG177" i="20"/>
  <c r="AG178" i="20"/>
  <c r="AG179" i="20"/>
  <c r="AG180" i="20"/>
  <c r="AG181" i="20"/>
  <c r="AG182" i="20"/>
  <c r="AG183" i="20"/>
  <c r="AG184" i="20"/>
  <c r="AG185" i="20"/>
  <c r="AG186" i="20"/>
  <c r="AG187" i="20"/>
  <c r="AG188" i="20"/>
  <c r="AG189" i="20"/>
  <c r="AG190" i="20"/>
  <c r="AG191" i="20"/>
  <c r="AG192" i="20"/>
  <c r="AG193" i="20"/>
  <c r="AG194" i="20"/>
  <c r="AG195" i="20"/>
  <c r="AG196" i="20"/>
  <c r="AG197" i="20"/>
  <c r="AG198" i="20"/>
  <c r="AG199" i="20"/>
  <c r="N39" i="12"/>
  <c r="N40" i="12" s="1"/>
  <c r="N41" i="12" s="1"/>
  <c r="N42" i="12" s="1"/>
  <c r="N43" i="12" s="1"/>
  <c r="N44" i="12" s="1"/>
  <c r="N45" i="12" s="1"/>
  <c r="N46" i="12" s="1"/>
  <c r="N47" i="12" s="1"/>
  <c r="N48" i="12" s="1"/>
  <c r="N49" i="12" s="1"/>
  <c r="N50" i="12" s="1"/>
  <c r="N51" i="12" s="1"/>
  <c r="N52" i="12" s="1"/>
  <c r="N53" i="12" s="1"/>
  <c r="N54" i="12" s="1"/>
  <c r="N55" i="12" s="1"/>
  <c r="N56" i="12" s="1"/>
  <c r="N57" i="12" s="1"/>
  <c r="N58" i="12" s="1"/>
  <c r="N59" i="12" s="1"/>
  <c r="N60" i="12" s="1"/>
  <c r="N61" i="12" s="1"/>
  <c r="N62" i="12" s="1"/>
  <c r="N63" i="12" s="1"/>
  <c r="N64" i="12" s="1"/>
  <c r="N65" i="12" s="1"/>
  <c r="N66" i="12" s="1"/>
  <c r="N67" i="12" s="1"/>
  <c r="N68" i="12" s="1"/>
  <c r="N69" i="12" s="1"/>
  <c r="N70" i="12" s="1"/>
  <c r="N71" i="12" s="1"/>
  <c r="N72" i="12" s="1"/>
  <c r="N73" i="12" s="1"/>
  <c r="N74" i="12" s="1"/>
  <c r="N75" i="12" s="1"/>
  <c r="N76" i="12" s="1"/>
  <c r="N77" i="12" s="1"/>
  <c r="N78" i="12" s="1"/>
  <c r="N79" i="12" s="1"/>
  <c r="N80" i="12" s="1"/>
  <c r="N81" i="12" s="1"/>
  <c r="N82" i="12" s="1"/>
  <c r="N83" i="12" s="1"/>
  <c r="N84" i="12" s="1"/>
  <c r="N85" i="12" s="1"/>
  <c r="N86" i="12" s="1"/>
  <c r="N87" i="12" s="1"/>
  <c r="N88" i="12" s="1"/>
  <c r="N89" i="12" s="1"/>
  <c r="N90" i="12" s="1"/>
  <c r="N91" i="12" s="1"/>
  <c r="N92" i="12" s="1"/>
  <c r="N93" i="12" s="1"/>
  <c r="N94" i="12" s="1"/>
  <c r="N95" i="12" s="1"/>
  <c r="N96" i="12" s="1"/>
  <c r="N97" i="12" s="1"/>
  <c r="N98" i="12" s="1"/>
  <c r="N99" i="12" s="1"/>
  <c r="N100" i="12" s="1"/>
  <c r="N101" i="12" s="1"/>
  <c r="N102" i="12" s="1"/>
  <c r="N103" i="12" s="1"/>
  <c r="N104" i="12" s="1"/>
  <c r="N105" i="12" s="1"/>
  <c r="N106" i="12" s="1"/>
  <c r="N107" i="12" s="1"/>
  <c r="N108" i="12" s="1"/>
  <c r="N109" i="12" s="1"/>
  <c r="N110" i="12" s="1"/>
  <c r="N111" i="12" s="1"/>
  <c r="N112" i="12" s="1"/>
  <c r="N113" i="12" s="1"/>
  <c r="N114" i="12" s="1"/>
  <c r="N115" i="12" s="1"/>
  <c r="N116" i="12" s="1"/>
  <c r="N117" i="12" s="1"/>
  <c r="N118" i="12" s="1"/>
  <c r="N119" i="12" s="1"/>
  <c r="N120" i="12" s="1"/>
  <c r="N121" i="12" s="1"/>
  <c r="N122" i="12" s="1"/>
  <c r="N123" i="12" s="1"/>
  <c r="N124" i="12" s="1"/>
  <c r="N125" i="12" s="1"/>
  <c r="N126" i="12" s="1"/>
  <c r="N127" i="12" s="1"/>
  <c r="N128" i="12" s="1"/>
  <c r="N129" i="12" s="1"/>
  <c r="N130" i="12" s="1"/>
  <c r="N131" i="12" s="1"/>
  <c r="N132" i="12" s="1"/>
  <c r="N133" i="12" s="1"/>
  <c r="N134" i="12" s="1"/>
  <c r="N135" i="12" s="1"/>
  <c r="N136" i="12" s="1"/>
  <c r="N137" i="12" s="1"/>
  <c r="N138" i="12" s="1"/>
  <c r="N139" i="12" s="1"/>
  <c r="N140" i="12" s="1"/>
  <c r="N141" i="12" s="1"/>
  <c r="N142" i="12" s="1"/>
  <c r="N143" i="12" s="1"/>
  <c r="N144" i="12" s="1"/>
  <c r="N145" i="12" s="1"/>
  <c r="N146" i="12" s="1"/>
  <c r="N147" i="12" s="1"/>
  <c r="N148" i="12" s="1"/>
  <c r="N149" i="12" s="1"/>
  <c r="N150" i="12" s="1"/>
  <c r="N151" i="12" s="1"/>
  <c r="N152" i="12" s="1"/>
  <c r="N153" i="12" s="1"/>
  <c r="N154" i="12" s="1"/>
  <c r="N155" i="12" s="1"/>
  <c r="N156" i="12" s="1"/>
  <c r="N157" i="12" s="1"/>
  <c r="N158" i="12" s="1"/>
  <c r="N159" i="12" s="1"/>
  <c r="N160" i="12" s="1"/>
  <c r="N161" i="12" s="1"/>
  <c r="N162" i="12" s="1"/>
  <c r="N163" i="12" s="1"/>
  <c r="N164" i="12" s="1"/>
  <c r="N165" i="12" s="1"/>
  <c r="N166" i="12" s="1"/>
  <c r="N167" i="12" s="1"/>
  <c r="N168" i="12" s="1"/>
  <c r="N169" i="12" s="1"/>
  <c r="N170" i="12" s="1"/>
  <c r="N171" i="12" s="1"/>
  <c r="N172" i="12" s="1"/>
  <c r="N173" i="12" s="1"/>
  <c r="N174" i="12" s="1"/>
  <c r="N175" i="12" s="1"/>
  <c r="N176" i="12" s="1"/>
  <c r="N177" i="12" s="1"/>
  <c r="N178" i="12" s="1"/>
  <c r="N179" i="12" s="1"/>
  <c r="N180" i="12" s="1"/>
  <c r="N181" i="12" s="1"/>
  <c r="N182" i="12" s="1"/>
  <c r="N183" i="12" s="1"/>
  <c r="N184" i="12" s="1"/>
  <c r="N185" i="12" s="1"/>
  <c r="N186" i="12" s="1"/>
  <c r="N187" i="12" s="1"/>
  <c r="N188" i="12" s="1"/>
  <c r="N189" i="12" s="1"/>
  <c r="N190" i="12" s="1"/>
  <c r="N191" i="12" s="1"/>
  <c r="N192" i="12" s="1"/>
  <c r="N193" i="12" s="1"/>
  <c r="N194" i="12" s="1"/>
  <c r="N195" i="12" s="1"/>
  <c r="N196" i="12" s="1"/>
  <c r="N197" i="12" s="1"/>
  <c r="N198" i="12" s="1"/>
  <c r="N199" i="12" s="1"/>
  <c r="N200" i="12" s="1"/>
  <c r="N38" i="12"/>
  <c r="N3" i="12"/>
  <c r="N4" i="12" s="1"/>
  <c r="N5" i="12" s="1"/>
  <c r="N6" i="12" s="1"/>
  <c r="N7" i="12" s="1"/>
  <c r="N8" i="12" s="1"/>
  <c r="N9" i="12" s="1"/>
  <c r="N10" i="12" s="1"/>
  <c r="N11" i="12" s="1"/>
  <c r="N12" i="12" s="1"/>
  <c r="N13" i="12" s="1"/>
  <c r="N14" i="12" s="1"/>
  <c r="N15" i="12" s="1"/>
  <c r="N16" i="12" s="1"/>
  <c r="N17" i="12" s="1"/>
  <c r="N18" i="12" s="1"/>
  <c r="N19" i="12" s="1"/>
  <c r="N20" i="12" s="1"/>
  <c r="N21" i="12" s="1"/>
  <c r="N22" i="12" s="1"/>
  <c r="N23" i="12" s="1"/>
  <c r="N24" i="12" s="1"/>
  <c r="N25" i="12" s="1"/>
  <c r="N26" i="12" s="1"/>
  <c r="N27" i="12" s="1"/>
  <c r="N28" i="12" s="1"/>
  <c r="N29" i="12" s="1"/>
  <c r="N30" i="12" s="1"/>
  <c r="N31" i="12" s="1"/>
  <c r="N32" i="12" s="1"/>
  <c r="N33" i="12" s="1"/>
  <c r="N34" i="12" s="1"/>
  <c r="N35" i="12" s="1"/>
  <c r="N36" i="12" s="1"/>
  <c r="N37" i="12" s="1"/>
  <c r="N30" i="11"/>
  <c r="N31" i="11"/>
  <c r="N32" i="11"/>
  <c r="N33" i="11"/>
  <c r="N34" i="11" s="1"/>
  <c r="N35" i="11" s="1"/>
  <c r="N36" i="11" s="1"/>
  <c r="N37" i="11" s="1"/>
  <c r="N4" i="11"/>
  <c r="N5" i="11" s="1"/>
  <c r="N6" i="11" s="1"/>
  <c r="N7" i="11" s="1"/>
  <c r="N8" i="11" s="1"/>
  <c r="N9" i="11" s="1"/>
  <c r="N10" i="11" s="1"/>
  <c r="N11" i="11" s="1"/>
  <c r="N12" i="11" s="1"/>
  <c r="N13" i="11" s="1"/>
  <c r="N14" i="11" s="1"/>
  <c r="N15" i="11" s="1"/>
  <c r="N16" i="11" s="1"/>
  <c r="N17" i="11" s="1"/>
  <c r="N18" i="11" s="1"/>
  <c r="N19" i="11" s="1"/>
  <c r="N20" i="11" s="1"/>
  <c r="N21" i="11" s="1"/>
  <c r="N22" i="11" s="1"/>
  <c r="N23" i="11" s="1"/>
  <c r="N24" i="11" s="1"/>
  <c r="N25" i="11" s="1"/>
  <c r="N26" i="11" s="1"/>
  <c r="N27" i="11" s="1"/>
  <c r="N28" i="11" s="1"/>
  <c r="N29" i="11" s="1"/>
  <c r="N3" i="11"/>
  <c r="N5" i="10"/>
  <c r="N6" i="10" s="1"/>
  <c r="N7" i="10" s="1"/>
  <c r="N8" i="10" s="1"/>
  <c r="N9" i="10" s="1"/>
  <c r="N10" i="10" s="1"/>
  <c r="N11" i="10" s="1"/>
  <c r="N12" i="10" s="1"/>
  <c r="N13" i="10" s="1"/>
  <c r="N14" i="10" s="1"/>
  <c r="N15" i="10" s="1"/>
  <c r="N16" i="10" s="1"/>
  <c r="N17" i="10" s="1"/>
  <c r="N18" i="10" s="1"/>
  <c r="N19" i="10" s="1"/>
  <c r="N20" i="10" s="1"/>
  <c r="N21" i="10" s="1"/>
  <c r="N22" i="10" s="1"/>
  <c r="N23" i="10" s="1"/>
  <c r="N24" i="10" s="1"/>
  <c r="N25" i="10" s="1"/>
  <c r="N26" i="10" s="1"/>
  <c r="N27" i="10" s="1"/>
  <c r="N28" i="10" s="1"/>
  <c r="N29" i="10" s="1"/>
  <c r="N4" i="10"/>
  <c r="N3" i="10"/>
  <c r="S3" i="21"/>
  <c r="U3" i="21"/>
  <c r="S4" i="21"/>
  <c r="T4" i="21"/>
  <c r="U4" i="21"/>
  <c r="B210" i="12"/>
  <c r="B209" i="12"/>
  <c r="B208" i="12"/>
  <c r="B204" i="12"/>
  <c r="C204" i="12"/>
  <c r="D204" i="12"/>
  <c r="E204" i="12"/>
  <c r="F204" i="12"/>
  <c r="G204" i="12"/>
  <c r="H204" i="12"/>
  <c r="I204" i="12"/>
  <c r="J204" i="12"/>
  <c r="K204" i="12"/>
  <c r="C39" i="11"/>
  <c r="D39" i="11"/>
  <c r="E39" i="11"/>
  <c r="B43" i="11" s="1"/>
  <c r="F39" i="11"/>
  <c r="G39" i="11"/>
  <c r="H39" i="11"/>
  <c r="I39" i="11"/>
  <c r="J39" i="11"/>
  <c r="K39" i="11"/>
  <c r="B42" i="11"/>
  <c r="B36" i="10"/>
  <c r="B35" i="10"/>
  <c r="C32" i="10"/>
  <c r="D32" i="10"/>
  <c r="E32" i="10"/>
  <c r="F32" i="10"/>
  <c r="G32" i="10"/>
  <c r="H32" i="10"/>
  <c r="I32" i="10"/>
  <c r="J32" i="10"/>
  <c r="K32" i="10"/>
  <c r="B32" i="10"/>
  <c r="B3" i="21"/>
  <c r="B4" i="21"/>
  <c r="Y5" i="21"/>
  <c r="B2" i="21"/>
  <c r="O35" i="7"/>
  <c r="O34" i="7"/>
  <c r="O33" i="7"/>
  <c r="Q39" i="8"/>
  <c r="R39" i="8"/>
  <c r="S39" i="8"/>
  <c r="T39" i="8"/>
  <c r="U39" i="8"/>
  <c r="V39" i="8"/>
  <c r="W39" i="8"/>
  <c r="X39" i="8"/>
  <c r="P31" i="7"/>
  <c r="Q31" i="7"/>
  <c r="R31" i="7"/>
  <c r="S31" i="7"/>
  <c r="T31" i="7"/>
  <c r="U31" i="7"/>
  <c r="V31" i="7"/>
  <c r="W31" i="7"/>
  <c r="X31" i="7"/>
  <c r="O31" i="7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P79" i="9"/>
  <c r="Q79" i="9"/>
  <c r="O80" i="9"/>
  <c r="P80" i="9"/>
  <c r="Q80" i="9"/>
  <c r="R80" i="9"/>
  <c r="O81" i="9"/>
  <c r="P81" i="9"/>
  <c r="Q81" i="9"/>
  <c r="R81" i="9"/>
  <c r="O82" i="9"/>
  <c r="P82" i="9"/>
  <c r="Q82" i="9"/>
  <c r="R82" i="9"/>
  <c r="O83" i="9"/>
  <c r="P83" i="9"/>
  <c r="Q83" i="9"/>
  <c r="R83" i="9"/>
  <c r="O84" i="9"/>
  <c r="P84" i="9"/>
  <c r="Q84" i="9"/>
  <c r="R84" i="9"/>
  <c r="O85" i="9"/>
  <c r="P85" i="9"/>
  <c r="Q85" i="9"/>
  <c r="R85" i="9"/>
  <c r="O86" i="9"/>
  <c r="P86" i="9"/>
  <c r="Q86" i="9"/>
  <c r="R86" i="9"/>
  <c r="O87" i="9"/>
  <c r="P87" i="9"/>
  <c r="Q87" i="9"/>
  <c r="R87" i="9"/>
  <c r="O88" i="9"/>
  <c r="P88" i="9"/>
  <c r="Q88" i="9"/>
  <c r="R88" i="9"/>
  <c r="O89" i="9"/>
  <c r="P89" i="9"/>
  <c r="Q89" i="9"/>
  <c r="R89" i="9"/>
  <c r="S89" i="9"/>
  <c r="O90" i="9"/>
  <c r="P90" i="9"/>
  <c r="Q90" i="9"/>
  <c r="R90" i="9"/>
  <c r="S90" i="9"/>
  <c r="O91" i="9"/>
  <c r="P91" i="9"/>
  <c r="Q91" i="9"/>
  <c r="R91" i="9"/>
  <c r="S91" i="9"/>
  <c r="O92" i="9"/>
  <c r="P92" i="9"/>
  <c r="Q92" i="9"/>
  <c r="R92" i="9"/>
  <c r="S92" i="9"/>
  <c r="O93" i="9"/>
  <c r="P93" i="9"/>
  <c r="Q93" i="9"/>
  <c r="R93" i="9"/>
  <c r="S93" i="9"/>
  <c r="U93" i="9"/>
  <c r="O94" i="9"/>
  <c r="P94" i="9"/>
  <c r="Q94" i="9"/>
  <c r="R94" i="9"/>
  <c r="S94" i="9"/>
  <c r="U94" i="9"/>
  <c r="O95" i="9"/>
  <c r="P95" i="9"/>
  <c r="Q95" i="9"/>
  <c r="R95" i="9"/>
  <c r="S95" i="9"/>
  <c r="U95" i="9"/>
  <c r="O96" i="9"/>
  <c r="P96" i="9"/>
  <c r="Q96" i="9"/>
  <c r="R96" i="9"/>
  <c r="S96" i="9"/>
  <c r="U96" i="9"/>
  <c r="O97" i="9"/>
  <c r="P97" i="9"/>
  <c r="Q97" i="9"/>
  <c r="R97" i="9"/>
  <c r="S97" i="9"/>
  <c r="U97" i="9"/>
  <c r="O98" i="9"/>
  <c r="P98" i="9"/>
  <c r="Q98" i="9"/>
  <c r="R98" i="9"/>
  <c r="S98" i="9"/>
  <c r="U98" i="9"/>
  <c r="O99" i="9"/>
  <c r="P99" i="9"/>
  <c r="Q99" i="9"/>
  <c r="R99" i="9"/>
  <c r="S99" i="9"/>
  <c r="U99" i="9"/>
  <c r="O100" i="9"/>
  <c r="P100" i="9"/>
  <c r="Q100" i="9"/>
  <c r="R100" i="9"/>
  <c r="S100" i="9"/>
  <c r="U100" i="9"/>
  <c r="X100" i="9"/>
  <c r="O101" i="9"/>
  <c r="P101" i="9"/>
  <c r="Q101" i="9"/>
  <c r="R101" i="9"/>
  <c r="S101" i="9"/>
  <c r="U101" i="9"/>
  <c r="X101" i="9"/>
  <c r="O102" i="9"/>
  <c r="P102" i="9"/>
  <c r="Q102" i="9"/>
  <c r="R102" i="9"/>
  <c r="S102" i="9"/>
  <c r="U102" i="9"/>
  <c r="X102" i="9"/>
  <c r="O103" i="9"/>
  <c r="P103" i="9"/>
  <c r="Q103" i="9"/>
  <c r="R103" i="9"/>
  <c r="S103" i="9"/>
  <c r="U103" i="9"/>
  <c r="X103" i="9"/>
  <c r="O104" i="9"/>
  <c r="P104" i="9"/>
  <c r="Q104" i="9"/>
  <c r="R104" i="9"/>
  <c r="S104" i="9"/>
  <c r="U104" i="9"/>
  <c r="X104" i="9"/>
  <c r="O105" i="9"/>
  <c r="P105" i="9"/>
  <c r="Q105" i="9"/>
  <c r="R105" i="9"/>
  <c r="S105" i="9"/>
  <c r="U105" i="9"/>
  <c r="X105" i="9"/>
  <c r="O106" i="9"/>
  <c r="P106" i="9"/>
  <c r="Q106" i="9"/>
  <c r="R106" i="9"/>
  <c r="S106" i="9"/>
  <c r="U106" i="9"/>
  <c r="X106" i="9"/>
  <c r="O107" i="9"/>
  <c r="P107" i="9"/>
  <c r="Q107" i="9"/>
  <c r="R107" i="9"/>
  <c r="S107" i="9"/>
  <c r="U107" i="9"/>
  <c r="X107" i="9"/>
  <c r="O108" i="9"/>
  <c r="P108" i="9"/>
  <c r="Q108" i="9"/>
  <c r="R108" i="9"/>
  <c r="S108" i="9"/>
  <c r="U108" i="9"/>
  <c r="X108" i="9"/>
  <c r="O109" i="9"/>
  <c r="P109" i="9"/>
  <c r="Q109" i="9"/>
  <c r="R109" i="9"/>
  <c r="S109" i="9"/>
  <c r="U109" i="9"/>
  <c r="X109" i="9"/>
  <c r="O110" i="9"/>
  <c r="P110" i="9"/>
  <c r="Q110" i="9"/>
  <c r="R110" i="9"/>
  <c r="S110" i="9"/>
  <c r="U110" i="9"/>
  <c r="X110" i="9"/>
  <c r="O111" i="9"/>
  <c r="P111" i="9"/>
  <c r="Q111" i="9"/>
  <c r="R111" i="9"/>
  <c r="S111" i="9"/>
  <c r="U111" i="9"/>
  <c r="X111" i="9"/>
  <c r="O112" i="9"/>
  <c r="P112" i="9"/>
  <c r="Q112" i="9"/>
  <c r="R112" i="9"/>
  <c r="S112" i="9"/>
  <c r="U112" i="9"/>
  <c r="X112" i="9"/>
  <c r="O113" i="9"/>
  <c r="P113" i="9"/>
  <c r="Q113" i="9"/>
  <c r="R113" i="9"/>
  <c r="S113" i="9"/>
  <c r="U113" i="9"/>
  <c r="X113" i="9"/>
  <c r="O114" i="9"/>
  <c r="P114" i="9"/>
  <c r="Q114" i="9"/>
  <c r="R114" i="9"/>
  <c r="S114" i="9"/>
  <c r="U114" i="9"/>
  <c r="X114" i="9"/>
  <c r="O115" i="9"/>
  <c r="P115" i="9"/>
  <c r="Q115" i="9"/>
  <c r="R115" i="9"/>
  <c r="S115" i="9"/>
  <c r="U115" i="9"/>
  <c r="X115" i="9"/>
  <c r="O116" i="9"/>
  <c r="P116" i="9"/>
  <c r="Q116" i="9"/>
  <c r="R116" i="9"/>
  <c r="S116" i="9"/>
  <c r="U116" i="9"/>
  <c r="X116" i="9"/>
  <c r="O117" i="9"/>
  <c r="P117" i="9"/>
  <c r="Q117" i="9"/>
  <c r="R117" i="9"/>
  <c r="S117" i="9"/>
  <c r="U117" i="9"/>
  <c r="X117" i="9"/>
  <c r="O118" i="9"/>
  <c r="P118" i="9"/>
  <c r="Q118" i="9"/>
  <c r="R118" i="9"/>
  <c r="S118" i="9"/>
  <c r="U118" i="9"/>
  <c r="X118" i="9"/>
  <c r="O119" i="9"/>
  <c r="P119" i="9"/>
  <c r="Q119" i="9"/>
  <c r="R119" i="9"/>
  <c r="S119" i="9"/>
  <c r="U119" i="9"/>
  <c r="V119" i="9"/>
  <c r="X119" i="9"/>
  <c r="O120" i="9"/>
  <c r="P120" i="9"/>
  <c r="Q120" i="9"/>
  <c r="R120" i="9"/>
  <c r="S120" i="9"/>
  <c r="U120" i="9"/>
  <c r="V120" i="9"/>
  <c r="X120" i="9"/>
  <c r="O121" i="9"/>
  <c r="P121" i="9"/>
  <c r="Q121" i="9"/>
  <c r="R121" i="9"/>
  <c r="S121" i="9"/>
  <c r="U121" i="9"/>
  <c r="V121" i="9"/>
  <c r="X121" i="9"/>
  <c r="O122" i="9"/>
  <c r="P122" i="9"/>
  <c r="Q122" i="9"/>
  <c r="R122" i="9"/>
  <c r="S122" i="9"/>
  <c r="U122" i="9"/>
  <c r="V122" i="9"/>
  <c r="X122" i="9"/>
  <c r="O123" i="9"/>
  <c r="P123" i="9"/>
  <c r="Q123" i="9"/>
  <c r="R123" i="9"/>
  <c r="S123" i="9"/>
  <c r="U123" i="9"/>
  <c r="V123" i="9"/>
  <c r="X123" i="9"/>
  <c r="O124" i="9"/>
  <c r="P124" i="9"/>
  <c r="Q124" i="9"/>
  <c r="R124" i="9"/>
  <c r="S124" i="9"/>
  <c r="U124" i="9"/>
  <c r="V124" i="9"/>
  <c r="X124" i="9"/>
  <c r="O125" i="9"/>
  <c r="P125" i="9"/>
  <c r="Q125" i="9"/>
  <c r="R125" i="9"/>
  <c r="S125" i="9"/>
  <c r="U125" i="9"/>
  <c r="V125" i="9"/>
  <c r="X125" i="9"/>
  <c r="O126" i="9"/>
  <c r="P126" i="9"/>
  <c r="Q126" i="9"/>
  <c r="R126" i="9"/>
  <c r="S126" i="9"/>
  <c r="U126" i="9"/>
  <c r="V126" i="9"/>
  <c r="X126" i="9"/>
  <c r="O127" i="9"/>
  <c r="P127" i="9"/>
  <c r="Q127" i="9"/>
  <c r="R127" i="9"/>
  <c r="S127" i="9"/>
  <c r="T127" i="9"/>
  <c r="U127" i="9"/>
  <c r="V127" i="9"/>
  <c r="X127" i="9"/>
  <c r="O128" i="9"/>
  <c r="P128" i="9"/>
  <c r="Q128" i="9"/>
  <c r="R128" i="9"/>
  <c r="S128" i="9"/>
  <c r="T128" i="9"/>
  <c r="U128" i="9"/>
  <c r="V128" i="9"/>
  <c r="X128" i="9"/>
  <c r="O129" i="9"/>
  <c r="P129" i="9"/>
  <c r="Q129" i="9"/>
  <c r="R129" i="9"/>
  <c r="S129" i="9"/>
  <c r="T129" i="9"/>
  <c r="U129" i="9"/>
  <c r="V129" i="9"/>
  <c r="X129" i="9"/>
  <c r="O130" i="9"/>
  <c r="P130" i="9"/>
  <c r="Q130" i="9"/>
  <c r="R130" i="9"/>
  <c r="S130" i="9"/>
  <c r="T130" i="9"/>
  <c r="U130" i="9"/>
  <c r="V130" i="9"/>
  <c r="X130" i="9"/>
  <c r="O131" i="9"/>
  <c r="P131" i="9"/>
  <c r="Q131" i="9"/>
  <c r="R131" i="9"/>
  <c r="S131" i="9"/>
  <c r="T131" i="9"/>
  <c r="U131" i="9"/>
  <c r="V131" i="9"/>
  <c r="X131" i="9"/>
  <c r="O132" i="9"/>
  <c r="P132" i="9"/>
  <c r="Q132" i="9"/>
  <c r="R132" i="9"/>
  <c r="S132" i="9"/>
  <c r="T132" i="9"/>
  <c r="U132" i="9"/>
  <c r="V132" i="9"/>
  <c r="X132" i="9"/>
  <c r="O133" i="9"/>
  <c r="P133" i="9"/>
  <c r="Q133" i="9"/>
  <c r="R133" i="9"/>
  <c r="S133" i="9"/>
  <c r="T133" i="9"/>
  <c r="U133" i="9"/>
  <c r="V133" i="9"/>
  <c r="X133" i="9"/>
  <c r="O134" i="9"/>
  <c r="P134" i="9"/>
  <c r="Q134" i="9"/>
  <c r="R134" i="9"/>
  <c r="S134" i="9"/>
  <c r="T134" i="9"/>
  <c r="U134" i="9"/>
  <c r="V134" i="9"/>
  <c r="X134" i="9"/>
  <c r="O135" i="9"/>
  <c r="P135" i="9"/>
  <c r="Q135" i="9"/>
  <c r="R135" i="9"/>
  <c r="S135" i="9"/>
  <c r="T135" i="9"/>
  <c r="U135" i="9"/>
  <c r="V135" i="9"/>
  <c r="X135" i="9"/>
  <c r="O136" i="9"/>
  <c r="P136" i="9"/>
  <c r="Q136" i="9"/>
  <c r="R136" i="9"/>
  <c r="S136" i="9"/>
  <c r="T136" i="9"/>
  <c r="U136" i="9"/>
  <c r="V136" i="9"/>
  <c r="X136" i="9"/>
  <c r="O137" i="9"/>
  <c r="P137" i="9"/>
  <c r="Q137" i="9"/>
  <c r="R137" i="9"/>
  <c r="S137" i="9"/>
  <c r="T137" i="9"/>
  <c r="U137" i="9"/>
  <c r="V137" i="9"/>
  <c r="X137" i="9"/>
  <c r="O138" i="9"/>
  <c r="P138" i="9"/>
  <c r="Q138" i="9"/>
  <c r="R138" i="9"/>
  <c r="S138" i="9"/>
  <c r="T138" i="9"/>
  <c r="U138" i="9"/>
  <c r="V138" i="9"/>
  <c r="X138" i="9"/>
  <c r="O139" i="9"/>
  <c r="P139" i="9"/>
  <c r="Q139" i="9"/>
  <c r="R139" i="9"/>
  <c r="S139" i="9"/>
  <c r="T139" i="9"/>
  <c r="U139" i="9"/>
  <c r="V139" i="9"/>
  <c r="X139" i="9"/>
  <c r="O140" i="9"/>
  <c r="P140" i="9"/>
  <c r="Q140" i="9"/>
  <c r="R140" i="9"/>
  <c r="S140" i="9"/>
  <c r="T140" i="9"/>
  <c r="U140" i="9"/>
  <c r="V140" i="9"/>
  <c r="X140" i="9"/>
  <c r="O141" i="9"/>
  <c r="P141" i="9"/>
  <c r="Q141" i="9"/>
  <c r="R141" i="9"/>
  <c r="S141" i="9"/>
  <c r="T141" i="9"/>
  <c r="U141" i="9"/>
  <c r="V141" i="9"/>
  <c r="X141" i="9"/>
  <c r="O142" i="9"/>
  <c r="P142" i="9"/>
  <c r="Q142" i="9"/>
  <c r="R142" i="9"/>
  <c r="S142" i="9"/>
  <c r="T142" i="9"/>
  <c r="U142" i="9"/>
  <c r="V142" i="9"/>
  <c r="X142" i="9"/>
  <c r="O143" i="9"/>
  <c r="P143" i="9"/>
  <c r="Q143" i="9"/>
  <c r="R143" i="9"/>
  <c r="S143" i="9"/>
  <c r="T143" i="9"/>
  <c r="U143" i="9"/>
  <c r="V143" i="9"/>
  <c r="X143" i="9"/>
  <c r="O144" i="9"/>
  <c r="P144" i="9"/>
  <c r="Q144" i="9"/>
  <c r="R144" i="9"/>
  <c r="S144" i="9"/>
  <c r="T144" i="9"/>
  <c r="U144" i="9"/>
  <c r="V144" i="9"/>
  <c r="X144" i="9"/>
  <c r="O145" i="9"/>
  <c r="P145" i="9"/>
  <c r="Q145" i="9"/>
  <c r="R145" i="9"/>
  <c r="S145" i="9"/>
  <c r="T145" i="9"/>
  <c r="U145" i="9"/>
  <c r="V145" i="9"/>
  <c r="X145" i="9"/>
  <c r="O146" i="9"/>
  <c r="P146" i="9"/>
  <c r="Q146" i="9"/>
  <c r="R146" i="9"/>
  <c r="S146" i="9"/>
  <c r="T146" i="9"/>
  <c r="U146" i="9"/>
  <c r="V146" i="9"/>
  <c r="X146" i="9"/>
  <c r="O147" i="9"/>
  <c r="P147" i="9"/>
  <c r="Q147" i="9"/>
  <c r="R147" i="9"/>
  <c r="S147" i="9"/>
  <c r="T147" i="9"/>
  <c r="U147" i="9"/>
  <c r="V147" i="9"/>
  <c r="X147" i="9"/>
  <c r="O148" i="9"/>
  <c r="P148" i="9"/>
  <c r="Q148" i="9"/>
  <c r="R148" i="9"/>
  <c r="S148" i="9"/>
  <c r="T148" i="9"/>
  <c r="U148" i="9"/>
  <c r="V148" i="9"/>
  <c r="X148" i="9"/>
  <c r="O149" i="9"/>
  <c r="P149" i="9"/>
  <c r="Q149" i="9"/>
  <c r="R149" i="9"/>
  <c r="S149" i="9"/>
  <c r="T149" i="9"/>
  <c r="U149" i="9"/>
  <c r="V149" i="9"/>
  <c r="X149" i="9"/>
  <c r="O150" i="9"/>
  <c r="P150" i="9"/>
  <c r="Q150" i="9"/>
  <c r="R150" i="9"/>
  <c r="S150" i="9"/>
  <c r="T150" i="9"/>
  <c r="U150" i="9"/>
  <c r="V150" i="9"/>
  <c r="X150" i="9"/>
  <c r="O151" i="9"/>
  <c r="P151" i="9"/>
  <c r="Q151" i="9"/>
  <c r="R151" i="9"/>
  <c r="S151" i="9"/>
  <c r="T151" i="9"/>
  <c r="U151" i="9"/>
  <c r="V151" i="9"/>
  <c r="X151" i="9"/>
  <c r="O152" i="9"/>
  <c r="P152" i="9"/>
  <c r="Q152" i="9"/>
  <c r="R152" i="9"/>
  <c r="S152" i="9"/>
  <c r="T152" i="9"/>
  <c r="U152" i="9"/>
  <c r="V152" i="9"/>
  <c r="X152" i="9"/>
  <c r="O153" i="9"/>
  <c r="P153" i="9"/>
  <c r="Q153" i="9"/>
  <c r="R153" i="9"/>
  <c r="S153" i="9"/>
  <c r="T153" i="9"/>
  <c r="U153" i="9"/>
  <c r="V153" i="9"/>
  <c r="X153" i="9"/>
  <c r="O154" i="9"/>
  <c r="P154" i="9"/>
  <c r="Q154" i="9"/>
  <c r="R154" i="9"/>
  <c r="S154" i="9"/>
  <c r="T154" i="9"/>
  <c r="U154" i="9"/>
  <c r="V154" i="9"/>
  <c r="X154" i="9"/>
  <c r="O155" i="9"/>
  <c r="P155" i="9"/>
  <c r="Q155" i="9"/>
  <c r="R155" i="9"/>
  <c r="S155" i="9"/>
  <c r="T155" i="9"/>
  <c r="U155" i="9"/>
  <c r="V155" i="9"/>
  <c r="X155" i="9"/>
  <c r="O156" i="9"/>
  <c r="P156" i="9"/>
  <c r="Q156" i="9"/>
  <c r="R156" i="9"/>
  <c r="S156" i="9"/>
  <c r="T156" i="9"/>
  <c r="U156" i="9"/>
  <c r="V156" i="9"/>
  <c r="X156" i="9"/>
  <c r="O157" i="9"/>
  <c r="P157" i="9"/>
  <c r="Q157" i="9"/>
  <c r="R157" i="9"/>
  <c r="S157" i="9"/>
  <c r="T157" i="9"/>
  <c r="U157" i="9"/>
  <c r="V157" i="9"/>
  <c r="X157" i="9"/>
  <c r="O158" i="9"/>
  <c r="P158" i="9"/>
  <c r="Q158" i="9"/>
  <c r="R158" i="9"/>
  <c r="S158" i="9"/>
  <c r="T158" i="9"/>
  <c r="U158" i="9"/>
  <c r="V158" i="9"/>
  <c r="X158" i="9"/>
  <c r="O159" i="9"/>
  <c r="P159" i="9"/>
  <c r="Q159" i="9"/>
  <c r="R159" i="9"/>
  <c r="S159" i="9"/>
  <c r="T159" i="9"/>
  <c r="U159" i="9"/>
  <c r="V159" i="9"/>
  <c r="X159" i="9"/>
  <c r="O160" i="9"/>
  <c r="P160" i="9"/>
  <c r="Q160" i="9"/>
  <c r="R160" i="9"/>
  <c r="S160" i="9"/>
  <c r="T160" i="9"/>
  <c r="U160" i="9"/>
  <c r="V160" i="9"/>
  <c r="X160" i="9"/>
  <c r="O161" i="9"/>
  <c r="P161" i="9"/>
  <c r="Q161" i="9"/>
  <c r="R161" i="9"/>
  <c r="S161" i="9"/>
  <c r="T161" i="9"/>
  <c r="U161" i="9"/>
  <c r="V161" i="9"/>
  <c r="X161" i="9"/>
  <c r="O162" i="9"/>
  <c r="P162" i="9"/>
  <c r="Q162" i="9"/>
  <c r="R162" i="9"/>
  <c r="S162" i="9"/>
  <c r="T162" i="9"/>
  <c r="U162" i="9"/>
  <c r="V162" i="9"/>
  <c r="X162" i="9"/>
  <c r="O163" i="9"/>
  <c r="P163" i="9"/>
  <c r="Q163" i="9"/>
  <c r="R163" i="9"/>
  <c r="S163" i="9"/>
  <c r="T163" i="9"/>
  <c r="U163" i="9"/>
  <c r="V163" i="9"/>
  <c r="X163" i="9"/>
  <c r="O164" i="9"/>
  <c r="P164" i="9"/>
  <c r="Q164" i="9"/>
  <c r="R164" i="9"/>
  <c r="S164" i="9"/>
  <c r="T164" i="9"/>
  <c r="U164" i="9"/>
  <c r="V164" i="9"/>
  <c r="X164" i="9"/>
  <c r="O165" i="9"/>
  <c r="P165" i="9"/>
  <c r="Q165" i="9"/>
  <c r="R165" i="9"/>
  <c r="S165" i="9"/>
  <c r="T165" i="9"/>
  <c r="U165" i="9"/>
  <c r="V165" i="9"/>
  <c r="X165" i="9"/>
  <c r="O166" i="9"/>
  <c r="P166" i="9"/>
  <c r="Q166" i="9"/>
  <c r="R166" i="9"/>
  <c r="S166" i="9"/>
  <c r="T166" i="9"/>
  <c r="U166" i="9"/>
  <c r="V166" i="9"/>
  <c r="X166" i="9"/>
  <c r="O167" i="9"/>
  <c r="P167" i="9"/>
  <c r="Q167" i="9"/>
  <c r="R167" i="9"/>
  <c r="S167" i="9"/>
  <c r="T167" i="9"/>
  <c r="U167" i="9"/>
  <c r="V167" i="9"/>
  <c r="X167" i="9"/>
  <c r="O168" i="9"/>
  <c r="P168" i="9"/>
  <c r="Q168" i="9"/>
  <c r="R168" i="9"/>
  <c r="S168" i="9"/>
  <c r="T168" i="9"/>
  <c r="U168" i="9"/>
  <c r="V168" i="9"/>
  <c r="X168" i="9"/>
  <c r="O169" i="9"/>
  <c r="P169" i="9"/>
  <c r="Q169" i="9"/>
  <c r="R169" i="9"/>
  <c r="S169" i="9"/>
  <c r="T169" i="9"/>
  <c r="U169" i="9"/>
  <c r="V169" i="9"/>
  <c r="X169" i="9"/>
  <c r="O170" i="9"/>
  <c r="P170" i="9"/>
  <c r="Q170" i="9"/>
  <c r="R170" i="9"/>
  <c r="S170" i="9"/>
  <c r="T170" i="9"/>
  <c r="U170" i="9"/>
  <c r="V170" i="9"/>
  <c r="X170" i="9"/>
  <c r="O171" i="9"/>
  <c r="P171" i="9"/>
  <c r="Q171" i="9"/>
  <c r="R171" i="9"/>
  <c r="S171" i="9"/>
  <c r="T171" i="9"/>
  <c r="U171" i="9"/>
  <c r="V171" i="9"/>
  <c r="X171" i="9"/>
  <c r="O172" i="9"/>
  <c r="P172" i="9"/>
  <c r="Q172" i="9"/>
  <c r="R172" i="9"/>
  <c r="S172" i="9"/>
  <c r="T172" i="9"/>
  <c r="U172" i="9"/>
  <c r="V172" i="9"/>
  <c r="X172" i="9"/>
  <c r="O173" i="9"/>
  <c r="P173" i="9"/>
  <c r="Q173" i="9"/>
  <c r="R173" i="9"/>
  <c r="S173" i="9"/>
  <c r="T173" i="9"/>
  <c r="U173" i="9"/>
  <c r="V173" i="9"/>
  <c r="X173" i="9"/>
  <c r="O174" i="9"/>
  <c r="P174" i="9"/>
  <c r="Q174" i="9"/>
  <c r="R174" i="9"/>
  <c r="S174" i="9"/>
  <c r="T174" i="9"/>
  <c r="U174" i="9"/>
  <c r="V174" i="9"/>
  <c r="X174" i="9"/>
  <c r="O175" i="9"/>
  <c r="P175" i="9"/>
  <c r="Q175" i="9"/>
  <c r="R175" i="9"/>
  <c r="S175" i="9"/>
  <c r="T175" i="9"/>
  <c r="U175" i="9"/>
  <c r="V175" i="9"/>
  <c r="X175" i="9"/>
  <c r="O176" i="9"/>
  <c r="P176" i="9"/>
  <c r="Q176" i="9"/>
  <c r="R176" i="9"/>
  <c r="S176" i="9"/>
  <c r="T176" i="9"/>
  <c r="U176" i="9"/>
  <c r="V176" i="9"/>
  <c r="X176" i="9"/>
  <c r="O177" i="9"/>
  <c r="P177" i="9"/>
  <c r="Q177" i="9"/>
  <c r="R177" i="9"/>
  <c r="S177" i="9"/>
  <c r="T177" i="9"/>
  <c r="U177" i="9"/>
  <c r="V177" i="9"/>
  <c r="X177" i="9"/>
  <c r="O178" i="9"/>
  <c r="P178" i="9"/>
  <c r="Q178" i="9"/>
  <c r="R178" i="9"/>
  <c r="S178" i="9"/>
  <c r="T178" i="9"/>
  <c r="U178" i="9"/>
  <c r="V178" i="9"/>
  <c r="X178" i="9"/>
  <c r="O179" i="9"/>
  <c r="P179" i="9"/>
  <c r="Q179" i="9"/>
  <c r="R179" i="9"/>
  <c r="S179" i="9"/>
  <c r="T179" i="9"/>
  <c r="U179" i="9"/>
  <c r="V179" i="9"/>
  <c r="X179" i="9"/>
  <c r="O180" i="9"/>
  <c r="P180" i="9"/>
  <c r="Q180" i="9"/>
  <c r="R180" i="9"/>
  <c r="S180" i="9"/>
  <c r="T180" i="9"/>
  <c r="U180" i="9"/>
  <c r="V180" i="9"/>
  <c r="X180" i="9"/>
  <c r="O181" i="9"/>
  <c r="P181" i="9"/>
  <c r="Q181" i="9"/>
  <c r="R181" i="9"/>
  <c r="S181" i="9"/>
  <c r="T181" i="9"/>
  <c r="U181" i="9"/>
  <c r="V181" i="9"/>
  <c r="X181" i="9"/>
  <c r="O182" i="9"/>
  <c r="P182" i="9"/>
  <c r="Q182" i="9"/>
  <c r="R182" i="9"/>
  <c r="S182" i="9"/>
  <c r="T182" i="9"/>
  <c r="U182" i="9"/>
  <c r="V182" i="9"/>
  <c r="X182" i="9"/>
  <c r="O183" i="9"/>
  <c r="P183" i="9"/>
  <c r="Q183" i="9"/>
  <c r="R183" i="9"/>
  <c r="S183" i="9"/>
  <c r="T183" i="9"/>
  <c r="U183" i="9"/>
  <c r="V183" i="9"/>
  <c r="X183" i="9"/>
  <c r="O184" i="9"/>
  <c r="P184" i="9"/>
  <c r="Q184" i="9"/>
  <c r="R184" i="9"/>
  <c r="S184" i="9"/>
  <c r="T184" i="9"/>
  <c r="U184" i="9"/>
  <c r="V184" i="9"/>
  <c r="X184" i="9"/>
  <c r="O185" i="9"/>
  <c r="P185" i="9"/>
  <c r="Q185" i="9"/>
  <c r="R185" i="9"/>
  <c r="S185" i="9"/>
  <c r="T185" i="9"/>
  <c r="U185" i="9"/>
  <c r="V185" i="9"/>
  <c r="X185" i="9"/>
  <c r="O186" i="9"/>
  <c r="P186" i="9"/>
  <c r="Q186" i="9"/>
  <c r="R186" i="9"/>
  <c r="S186" i="9"/>
  <c r="T186" i="9"/>
  <c r="U186" i="9"/>
  <c r="V186" i="9"/>
  <c r="X186" i="9"/>
  <c r="O187" i="9"/>
  <c r="P187" i="9"/>
  <c r="Q187" i="9"/>
  <c r="R187" i="9"/>
  <c r="S187" i="9"/>
  <c r="T187" i="9"/>
  <c r="U187" i="9"/>
  <c r="V187" i="9"/>
  <c r="X187" i="9"/>
  <c r="O188" i="9"/>
  <c r="P188" i="9"/>
  <c r="Q188" i="9"/>
  <c r="R188" i="9"/>
  <c r="S188" i="9"/>
  <c r="T188" i="9"/>
  <c r="U188" i="9"/>
  <c r="V188" i="9"/>
  <c r="X188" i="9"/>
  <c r="O189" i="9"/>
  <c r="P189" i="9"/>
  <c r="Q189" i="9"/>
  <c r="R189" i="9"/>
  <c r="S189" i="9"/>
  <c r="T189" i="9"/>
  <c r="U189" i="9"/>
  <c r="V189" i="9"/>
  <c r="X189" i="9"/>
  <c r="O190" i="9"/>
  <c r="P190" i="9"/>
  <c r="Q190" i="9"/>
  <c r="R190" i="9"/>
  <c r="S190" i="9"/>
  <c r="T190" i="9"/>
  <c r="U190" i="9"/>
  <c r="V190" i="9"/>
  <c r="X190" i="9"/>
  <c r="O191" i="9"/>
  <c r="P191" i="9"/>
  <c r="Q191" i="9"/>
  <c r="R191" i="9"/>
  <c r="S191" i="9"/>
  <c r="T191" i="9"/>
  <c r="U191" i="9"/>
  <c r="V191" i="9"/>
  <c r="X191" i="9"/>
  <c r="O192" i="9"/>
  <c r="P192" i="9"/>
  <c r="Q192" i="9"/>
  <c r="R192" i="9"/>
  <c r="S192" i="9"/>
  <c r="T192" i="9"/>
  <c r="U192" i="9"/>
  <c r="V192" i="9"/>
  <c r="X192" i="9"/>
  <c r="O193" i="9"/>
  <c r="P193" i="9"/>
  <c r="Q193" i="9"/>
  <c r="R193" i="9"/>
  <c r="S193" i="9"/>
  <c r="T193" i="9"/>
  <c r="U193" i="9"/>
  <c r="V193" i="9"/>
  <c r="X193" i="9"/>
  <c r="O194" i="9"/>
  <c r="P194" i="9"/>
  <c r="Q194" i="9"/>
  <c r="R194" i="9"/>
  <c r="S194" i="9"/>
  <c r="T194" i="9"/>
  <c r="U194" i="9"/>
  <c r="V194" i="9"/>
  <c r="X194" i="9"/>
  <c r="O195" i="9"/>
  <c r="P195" i="9"/>
  <c r="Q195" i="9"/>
  <c r="R195" i="9"/>
  <c r="S195" i="9"/>
  <c r="T195" i="9"/>
  <c r="U195" i="9"/>
  <c r="V195" i="9"/>
  <c r="X195" i="9"/>
  <c r="O196" i="9"/>
  <c r="P196" i="9"/>
  <c r="Q196" i="9"/>
  <c r="R196" i="9"/>
  <c r="S196" i="9"/>
  <c r="T196" i="9"/>
  <c r="U196" i="9"/>
  <c r="V196" i="9"/>
  <c r="X196" i="9"/>
  <c r="O197" i="9"/>
  <c r="P197" i="9"/>
  <c r="Q197" i="9"/>
  <c r="R197" i="9"/>
  <c r="S197" i="9"/>
  <c r="T197" i="9"/>
  <c r="U197" i="9"/>
  <c r="V197" i="9"/>
  <c r="X197" i="9"/>
  <c r="O198" i="9"/>
  <c r="P198" i="9"/>
  <c r="Q198" i="9"/>
  <c r="R198" i="9"/>
  <c r="S198" i="9"/>
  <c r="T198" i="9"/>
  <c r="U198" i="9"/>
  <c r="V198" i="9"/>
  <c r="X198" i="9"/>
  <c r="O199" i="9"/>
  <c r="P199" i="9"/>
  <c r="Q199" i="9"/>
  <c r="R199" i="9"/>
  <c r="S199" i="9"/>
  <c r="T199" i="9"/>
  <c r="U199" i="9"/>
  <c r="V199" i="9"/>
  <c r="X199" i="9"/>
  <c r="O200" i="9"/>
  <c r="P200" i="9"/>
  <c r="Q200" i="9"/>
  <c r="R200" i="9"/>
  <c r="S200" i="9"/>
  <c r="T200" i="9"/>
  <c r="U200" i="9"/>
  <c r="V200" i="9"/>
  <c r="X200" i="9"/>
  <c r="O4" i="8"/>
  <c r="P4" i="8"/>
  <c r="Q4" i="8"/>
  <c r="R4" i="8"/>
  <c r="S4" i="8"/>
  <c r="T4" i="8"/>
  <c r="U4" i="8"/>
  <c r="V4" i="8"/>
  <c r="W4" i="8"/>
  <c r="X4" i="8"/>
  <c r="Y4" i="8"/>
  <c r="O5" i="8"/>
  <c r="P5" i="8"/>
  <c r="Q5" i="8"/>
  <c r="R5" i="8"/>
  <c r="S5" i="8"/>
  <c r="T5" i="8"/>
  <c r="U5" i="8"/>
  <c r="V5" i="8"/>
  <c r="W5" i="8"/>
  <c r="X5" i="8"/>
  <c r="Y5" i="8"/>
  <c r="O6" i="8"/>
  <c r="P6" i="8"/>
  <c r="Q6" i="8"/>
  <c r="R6" i="8"/>
  <c r="S6" i="8"/>
  <c r="T6" i="8"/>
  <c r="U6" i="8"/>
  <c r="V6" i="8"/>
  <c r="W6" i="8"/>
  <c r="X6" i="8"/>
  <c r="Y6" i="8"/>
  <c r="O7" i="8"/>
  <c r="P7" i="8"/>
  <c r="Q7" i="8"/>
  <c r="R7" i="8"/>
  <c r="S7" i="8"/>
  <c r="T7" i="8"/>
  <c r="U7" i="8"/>
  <c r="V7" i="8"/>
  <c r="W7" i="8"/>
  <c r="X7" i="8"/>
  <c r="Y7" i="8"/>
  <c r="O8" i="8"/>
  <c r="P8" i="8"/>
  <c r="Q8" i="8"/>
  <c r="R8" i="8"/>
  <c r="S8" i="8"/>
  <c r="T8" i="8"/>
  <c r="U8" i="8"/>
  <c r="V8" i="8"/>
  <c r="W8" i="8"/>
  <c r="X8" i="8"/>
  <c r="Y8" i="8"/>
  <c r="O9" i="8"/>
  <c r="P9" i="8"/>
  <c r="Q9" i="8"/>
  <c r="R9" i="8"/>
  <c r="S9" i="8"/>
  <c r="T9" i="8"/>
  <c r="U9" i="8"/>
  <c r="V9" i="8"/>
  <c r="W9" i="8"/>
  <c r="X9" i="8"/>
  <c r="Y9" i="8"/>
  <c r="O10" i="8"/>
  <c r="P10" i="8"/>
  <c r="Q10" i="8"/>
  <c r="R10" i="8"/>
  <c r="S10" i="8"/>
  <c r="T10" i="8"/>
  <c r="U10" i="8"/>
  <c r="V10" i="8"/>
  <c r="W10" i="8"/>
  <c r="X10" i="8"/>
  <c r="Y10" i="8"/>
  <c r="O11" i="8"/>
  <c r="P11" i="8"/>
  <c r="Q11" i="8"/>
  <c r="R11" i="8"/>
  <c r="S11" i="8"/>
  <c r="T11" i="8"/>
  <c r="U11" i="8"/>
  <c r="V11" i="8"/>
  <c r="W11" i="8"/>
  <c r="X11" i="8"/>
  <c r="Y11" i="8"/>
  <c r="O12" i="8"/>
  <c r="P12" i="8"/>
  <c r="Q12" i="8"/>
  <c r="R12" i="8"/>
  <c r="S12" i="8"/>
  <c r="T12" i="8"/>
  <c r="U12" i="8"/>
  <c r="V12" i="8"/>
  <c r="W12" i="8"/>
  <c r="X12" i="8"/>
  <c r="Y12" i="8"/>
  <c r="O13" i="8"/>
  <c r="P13" i="8"/>
  <c r="Q13" i="8"/>
  <c r="R13" i="8"/>
  <c r="S13" i="8"/>
  <c r="T13" i="8"/>
  <c r="U13" i="8"/>
  <c r="V13" i="8"/>
  <c r="W13" i="8"/>
  <c r="X13" i="8"/>
  <c r="Y13" i="8"/>
  <c r="O14" i="8"/>
  <c r="P14" i="8"/>
  <c r="Q14" i="8"/>
  <c r="R14" i="8"/>
  <c r="S14" i="8"/>
  <c r="T14" i="8"/>
  <c r="U14" i="8"/>
  <c r="V14" i="8"/>
  <c r="W14" i="8"/>
  <c r="X14" i="8"/>
  <c r="Y14" i="8"/>
  <c r="O15" i="8"/>
  <c r="P15" i="8"/>
  <c r="Q15" i="8"/>
  <c r="R15" i="8"/>
  <c r="S15" i="8"/>
  <c r="T15" i="8"/>
  <c r="U15" i="8"/>
  <c r="V15" i="8"/>
  <c r="W15" i="8"/>
  <c r="X15" i="8"/>
  <c r="Y15" i="8"/>
  <c r="O16" i="8"/>
  <c r="P16" i="8"/>
  <c r="Q16" i="8"/>
  <c r="R16" i="8"/>
  <c r="S16" i="8"/>
  <c r="T16" i="8"/>
  <c r="U16" i="8"/>
  <c r="V16" i="8"/>
  <c r="W16" i="8"/>
  <c r="X16" i="8"/>
  <c r="Y16" i="8"/>
  <c r="O17" i="8"/>
  <c r="P17" i="8"/>
  <c r="Q17" i="8"/>
  <c r="R17" i="8"/>
  <c r="S17" i="8"/>
  <c r="T17" i="8"/>
  <c r="U17" i="8"/>
  <c r="V17" i="8"/>
  <c r="W17" i="8"/>
  <c r="X17" i="8"/>
  <c r="Y17" i="8"/>
  <c r="O18" i="8"/>
  <c r="P18" i="8"/>
  <c r="Q18" i="8"/>
  <c r="R18" i="8"/>
  <c r="S18" i="8"/>
  <c r="T18" i="8"/>
  <c r="U18" i="8"/>
  <c r="V18" i="8"/>
  <c r="W18" i="8"/>
  <c r="X18" i="8"/>
  <c r="Y18" i="8"/>
  <c r="O19" i="8"/>
  <c r="P19" i="8"/>
  <c r="Q19" i="8"/>
  <c r="R19" i="8"/>
  <c r="S19" i="8"/>
  <c r="T19" i="8"/>
  <c r="U19" i="8"/>
  <c r="V19" i="8"/>
  <c r="W19" i="8"/>
  <c r="X19" i="8"/>
  <c r="Y19" i="8"/>
  <c r="O20" i="8"/>
  <c r="P20" i="8"/>
  <c r="Q20" i="8"/>
  <c r="R20" i="8"/>
  <c r="S20" i="8"/>
  <c r="T20" i="8"/>
  <c r="U20" i="8"/>
  <c r="V20" i="8"/>
  <c r="W20" i="8"/>
  <c r="X20" i="8"/>
  <c r="Y20" i="8"/>
  <c r="O21" i="8"/>
  <c r="P21" i="8"/>
  <c r="Q21" i="8"/>
  <c r="R21" i="8"/>
  <c r="S21" i="8"/>
  <c r="T21" i="8"/>
  <c r="U21" i="8"/>
  <c r="V21" i="8"/>
  <c r="W21" i="8"/>
  <c r="X21" i="8"/>
  <c r="Y21" i="8"/>
  <c r="O22" i="8"/>
  <c r="P22" i="8"/>
  <c r="Q22" i="8"/>
  <c r="R22" i="8"/>
  <c r="S22" i="8"/>
  <c r="T22" i="8"/>
  <c r="U22" i="8"/>
  <c r="V22" i="8"/>
  <c r="W22" i="8"/>
  <c r="X22" i="8"/>
  <c r="Y22" i="8"/>
  <c r="O23" i="8"/>
  <c r="P23" i="8"/>
  <c r="Q23" i="8"/>
  <c r="R23" i="8"/>
  <c r="S23" i="8"/>
  <c r="T23" i="8"/>
  <c r="U23" i="8"/>
  <c r="V23" i="8"/>
  <c r="W23" i="8"/>
  <c r="X23" i="8"/>
  <c r="Y23" i="8"/>
  <c r="O24" i="8"/>
  <c r="P24" i="8"/>
  <c r="Q24" i="8"/>
  <c r="R24" i="8"/>
  <c r="S24" i="8"/>
  <c r="T24" i="8"/>
  <c r="U24" i="8"/>
  <c r="V24" i="8"/>
  <c r="W24" i="8"/>
  <c r="X24" i="8"/>
  <c r="Y24" i="8"/>
  <c r="O25" i="8"/>
  <c r="P25" i="8"/>
  <c r="Q25" i="8"/>
  <c r="R25" i="8"/>
  <c r="S25" i="8"/>
  <c r="T25" i="8"/>
  <c r="U25" i="8"/>
  <c r="V25" i="8"/>
  <c r="W25" i="8"/>
  <c r="X25" i="8"/>
  <c r="Y25" i="8"/>
  <c r="O26" i="8"/>
  <c r="P26" i="8"/>
  <c r="Q26" i="8"/>
  <c r="R26" i="8"/>
  <c r="S26" i="8"/>
  <c r="T26" i="8"/>
  <c r="U26" i="8"/>
  <c r="V26" i="8"/>
  <c r="W26" i="8"/>
  <c r="X26" i="8"/>
  <c r="Y26" i="8"/>
  <c r="O27" i="8"/>
  <c r="P27" i="8"/>
  <c r="Q27" i="8"/>
  <c r="R27" i="8"/>
  <c r="S27" i="8"/>
  <c r="T27" i="8"/>
  <c r="U27" i="8"/>
  <c r="V27" i="8"/>
  <c r="W27" i="8"/>
  <c r="X27" i="8"/>
  <c r="Y27" i="8"/>
  <c r="O28" i="8"/>
  <c r="P28" i="8"/>
  <c r="Q28" i="8"/>
  <c r="R28" i="8"/>
  <c r="S28" i="8"/>
  <c r="T28" i="8"/>
  <c r="U28" i="8"/>
  <c r="V28" i="8"/>
  <c r="W28" i="8"/>
  <c r="X28" i="8"/>
  <c r="Y28" i="8"/>
  <c r="O29" i="8"/>
  <c r="P29" i="8"/>
  <c r="Q29" i="8"/>
  <c r="R29" i="8"/>
  <c r="S29" i="8"/>
  <c r="T29" i="8"/>
  <c r="U29" i="8"/>
  <c r="V29" i="8"/>
  <c r="W29" i="8"/>
  <c r="X29" i="8"/>
  <c r="Y29" i="8"/>
  <c r="O30" i="8"/>
  <c r="P30" i="8"/>
  <c r="Q30" i="8"/>
  <c r="R30" i="8"/>
  <c r="S30" i="8"/>
  <c r="T30" i="8"/>
  <c r="U30" i="8"/>
  <c r="V30" i="8"/>
  <c r="W30" i="8"/>
  <c r="X30" i="8"/>
  <c r="Y30" i="8"/>
  <c r="O31" i="8"/>
  <c r="P31" i="8"/>
  <c r="Q31" i="8"/>
  <c r="R31" i="8"/>
  <c r="S31" i="8"/>
  <c r="T31" i="8"/>
  <c r="U31" i="8"/>
  <c r="V31" i="8"/>
  <c r="W31" i="8"/>
  <c r="X31" i="8"/>
  <c r="Y31" i="8"/>
  <c r="O32" i="8"/>
  <c r="P32" i="8"/>
  <c r="Q32" i="8"/>
  <c r="R32" i="8"/>
  <c r="S32" i="8"/>
  <c r="T32" i="8"/>
  <c r="U32" i="8"/>
  <c r="V32" i="8"/>
  <c r="W32" i="8"/>
  <c r="X32" i="8"/>
  <c r="Y32" i="8"/>
  <c r="O33" i="8"/>
  <c r="P33" i="8"/>
  <c r="Q33" i="8"/>
  <c r="R33" i="8"/>
  <c r="S33" i="8"/>
  <c r="T33" i="8"/>
  <c r="U33" i="8"/>
  <c r="V33" i="8"/>
  <c r="W33" i="8"/>
  <c r="X33" i="8"/>
  <c r="Y33" i="8"/>
  <c r="O34" i="8"/>
  <c r="P34" i="8"/>
  <c r="Q34" i="8"/>
  <c r="R34" i="8"/>
  <c r="S34" i="8"/>
  <c r="T34" i="8"/>
  <c r="U34" i="8"/>
  <c r="V34" i="8"/>
  <c r="W34" i="8"/>
  <c r="X34" i="8"/>
  <c r="Y34" i="8"/>
  <c r="O35" i="8"/>
  <c r="P35" i="8"/>
  <c r="Q35" i="8"/>
  <c r="R35" i="8"/>
  <c r="S35" i="8"/>
  <c r="T35" i="8"/>
  <c r="U35" i="8"/>
  <c r="V35" i="8"/>
  <c r="W35" i="8"/>
  <c r="X35" i="8"/>
  <c r="Y35" i="8"/>
  <c r="O36" i="8"/>
  <c r="P36" i="8"/>
  <c r="Q36" i="8"/>
  <c r="R36" i="8"/>
  <c r="S36" i="8"/>
  <c r="T36" i="8"/>
  <c r="U36" i="8"/>
  <c r="V36" i="8"/>
  <c r="W36" i="8"/>
  <c r="X36" i="8"/>
  <c r="Y36" i="8"/>
  <c r="O37" i="8"/>
  <c r="P37" i="8"/>
  <c r="Q37" i="8"/>
  <c r="R37" i="8"/>
  <c r="S37" i="8"/>
  <c r="T37" i="8"/>
  <c r="U37" i="8"/>
  <c r="V37" i="8"/>
  <c r="W37" i="8"/>
  <c r="X37" i="8"/>
  <c r="Y37" i="8"/>
  <c r="P3" i="8"/>
  <c r="Q3" i="8"/>
  <c r="R3" i="8"/>
  <c r="S3" i="8"/>
  <c r="T3" i="8"/>
  <c r="U3" i="8"/>
  <c r="V3" i="8"/>
  <c r="W3" i="8"/>
  <c r="X3" i="8"/>
  <c r="Y3" i="8"/>
  <c r="O3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O2" i="8"/>
  <c r="P2" i="8"/>
  <c r="Q2" i="8"/>
  <c r="R2" i="8"/>
  <c r="S2" i="8"/>
  <c r="T2" i="8"/>
  <c r="U2" i="8"/>
  <c r="V2" i="8"/>
  <c r="W2" i="8"/>
  <c r="X2" i="8"/>
  <c r="Y2" i="8"/>
  <c r="N2" i="8"/>
  <c r="P3" i="7"/>
  <c r="Q3" i="7"/>
  <c r="R3" i="7"/>
  <c r="S3" i="7"/>
  <c r="T3" i="7"/>
  <c r="U3" i="7"/>
  <c r="V3" i="7"/>
  <c r="W3" i="7"/>
  <c r="X3" i="7"/>
  <c r="P4" i="7"/>
  <c r="Q4" i="7"/>
  <c r="R4" i="7"/>
  <c r="S4" i="7"/>
  <c r="T4" i="7"/>
  <c r="U4" i="7"/>
  <c r="V4" i="7"/>
  <c r="W4" i="7"/>
  <c r="X4" i="7"/>
  <c r="Y4" i="7"/>
  <c r="P5" i="7"/>
  <c r="Q5" i="7"/>
  <c r="R5" i="7"/>
  <c r="S5" i="7"/>
  <c r="T5" i="7"/>
  <c r="U5" i="7"/>
  <c r="V5" i="7"/>
  <c r="W5" i="7"/>
  <c r="X5" i="7"/>
  <c r="Y5" i="7"/>
  <c r="P6" i="7"/>
  <c r="Q6" i="7"/>
  <c r="R6" i="7"/>
  <c r="S6" i="7"/>
  <c r="T6" i="7"/>
  <c r="U6" i="7"/>
  <c r="V6" i="7"/>
  <c r="W6" i="7"/>
  <c r="X6" i="7"/>
  <c r="Y6" i="7"/>
  <c r="P7" i="7"/>
  <c r="Q7" i="7"/>
  <c r="R7" i="7"/>
  <c r="S7" i="7"/>
  <c r="T7" i="7"/>
  <c r="U7" i="7"/>
  <c r="V7" i="7"/>
  <c r="W7" i="7"/>
  <c r="X7" i="7"/>
  <c r="Y7" i="7"/>
  <c r="P8" i="7"/>
  <c r="Q8" i="7"/>
  <c r="R8" i="7"/>
  <c r="S8" i="7"/>
  <c r="T8" i="7"/>
  <c r="U8" i="7"/>
  <c r="V8" i="7"/>
  <c r="W8" i="7"/>
  <c r="X8" i="7"/>
  <c r="Y8" i="7"/>
  <c r="P9" i="7"/>
  <c r="Q9" i="7"/>
  <c r="R9" i="7"/>
  <c r="S9" i="7"/>
  <c r="T9" i="7"/>
  <c r="U9" i="7"/>
  <c r="V9" i="7"/>
  <c r="W9" i="7"/>
  <c r="X9" i="7"/>
  <c r="Y9" i="7"/>
  <c r="P10" i="7"/>
  <c r="Q10" i="7"/>
  <c r="R10" i="7"/>
  <c r="S10" i="7"/>
  <c r="T10" i="7"/>
  <c r="U10" i="7"/>
  <c r="V10" i="7"/>
  <c r="W10" i="7"/>
  <c r="X10" i="7"/>
  <c r="Y10" i="7"/>
  <c r="P11" i="7"/>
  <c r="Q11" i="7"/>
  <c r="R11" i="7"/>
  <c r="S11" i="7"/>
  <c r="T11" i="7"/>
  <c r="U11" i="7"/>
  <c r="V11" i="7"/>
  <c r="W11" i="7"/>
  <c r="X11" i="7"/>
  <c r="Y11" i="7"/>
  <c r="P12" i="7"/>
  <c r="Q12" i="7"/>
  <c r="R12" i="7"/>
  <c r="S12" i="7"/>
  <c r="T12" i="7"/>
  <c r="U12" i="7"/>
  <c r="V12" i="7"/>
  <c r="W12" i="7"/>
  <c r="X12" i="7"/>
  <c r="Y12" i="7"/>
  <c r="P13" i="7"/>
  <c r="Q13" i="7"/>
  <c r="R13" i="7"/>
  <c r="S13" i="7"/>
  <c r="T13" i="7"/>
  <c r="U13" i="7"/>
  <c r="V13" i="7"/>
  <c r="W13" i="7"/>
  <c r="X13" i="7"/>
  <c r="Y13" i="7"/>
  <c r="P14" i="7"/>
  <c r="Q14" i="7"/>
  <c r="R14" i="7"/>
  <c r="S14" i="7"/>
  <c r="T14" i="7"/>
  <c r="U14" i="7"/>
  <c r="V14" i="7"/>
  <c r="W14" i="7"/>
  <c r="X14" i="7"/>
  <c r="Y14" i="7"/>
  <c r="P15" i="7"/>
  <c r="Q15" i="7"/>
  <c r="R15" i="7"/>
  <c r="S15" i="7"/>
  <c r="T15" i="7"/>
  <c r="U15" i="7"/>
  <c r="V15" i="7"/>
  <c r="W15" i="7"/>
  <c r="X15" i="7"/>
  <c r="Y15" i="7"/>
  <c r="P16" i="7"/>
  <c r="Q16" i="7"/>
  <c r="R16" i="7"/>
  <c r="S16" i="7"/>
  <c r="T16" i="7"/>
  <c r="U16" i="7"/>
  <c r="V16" i="7"/>
  <c r="W16" i="7"/>
  <c r="X16" i="7"/>
  <c r="Y16" i="7"/>
  <c r="P17" i="7"/>
  <c r="Q17" i="7"/>
  <c r="R17" i="7"/>
  <c r="S17" i="7"/>
  <c r="T17" i="7"/>
  <c r="U17" i="7"/>
  <c r="V17" i="7"/>
  <c r="W17" i="7"/>
  <c r="X17" i="7"/>
  <c r="Y17" i="7"/>
  <c r="P18" i="7"/>
  <c r="Q18" i="7"/>
  <c r="R18" i="7"/>
  <c r="S18" i="7"/>
  <c r="T18" i="7"/>
  <c r="U18" i="7"/>
  <c r="V18" i="7"/>
  <c r="W18" i="7"/>
  <c r="X18" i="7"/>
  <c r="Y18" i="7"/>
  <c r="P19" i="7"/>
  <c r="Q19" i="7"/>
  <c r="R19" i="7"/>
  <c r="S19" i="7"/>
  <c r="T19" i="7"/>
  <c r="U19" i="7"/>
  <c r="V19" i="7"/>
  <c r="W19" i="7"/>
  <c r="X19" i="7"/>
  <c r="Y19" i="7"/>
  <c r="P20" i="7"/>
  <c r="Q20" i="7"/>
  <c r="R20" i="7"/>
  <c r="S20" i="7"/>
  <c r="T20" i="7"/>
  <c r="U20" i="7"/>
  <c r="V20" i="7"/>
  <c r="W20" i="7"/>
  <c r="X20" i="7"/>
  <c r="Y20" i="7"/>
  <c r="P21" i="7"/>
  <c r="Q21" i="7"/>
  <c r="R21" i="7"/>
  <c r="S21" i="7"/>
  <c r="T21" i="7"/>
  <c r="U21" i="7"/>
  <c r="V21" i="7"/>
  <c r="W21" i="7"/>
  <c r="X21" i="7"/>
  <c r="Y21" i="7"/>
  <c r="P22" i="7"/>
  <c r="Q22" i="7"/>
  <c r="R22" i="7"/>
  <c r="S22" i="7"/>
  <c r="T22" i="7"/>
  <c r="U22" i="7"/>
  <c r="V22" i="7"/>
  <c r="W22" i="7"/>
  <c r="X22" i="7"/>
  <c r="Y22" i="7"/>
  <c r="P23" i="7"/>
  <c r="Q23" i="7"/>
  <c r="R23" i="7"/>
  <c r="S23" i="7"/>
  <c r="T23" i="7"/>
  <c r="U23" i="7"/>
  <c r="V23" i="7"/>
  <c r="W23" i="7"/>
  <c r="X23" i="7"/>
  <c r="Y23" i="7"/>
  <c r="P24" i="7"/>
  <c r="Q24" i="7"/>
  <c r="R24" i="7"/>
  <c r="S24" i="7"/>
  <c r="T24" i="7"/>
  <c r="U24" i="7"/>
  <c r="V24" i="7"/>
  <c r="W24" i="7"/>
  <c r="X24" i="7"/>
  <c r="Y24" i="7"/>
  <c r="P25" i="7"/>
  <c r="Q25" i="7"/>
  <c r="R25" i="7"/>
  <c r="S25" i="7"/>
  <c r="T25" i="7"/>
  <c r="U25" i="7"/>
  <c r="V25" i="7"/>
  <c r="W25" i="7"/>
  <c r="X25" i="7"/>
  <c r="Y25" i="7"/>
  <c r="P26" i="7"/>
  <c r="Q26" i="7"/>
  <c r="R26" i="7"/>
  <c r="S26" i="7"/>
  <c r="T26" i="7"/>
  <c r="U26" i="7"/>
  <c r="V26" i="7"/>
  <c r="W26" i="7"/>
  <c r="X26" i="7"/>
  <c r="Y26" i="7"/>
  <c r="P27" i="7"/>
  <c r="Q27" i="7"/>
  <c r="R27" i="7"/>
  <c r="S27" i="7"/>
  <c r="T27" i="7"/>
  <c r="U27" i="7"/>
  <c r="V27" i="7"/>
  <c r="W27" i="7"/>
  <c r="X27" i="7"/>
  <c r="Y27" i="7"/>
  <c r="P28" i="7"/>
  <c r="Q28" i="7"/>
  <c r="R28" i="7"/>
  <c r="S28" i="7"/>
  <c r="T28" i="7"/>
  <c r="U28" i="7"/>
  <c r="V28" i="7"/>
  <c r="W28" i="7"/>
  <c r="X28" i="7"/>
  <c r="Y28" i="7"/>
  <c r="P29" i="7"/>
  <c r="Q29" i="7"/>
  <c r="R29" i="7"/>
  <c r="S29" i="7"/>
  <c r="T29" i="7"/>
  <c r="U29" i="7"/>
  <c r="V29" i="7"/>
  <c r="W29" i="7"/>
  <c r="X29" i="7"/>
  <c r="Y29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O2" i="7"/>
  <c r="P2" i="7"/>
  <c r="Q2" i="7"/>
  <c r="R2" i="7"/>
  <c r="S2" i="7"/>
  <c r="T2" i="7"/>
  <c r="U2" i="7"/>
  <c r="V2" i="7"/>
  <c r="W2" i="7"/>
  <c r="X2" i="7"/>
  <c r="Y2" i="7"/>
  <c r="N2" i="7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J25" i="6"/>
  <c r="K22" i="4"/>
  <c r="K21" i="4"/>
  <c r="W200" i="16"/>
  <c r="Y200" i="16" s="1"/>
  <c r="Y199" i="16"/>
  <c r="W199" i="16"/>
  <c r="W198" i="16"/>
  <c r="Y198" i="16" s="1"/>
  <c r="Y197" i="16"/>
  <c r="W197" i="16"/>
  <c r="W196" i="16"/>
  <c r="Y196" i="16" s="1"/>
  <c r="W195" i="16"/>
  <c r="Y195" i="16" s="1"/>
  <c r="Y194" i="16"/>
  <c r="W194" i="16"/>
  <c r="Y193" i="16"/>
  <c r="W193" i="16"/>
  <c r="W192" i="16"/>
  <c r="Y192" i="16" s="1"/>
  <c r="Y191" i="16"/>
  <c r="W191" i="16"/>
  <c r="W190" i="16"/>
  <c r="Y190" i="16" s="1"/>
  <c r="W189" i="16"/>
  <c r="Y189" i="16"/>
  <c r="W188" i="16"/>
  <c r="Y188" i="16" s="1"/>
  <c r="W187" i="16"/>
  <c r="Y187" i="16" s="1"/>
  <c r="W186" i="16"/>
  <c r="Y186" i="16" s="1"/>
  <c r="Y185" i="16"/>
  <c r="W185" i="16"/>
  <c r="W184" i="16"/>
  <c r="Y184" i="16" s="1"/>
  <c r="W183" i="16"/>
  <c r="Y183" i="16"/>
  <c r="W182" i="16"/>
  <c r="Y182" i="16" s="1"/>
  <c r="Y181" i="16"/>
  <c r="W181" i="16"/>
  <c r="W180" i="16"/>
  <c r="Y180" i="16" s="1"/>
  <c r="Y179" i="16"/>
  <c r="W179" i="16"/>
  <c r="W178" i="16"/>
  <c r="Y178" i="16" s="1"/>
  <c r="W177" i="16"/>
  <c r="Y177" i="16"/>
  <c r="W176" i="16"/>
  <c r="Y176" i="16" s="1"/>
  <c r="W175" i="16"/>
  <c r="Y175" i="16" s="1"/>
  <c r="W174" i="16"/>
  <c r="Y174" i="16" s="1"/>
  <c r="Y173" i="16"/>
  <c r="W173" i="16"/>
  <c r="W172" i="16"/>
  <c r="Y172" i="16" s="1"/>
  <c r="W171" i="16"/>
  <c r="Y171" i="16"/>
  <c r="W170" i="16"/>
  <c r="Y170" i="16" s="1"/>
  <c r="Y169" i="16"/>
  <c r="W169" i="16"/>
  <c r="W168" i="16"/>
  <c r="Y168" i="16"/>
  <c r="W167" i="16"/>
  <c r="Y167" i="16" s="1"/>
  <c r="W166" i="16"/>
  <c r="Y166" i="16" s="1"/>
  <c r="W165" i="16"/>
  <c r="Y165" i="16"/>
  <c r="W164" i="16"/>
  <c r="Y164" i="16" s="1"/>
  <c r="W163" i="16"/>
  <c r="Y163" i="16" s="1"/>
  <c r="W162" i="16"/>
  <c r="Y162" i="16" s="1"/>
  <c r="Y161" i="16"/>
  <c r="W161" i="16"/>
  <c r="W160" i="16"/>
  <c r="Y160" i="16" s="1"/>
  <c r="W159" i="16"/>
  <c r="Y159" i="16"/>
  <c r="W158" i="16"/>
  <c r="Y158" i="16" s="1"/>
  <c r="Y157" i="16"/>
  <c r="W157" i="16"/>
  <c r="W156" i="16"/>
  <c r="Y156" i="16"/>
  <c r="Y155" i="16"/>
  <c r="W155" i="16"/>
  <c r="W154" i="16"/>
  <c r="Y154" i="16" s="1"/>
  <c r="W153" i="16"/>
  <c r="Y153" i="16"/>
  <c r="W152" i="16"/>
  <c r="Y152" i="16" s="1"/>
  <c r="W151" i="16"/>
  <c r="Y151" i="16" s="1"/>
  <c r="W150" i="16"/>
  <c r="Y150" i="16" s="1"/>
  <c r="Y149" i="16"/>
  <c r="W149" i="16"/>
  <c r="W148" i="16"/>
  <c r="Y148" i="16" s="1"/>
  <c r="W147" i="16"/>
  <c r="Y147" i="16"/>
  <c r="W146" i="16"/>
  <c r="Y146" i="16" s="1"/>
  <c r="Y145" i="16"/>
  <c r="W145" i="16"/>
  <c r="W144" i="16"/>
  <c r="Y144" i="16"/>
  <c r="Y143" i="16"/>
  <c r="W143" i="16"/>
  <c r="W142" i="16"/>
  <c r="Y142" i="16" s="1"/>
  <c r="W141" i="16"/>
  <c r="Y141" i="16"/>
  <c r="W140" i="16"/>
  <c r="Y140" i="16" s="1"/>
  <c r="W139" i="16"/>
  <c r="Y139" i="16" s="1"/>
  <c r="W138" i="16"/>
  <c r="Y138" i="16" s="1"/>
  <c r="W137" i="16"/>
  <c r="Y137" i="16" s="1"/>
  <c r="W136" i="16"/>
  <c r="Y136" i="16" s="1"/>
  <c r="W135" i="16"/>
  <c r="Y135" i="16"/>
  <c r="W134" i="16"/>
  <c r="Y134" i="16" s="1"/>
  <c r="Y133" i="16"/>
  <c r="W133" i="16"/>
  <c r="W132" i="16"/>
  <c r="Y132" i="16"/>
  <c r="Y131" i="16"/>
  <c r="W131" i="16"/>
  <c r="W130" i="16"/>
  <c r="Y130" i="16" s="1"/>
  <c r="W129" i="16"/>
  <c r="Y129" i="16" s="1"/>
  <c r="W128" i="16"/>
  <c r="Y128" i="16" s="1"/>
  <c r="W127" i="16"/>
  <c r="Y127" i="16" s="1"/>
  <c r="W126" i="16"/>
  <c r="T126" i="16"/>
  <c r="Y126" i="16" s="1"/>
  <c r="W125" i="16"/>
  <c r="T125" i="16"/>
  <c r="Y125" i="16" s="1"/>
  <c r="W124" i="16"/>
  <c r="T124" i="16"/>
  <c r="Y124" i="16" s="1"/>
  <c r="W123" i="16"/>
  <c r="T123" i="16"/>
  <c r="Y123" i="16" s="1"/>
  <c r="W122" i="16"/>
  <c r="T122" i="16"/>
  <c r="Y122" i="16"/>
  <c r="W121" i="16"/>
  <c r="T121" i="16"/>
  <c r="Y121" i="16" s="1"/>
  <c r="W120" i="16"/>
  <c r="T120" i="16"/>
  <c r="Y120" i="16" s="1"/>
  <c r="W119" i="16"/>
  <c r="T119" i="16"/>
  <c r="Y119" i="16" s="1"/>
  <c r="W118" i="16"/>
  <c r="V118" i="16"/>
  <c r="T118" i="16"/>
  <c r="Y118" i="16" s="1"/>
  <c r="Y117" i="16"/>
  <c r="W117" i="16"/>
  <c r="V117" i="16"/>
  <c r="T117" i="16"/>
  <c r="W116" i="16"/>
  <c r="V116" i="16"/>
  <c r="T116" i="16"/>
  <c r="Y116" i="16" s="1"/>
  <c r="W115" i="16"/>
  <c r="V115" i="16"/>
  <c r="T115" i="16"/>
  <c r="Y115" i="16" s="1"/>
  <c r="W114" i="16"/>
  <c r="V114" i="16"/>
  <c r="Y114" i="16" s="1"/>
  <c r="T114" i="16"/>
  <c r="W113" i="16"/>
  <c r="V113" i="16"/>
  <c r="T113" i="16"/>
  <c r="Y113" i="16" s="1"/>
  <c r="W112" i="16"/>
  <c r="Y112" i="16" s="1"/>
  <c r="V112" i="16"/>
  <c r="T112" i="16"/>
  <c r="W111" i="16"/>
  <c r="V111" i="16"/>
  <c r="T111" i="16"/>
  <c r="Y111" i="16" s="1"/>
  <c r="W110" i="16"/>
  <c r="V110" i="16"/>
  <c r="T110" i="16"/>
  <c r="Y110" i="16"/>
  <c r="W109" i="16"/>
  <c r="V109" i="16"/>
  <c r="T109" i="16"/>
  <c r="Y109" i="16" s="1"/>
  <c r="W108" i="16"/>
  <c r="V108" i="16"/>
  <c r="T108" i="16"/>
  <c r="Y108" i="16" s="1"/>
  <c r="W107" i="16"/>
  <c r="V107" i="16"/>
  <c r="T107" i="16"/>
  <c r="Y107" i="16" s="1"/>
  <c r="W106" i="16"/>
  <c r="V106" i="16"/>
  <c r="T106" i="16"/>
  <c r="Y106" i="16" s="1"/>
  <c r="W105" i="16"/>
  <c r="V105" i="16"/>
  <c r="T105" i="16"/>
  <c r="Y105" i="16" s="1"/>
  <c r="W104" i="16"/>
  <c r="V104" i="16"/>
  <c r="T104" i="16"/>
  <c r="Y104" i="16" s="1"/>
  <c r="W103" i="16"/>
  <c r="V103" i="16"/>
  <c r="T103" i="16"/>
  <c r="Y103" i="16" s="1"/>
  <c r="Y102" i="16"/>
  <c r="W102" i="16"/>
  <c r="V102" i="16"/>
  <c r="T102" i="16"/>
  <c r="W101" i="16"/>
  <c r="V101" i="16"/>
  <c r="Y101" i="16" s="1"/>
  <c r="T101" i="16"/>
  <c r="W100" i="16"/>
  <c r="V100" i="16"/>
  <c r="T100" i="16"/>
  <c r="Y100" i="16" s="1"/>
  <c r="X99" i="16"/>
  <c r="Y99" i="16" s="1"/>
  <c r="W99" i="16"/>
  <c r="V99" i="16"/>
  <c r="T99" i="16"/>
  <c r="X98" i="16"/>
  <c r="W98" i="16"/>
  <c r="V98" i="16"/>
  <c r="Y98" i="16" s="1"/>
  <c r="T98" i="16"/>
  <c r="X97" i="16"/>
  <c r="W97" i="16"/>
  <c r="V97" i="16"/>
  <c r="T97" i="16"/>
  <c r="Y97" i="16" s="1"/>
  <c r="X96" i="16"/>
  <c r="W96" i="16"/>
  <c r="V96" i="16"/>
  <c r="T96" i="16"/>
  <c r="Y96" i="16" s="1"/>
  <c r="X95" i="16"/>
  <c r="W95" i="16"/>
  <c r="V95" i="16"/>
  <c r="T95" i="16"/>
  <c r="Y95" i="16" s="1"/>
  <c r="Y94" i="16"/>
  <c r="X94" i="16"/>
  <c r="W94" i="16"/>
  <c r="V94" i="16"/>
  <c r="T94" i="16"/>
  <c r="X93" i="16"/>
  <c r="W93" i="16"/>
  <c r="Y93" i="16" s="1"/>
  <c r="V93" i="16"/>
  <c r="T93" i="16"/>
  <c r="X92" i="16"/>
  <c r="W92" i="16"/>
  <c r="V92" i="16"/>
  <c r="U92" i="16"/>
  <c r="Y92" i="16" s="1"/>
  <c r="T92" i="16"/>
  <c r="X91" i="16"/>
  <c r="W91" i="16"/>
  <c r="V91" i="16"/>
  <c r="U91" i="16"/>
  <c r="Y91" i="16" s="1"/>
  <c r="T91" i="16"/>
  <c r="X90" i="16"/>
  <c r="W90" i="16"/>
  <c r="Y90" i="16" s="1"/>
  <c r="V90" i="16"/>
  <c r="U90" i="16"/>
  <c r="T90" i="16"/>
  <c r="X89" i="16"/>
  <c r="W89" i="16"/>
  <c r="V89" i="16"/>
  <c r="U89" i="16"/>
  <c r="Y89" i="16" s="1"/>
  <c r="T89" i="16"/>
  <c r="X88" i="16"/>
  <c r="W88" i="16"/>
  <c r="V88" i="16"/>
  <c r="U88" i="16"/>
  <c r="T88" i="16"/>
  <c r="S88" i="16"/>
  <c r="Y88" i="16" s="1"/>
  <c r="X87" i="16"/>
  <c r="W87" i="16"/>
  <c r="V87" i="16"/>
  <c r="U87" i="16"/>
  <c r="T87" i="16"/>
  <c r="S87" i="16"/>
  <c r="Y87" i="16" s="1"/>
  <c r="X86" i="16"/>
  <c r="W86" i="16"/>
  <c r="V86" i="16"/>
  <c r="U86" i="16"/>
  <c r="T86" i="16"/>
  <c r="S86" i="16"/>
  <c r="Y86" i="16" s="1"/>
  <c r="X85" i="16"/>
  <c r="W85" i="16"/>
  <c r="V85" i="16"/>
  <c r="U85" i="16"/>
  <c r="T85" i="16"/>
  <c r="S85" i="16"/>
  <c r="Y85" i="16" s="1"/>
  <c r="X84" i="16"/>
  <c r="W84" i="16"/>
  <c r="V84" i="16"/>
  <c r="U84" i="16"/>
  <c r="T84" i="16"/>
  <c r="S84" i="16"/>
  <c r="Y84" i="16" s="1"/>
  <c r="X83" i="16"/>
  <c r="W83" i="16"/>
  <c r="V83" i="16"/>
  <c r="U83" i="16"/>
  <c r="T83" i="16"/>
  <c r="S83" i="16"/>
  <c r="Y83" i="16" s="1"/>
  <c r="X82" i="16"/>
  <c r="W82" i="16"/>
  <c r="V82" i="16"/>
  <c r="U82" i="16"/>
  <c r="T82" i="16"/>
  <c r="S82" i="16"/>
  <c r="Y82" i="16" s="1"/>
  <c r="X81" i="16"/>
  <c r="W81" i="16"/>
  <c r="V81" i="16"/>
  <c r="U81" i="16"/>
  <c r="T81" i="16"/>
  <c r="S81" i="16"/>
  <c r="Y81" i="16" s="1"/>
  <c r="X80" i="16"/>
  <c r="W80" i="16"/>
  <c r="V80" i="16"/>
  <c r="U80" i="16"/>
  <c r="T80" i="16"/>
  <c r="S80" i="16"/>
  <c r="Y80" i="16"/>
  <c r="X79" i="16"/>
  <c r="W79" i="16"/>
  <c r="V79" i="16"/>
  <c r="U79" i="16"/>
  <c r="T79" i="16"/>
  <c r="S79" i="16"/>
  <c r="R79" i="16"/>
  <c r="O79" i="16"/>
  <c r="X78" i="16"/>
  <c r="W78" i="16"/>
  <c r="V78" i="16"/>
  <c r="U78" i="16"/>
  <c r="T78" i="16"/>
  <c r="S78" i="16"/>
  <c r="R78" i="16"/>
  <c r="P78" i="16"/>
  <c r="O78" i="16"/>
  <c r="Y78" i="16" s="1"/>
  <c r="X77" i="16"/>
  <c r="W77" i="16"/>
  <c r="V77" i="16"/>
  <c r="U77" i="16"/>
  <c r="T77" i="16"/>
  <c r="S77" i="16"/>
  <c r="R77" i="16"/>
  <c r="P77" i="16"/>
  <c r="O77" i="16"/>
  <c r="X76" i="16"/>
  <c r="W76" i="16"/>
  <c r="V76" i="16"/>
  <c r="U76" i="16"/>
  <c r="T76" i="16"/>
  <c r="S76" i="16"/>
  <c r="R76" i="16"/>
  <c r="P76" i="16"/>
  <c r="O76" i="16"/>
  <c r="X75" i="16"/>
  <c r="W75" i="16"/>
  <c r="V75" i="16"/>
  <c r="U75" i="16"/>
  <c r="T75" i="16"/>
  <c r="S75" i="16"/>
  <c r="R75" i="16"/>
  <c r="P75" i="16"/>
  <c r="O75" i="16"/>
  <c r="X74" i="16"/>
  <c r="W74" i="16"/>
  <c r="V74" i="16"/>
  <c r="U74" i="16"/>
  <c r="T74" i="16"/>
  <c r="S74" i="16"/>
  <c r="R74" i="16"/>
  <c r="P74" i="16"/>
  <c r="O74" i="16"/>
  <c r="X73" i="16"/>
  <c r="W73" i="16"/>
  <c r="V73" i="16"/>
  <c r="U73" i="16"/>
  <c r="T73" i="16"/>
  <c r="S73" i="16"/>
  <c r="R73" i="16"/>
  <c r="P73" i="16"/>
  <c r="O73" i="16"/>
  <c r="Y73" i="16" s="1"/>
  <c r="X72" i="16"/>
  <c r="W72" i="16"/>
  <c r="V72" i="16"/>
  <c r="U72" i="16"/>
  <c r="T72" i="16"/>
  <c r="S72" i="16"/>
  <c r="R72" i="16"/>
  <c r="P72" i="16"/>
  <c r="O72" i="16"/>
  <c r="X71" i="16"/>
  <c r="W71" i="16"/>
  <c r="V71" i="16"/>
  <c r="U71" i="16"/>
  <c r="T71" i="16"/>
  <c r="S71" i="16"/>
  <c r="R71" i="16"/>
  <c r="P71" i="16"/>
  <c r="O71" i="16"/>
  <c r="X70" i="16"/>
  <c r="W70" i="16"/>
  <c r="V70" i="16"/>
  <c r="U70" i="16"/>
  <c r="T70" i="16"/>
  <c r="S70" i="16"/>
  <c r="R70" i="16"/>
  <c r="P70" i="16"/>
  <c r="O70" i="16"/>
  <c r="Y70" i="16" s="1"/>
  <c r="X69" i="16"/>
  <c r="W69" i="16"/>
  <c r="V69" i="16"/>
  <c r="U69" i="16"/>
  <c r="T69" i="16"/>
  <c r="S69" i="16"/>
  <c r="R69" i="16"/>
  <c r="P69" i="16"/>
  <c r="O69" i="16"/>
  <c r="X68" i="16"/>
  <c r="W68" i="16"/>
  <c r="V68" i="16"/>
  <c r="U68" i="16"/>
  <c r="T68" i="16"/>
  <c r="S68" i="16"/>
  <c r="R68" i="16"/>
  <c r="P68" i="16"/>
  <c r="O68" i="16"/>
  <c r="X67" i="16"/>
  <c r="W67" i="16"/>
  <c r="V67" i="16"/>
  <c r="U67" i="16"/>
  <c r="T67" i="16"/>
  <c r="S67" i="16"/>
  <c r="R67" i="16"/>
  <c r="P67" i="16"/>
  <c r="O67" i="16"/>
  <c r="Y66" i="16"/>
  <c r="X66" i="16"/>
  <c r="W66" i="16"/>
  <c r="V66" i="16"/>
  <c r="U66" i="16"/>
  <c r="T66" i="16"/>
  <c r="S66" i="16"/>
  <c r="R66" i="16"/>
  <c r="P66" i="16"/>
  <c r="O66" i="16"/>
  <c r="X65" i="16"/>
  <c r="W65" i="16"/>
  <c r="V65" i="16"/>
  <c r="U65" i="16"/>
  <c r="T65" i="16"/>
  <c r="S65" i="16"/>
  <c r="R65" i="16"/>
  <c r="P65" i="16"/>
  <c r="O65" i="16"/>
  <c r="X64" i="16"/>
  <c r="W64" i="16"/>
  <c r="V64" i="16"/>
  <c r="U64" i="16"/>
  <c r="T64" i="16"/>
  <c r="S64" i="16"/>
  <c r="R64" i="16"/>
  <c r="P64" i="16"/>
  <c r="O64" i="16"/>
  <c r="X63" i="16"/>
  <c r="W63" i="16"/>
  <c r="V63" i="16"/>
  <c r="U63" i="16"/>
  <c r="T63" i="16"/>
  <c r="S63" i="16"/>
  <c r="R63" i="16"/>
  <c r="P63" i="16"/>
  <c r="O63" i="16"/>
  <c r="Y63" i="16" s="1"/>
  <c r="X62" i="16"/>
  <c r="W62" i="16"/>
  <c r="V62" i="16"/>
  <c r="U62" i="16"/>
  <c r="T62" i="16"/>
  <c r="S62" i="16"/>
  <c r="R62" i="16"/>
  <c r="P62" i="16"/>
  <c r="O62" i="16"/>
  <c r="X61" i="16"/>
  <c r="W61" i="16"/>
  <c r="V61" i="16"/>
  <c r="U61" i="16"/>
  <c r="T61" i="16"/>
  <c r="S61" i="16"/>
  <c r="Y61" i="16" s="1"/>
  <c r="R61" i="16"/>
  <c r="P61" i="16"/>
  <c r="O61" i="16"/>
  <c r="X60" i="16"/>
  <c r="W60" i="16"/>
  <c r="V60" i="16"/>
  <c r="U60" i="16"/>
  <c r="T60" i="16"/>
  <c r="S60" i="16"/>
  <c r="R60" i="16"/>
  <c r="P60" i="16"/>
  <c r="O60" i="16"/>
  <c r="X59" i="16"/>
  <c r="W59" i="16"/>
  <c r="V59" i="16"/>
  <c r="U59" i="16"/>
  <c r="T59" i="16"/>
  <c r="S59" i="16"/>
  <c r="R59" i="16"/>
  <c r="P59" i="16"/>
  <c r="O59" i="16"/>
  <c r="Y59" i="16" s="1"/>
  <c r="X58" i="16"/>
  <c r="W58" i="16"/>
  <c r="V58" i="16"/>
  <c r="U58" i="16"/>
  <c r="T58" i="16"/>
  <c r="S58" i="16"/>
  <c r="R58" i="16"/>
  <c r="P58" i="16"/>
  <c r="O58" i="16"/>
  <c r="Y58" i="16" s="1"/>
  <c r="X57" i="16"/>
  <c r="W57" i="16"/>
  <c r="V57" i="16"/>
  <c r="U57" i="16"/>
  <c r="T57" i="16"/>
  <c r="S57" i="16"/>
  <c r="R57" i="16"/>
  <c r="P57" i="16"/>
  <c r="O57" i="16"/>
  <c r="X56" i="16"/>
  <c r="W56" i="16"/>
  <c r="V56" i="16"/>
  <c r="U56" i="16"/>
  <c r="T56" i="16"/>
  <c r="S56" i="16"/>
  <c r="R56" i="16"/>
  <c r="Q56" i="16"/>
  <c r="P56" i="16"/>
  <c r="O56" i="16"/>
  <c r="X55" i="16"/>
  <c r="W55" i="16"/>
  <c r="V55" i="16"/>
  <c r="U55" i="16"/>
  <c r="T55" i="16"/>
  <c r="S55" i="16"/>
  <c r="R55" i="16"/>
  <c r="Q55" i="16"/>
  <c r="P55" i="16"/>
  <c r="O55" i="16"/>
  <c r="X54" i="16"/>
  <c r="W54" i="16"/>
  <c r="V54" i="16"/>
  <c r="U54" i="16"/>
  <c r="T54" i="16"/>
  <c r="S54" i="16"/>
  <c r="R54" i="16"/>
  <c r="Q54" i="16"/>
  <c r="P54" i="16"/>
  <c r="O54" i="16"/>
  <c r="Y54" i="16" s="1"/>
  <c r="X53" i="16"/>
  <c r="W53" i="16"/>
  <c r="V53" i="16"/>
  <c r="U53" i="16"/>
  <c r="T53" i="16"/>
  <c r="S53" i="16"/>
  <c r="R53" i="16"/>
  <c r="Q53" i="16"/>
  <c r="P53" i="16"/>
  <c r="O53" i="16"/>
  <c r="X52" i="16"/>
  <c r="W52" i="16"/>
  <c r="V52" i="16"/>
  <c r="U52" i="16"/>
  <c r="T52" i="16"/>
  <c r="S52" i="16"/>
  <c r="R52" i="16"/>
  <c r="Q52" i="16"/>
  <c r="P52" i="16"/>
  <c r="O52" i="16"/>
  <c r="X51" i="16"/>
  <c r="W51" i="16"/>
  <c r="V51" i="16"/>
  <c r="U51" i="16"/>
  <c r="T51" i="16"/>
  <c r="S51" i="16"/>
  <c r="R51" i="16"/>
  <c r="Q51" i="16"/>
  <c r="P51" i="16"/>
  <c r="O51" i="16"/>
  <c r="Y51" i="16" s="1"/>
  <c r="X50" i="16"/>
  <c r="W50" i="16"/>
  <c r="V50" i="16"/>
  <c r="U50" i="16"/>
  <c r="T50" i="16"/>
  <c r="S50" i="16"/>
  <c r="R50" i="16"/>
  <c r="Q50" i="16"/>
  <c r="P50" i="16"/>
  <c r="O50" i="16"/>
  <c r="X49" i="16"/>
  <c r="W49" i="16"/>
  <c r="V49" i="16"/>
  <c r="U49" i="16"/>
  <c r="T49" i="16"/>
  <c r="S49" i="16"/>
  <c r="R49" i="16"/>
  <c r="Q49" i="16"/>
  <c r="P49" i="16"/>
  <c r="O49" i="16"/>
  <c r="X48" i="16"/>
  <c r="W48" i="16"/>
  <c r="V48" i="16"/>
  <c r="U48" i="16"/>
  <c r="T48" i="16"/>
  <c r="S48" i="16"/>
  <c r="R48" i="16"/>
  <c r="Q48" i="16"/>
  <c r="P48" i="16"/>
  <c r="O48" i="16"/>
  <c r="X47" i="16"/>
  <c r="W47" i="16"/>
  <c r="V47" i="16"/>
  <c r="U47" i="16"/>
  <c r="T47" i="16"/>
  <c r="S47" i="16"/>
  <c r="R47" i="16"/>
  <c r="Q47" i="16"/>
  <c r="P47" i="16"/>
  <c r="O47" i="16"/>
  <c r="X46" i="16"/>
  <c r="W46" i="16"/>
  <c r="V46" i="16"/>
  <c r="U46" i="16"/>
  <c r="T46" i="16"/>
  <c r="S46" i="16"/>
  <c r="R46" i="16"/>
  <c r="Q46" i="16"/>
  <c r="P46" i="16"/>
  <c r="O46" i="16"/>
  <c r="X45" i="16"/>
  <c r="W45" i="16"/>
  <c r="V45" i="16"/>
  <c r="U45" i="16"/>
  <c r="T45" i="16"/>
  <c r="S45" i="16"/>
  <c r="R45" i="16"/>
  <c r="Q45" i="16"/>
  <c r="P45" i="16"/>
  <c r="O45" i="16"/>
  <c r="X44" i="16"/>
  <c r="W44" i="16"/>
  <c r="V44" i="16"/>
  <c r="U44" i="16"/>
  <c r="T44" i="16"/>
  <c r="S44" i="16"/>
  <c r="R44" i="16"/>
  <c r="Q44" i="16"/>
  <c r="P44" i="16"/>
  <c r="O44" i="16"/>
  <c r="X43" i="16"/>
  <c r="W43" i="16"/>
  <c r="V43" i="16"/>
  <c r="U43" i="16"/>
  <c r="T43" i="16"/>
  <c r="S43" i="16"/>
  <c r="R43" i="16"/>
  <c r="Q43" i="16"/>
  <c r="P43" i="16"/>
  <c r="O43" i="16"/>
  <c r="X42" i="16"/>
  <c r="W42" i="16"/>
  <c r="V42" i="16"/>
  <c r="U42" i="16"/>
  <c r="T42" i="16"/>
  <c r="S42" i="16"/>
  <c r="R42" i="16"/>
  <c r="Q42" i="16"/>
  <c r="P42" i="16"/>
  <c r="O42" i="16"/>
  <c r="Y42" i="16" s="1"/>
  <c r="X41" i="16"/>
  <c r="W41" i="16"/>
  <c r="V41" i="16"/>
  <c r="U41" i="16"/>
  <c r="T41" i="16"/>
  <c r="S41" i="16"/>
  <c r="R41" i="16"/>
  <c r="Q41" i="16"/>
  <c r="P41" i="16"/>
  <c r="O41" i="16"/>
  <c r="X40" i="16"/>
  <c r="W40" i="16"/>
  <c r="V40" i="16"/>
  <c r="U40" i="16"/>
  <c r="T40" i="16"/>
  <c r="S40" i="16"/>
  <c r="R40" i="16"/>
  <c r="Q40" i="16"/>
  <c r="P40" i="16"/>
  <c r="Y40" i="16" s="1"/>
  <c r="O40" i="16"/>
  <c r="X39" i="16"/>
  <c r="W39" i="16"/>
  <c r="V39" i="16"/>
  <c r="U39" i="16"/>
  <c r="T39" i="16"/>
  <c r="S39" i="16"/>
  <c r="R39" i="16"/>
  <c r="Q39" i="16"/>
  <c r="P39" i="16"/>
  <c r="O39" i="16"/>
  <c r="X38" i="16"/>
  <c r="W38" i="16"/>
  <c r="V38" i="16"/>
  <c r="U38" i="16"/>
  <c r="T38" i="16"/>
  <c r="S38" i="16"/>
  <c r="R38" i="16"/>
  <c r="Q38" i="16"/>
  <c r="P38" i="16"/>
  <c r="O38" i="16"/>
  <c r="X37" i="16"/>
  <c r="W37" i="16"/>
  <c r="V37" i="16"/>
  <c r="U37" i="16"/>
  <c r="T37" i="16"/>
  <c r="S37" i="16"/>
  <c r="R37" i="16"/>
  <c r="Q37" i="16"/>
  <c r="P37" i="16"/>
  <c r="O37" i="16"/>
  <c r="X36" i="16"/>
  <c r="W36" i="16"/>
  <c r="V36" i="16"/>
  <c r="U36" i="16"/>
  <c r="T36" i="16"/>
  <c r="S36" i="16"/>
  <c r="R36" i="16"/>
  <c r="Q36" i="16"/>
  <c r="P36" i="16"/>
  <c r="O36" i="16"/>
  <c r="X35" i="16"/>
  <c r="W35" i="16"/>
  <c r="V35" i="16"/>
  <c r="U35" i="16"/>
  <c r="T35" i="16"/>
  <c r="S35" i="16"/>
  <c r="R35" i="16"/>
  <c r="Q35" i="16"/>
  <c r="P35" i="16"/>
  <c r="O35" i="16"/>
  <c r="X34" i="16"/>
  <c r="W34" i="16"/>
  <c r="V34" i="16"/>
  <c r="U34" i="16"/>
  <c r="T34" i="16"/>
  <c r="S34" i="16"/>
  <c r="R34" i="16"/>
  <c r="Q34" i="16"/>
  <c r="P34" i="16"/>
  <c r="O34" i="16"/>
  <c r="X33" i="16"/>
  <c r="W33" i="16"/>
  <c r="V33" i="16"/>
  <c r="U33" i="16"/>
  <c r="T33" i="16"/>
  <c r="S33" i="16"/>
  <c r="R33" i="16"/>
  <c r="Q33" i="16"/>
  <c r="P33" i="16"/>
  <c r="Y33" i="16" s="1"/>
  <c r="O33" i="16"/>
  <c r="X32" i="16"/>
  <c r="W32" i="16"/>
  <c r="V32" i="16"/>
  <c r="U32" i="16"/>
  <c r="T32" i="16"/>
  <c r="S32" i="16"/>
  <c r="R32" i="16"/>
  <c r="Q32" i="16"/>
  <c r="P32" i="16"/>
  <c r="O32" i="16"/>
  <c r="X31" i="16"/>
  <c r="W31" i="16"/>
  <c r="V31" i="16"/>
  <c r="U31" i="16"/>
  <c r="T31" i="16"/>
  <c r="S31" i="16"/>
  <c r="R31" i="16"/>
  <c r="Q31" i="16"/>
  <c r="P31" i="16"/>
  <c r="O31" i="16"/>
  <c r="X30" i="16"/>
  <c r="W30" i="16"/>
  <c r="V30" i="16"/>
  <c r="U30" i="16"/>
  <c r="T30" i="16"/>
  <c r="S30" i="16"/>
  <c r="R30" i="16"/>
  <c r="Q30" i="16"/>
  <c r="P30" i="16"/>
  <c r="O30" i="16"/>
  <c r="Y30" i="16" s="1"/>
  <c r="X29" i="16"/>
  <c r="W29" i="16"/>
  <c r="V29" i="16"/>
  <c r="U29" i="16"/>
  <c r="T29" i="16"/>
  <c r="S29" i="16"/>
  <c r="R29" i="16"/>
  <c r="Q29" i="16"/>
  <c r="P29" i="16"/>
  <c r="O29" i="16"/>
  <c r="X28" i="16"/>
  <c r="W28" i="16"/>
  <c r="V28" i="16"/>
  <c r="U28" i="16"/>
  <c r="T28" i="16"/>
  <c r="S28" i="16"/>
  <c r="R28" i="16"/>
  <c r="Q28" i="16"/>
  <c r="P28" i="16"/>
  <c r="O28" i="16"/>
  <c r="X27" i="16"/>
  <c r="W27" i="16"/>
  <c r="V27" i="16"/>
  <c r="U27" i="16"/>
  <c r="T27" i="16"/>
  <c r="S27" i="16"/>
  <c r="R27" i="16"/>
  <c r="Q27" i="16"/>
  <c r="P27" i="16"/>
  <c r="O27" i="16"/>
  <c r="Y27" i="16" s="1"/>
  <c r="X26" i="16"/>
  <c r="W26" i="16"/>
  <c r="V26" i="16"/>
  <c r="U26" i="16"/>
  <c r="T26" i="16"/>
  <c r="S26" i="16"/>
  <c r="R26" i="16"/>
  <c r="Q26" i="16"/>
  <c r="P26" i="16"/>
  <c r="O26" i="16"/>
  <c r="Y26" i="16" s="1"/>
  <c r="X25" i="16"/>
  <c r="W25" i="16"/>
  <c r="V25" i="16"/>
  <c r="U25" i="16"/>
  <c r="T25" i="16"/>
  <c r="S25" i="16"/>
  <c r="R25" i="16"/>
  <c r="Q25" i="16"/>
  <c r="P25" i="16"/>
  <c r="O25" i="16"/>
  <c r="X24" i="16"/>
  <c r="W24" i="16"/>
  <c r="V24" i="16"/>
  <c r="U24" i="16"/>
  <c r="T24" i="16"/>
  <c r="S24" i="16"/>
  <c r="R24" i="16"/>
  <c r="Q24" i="16"/>
  <c r="P24" i="16"/>
  <c r="O24" i="16"/>
  <c r="X23" i="16"/>
  <c r="W23" i="16"/>
  <c r="V23" i="16"/>
  <c r="U23" i="16"/>
  <c r="T23" i="16"/>
  <c r="S23" i="16"/>
  <c r="R23" i="16"/>
  <c r="Q23" i="16"/>
  <c r="P23" i="16"/>
  <c r="O23" i="16"/>
  <c r="X22" i="16"/>
  <c r="W22" i="16"/>
  <c r="V22" i="16"/>
  <c r="U22" i="16"/>
  <c r="T22" i="16"/>
  <c r="S22" i="16"/>
  <c r="R22" i="16"/>
  <c r="Q22" i="16"/>
  <c r="Y22" i="16" s="1"/>
  <c r="P22" i="16"/>
  <c r="O22" i="16"/>
  <c r="X21" i="16"/>
  <c r="W21" i="16"/>
  <c r="V21" i="16"/>
  <c r="U21" i="16"/>
  <c r="T21" i="16"/>
  <c r="S21" i="16"/>
  <c r="R21" i="16"/>
  <c r="Q21" i="16"/>
  <c r="P21" i="16"/>
  <c r="O21" i="16"/>
  <c r="X20" i="16"/>
  <c r="W20" i="16"/>
  <c r="V20" i="16"/>
  <c r="U20" i="16"/>
  <c r="T20" i="16"/>
  <c r="S20" i="16"/>
  <c r="R20" i="16"/>
  <c r="Q20" i="16"/>
  <c r="P20" i="16"/>
  <c r="O20" i="16"/>
  <c r="Y20" i="16" s="1"/>
  <c r="X19" i="16"/>
  <c r="W19" i="16"/>
  <c r="V19" i="16"/>
  <c r="U19" i="16"/>
  <c r="T19" i="16"/>
  <c r="S19" i="16"/>
  <c r="R19" i="16"/>
  <c r="Q19" i="16"/>
  <c r="P19" i="16"/>
  <c r="O19" i="16"/>
  <c r="X18" i="16"/>
  <c r="W18" i="16"/>
  <c r="V18" i="16"/>
  <c r="U18" i="16"/>
  <c r="T18" i="16"/>
  <c r="S18" i="16"/>
  <c r="R18" i="16"/>
  <c r="Q18" i="16"/>
  <c r="P18" i="16"/>
  <c r="O18" i="16"/>
  <c r="Y18" i="16" s="1"/>
  <c r="X17" i="16"/>
  <c r="W17" i="16"/>
  <c r="V17" i="16"/>
  <c r="U17" i="16"/>
  <c r="T17" i="16"/>
  <c r="S17" i="16"/>
  <c r="R17" i="16"/>
  <c r="Q17" i="16"/>
  <c r="P17" i="16"/>
  <c r="O17" i="16"/>
  <c r="X16" i="16"/>
  <c r="W16" i="16"/>
  <c r="V16" i="16"/>
  <c r="U16" i="16"/>
  <c r="T16" i="16"/>
  <c r="S16" i="16"/>
  <c r="R16" i="16"/>
  <c r="Q16" i="16"/>
  <c r="P16" i="16"/>
  <c r="O16" i="16"/>
  <c r="X15" i="16"/>
  <c r="W15" i="16"/>
  <c r="V15" i="16"/>
  <c r="U15" i="16"/>
  <c r="T15" i="16"/>
  <c r="S15" i="16"/>
  <c r="R15" i="16"/>
  <c r="Q15" i="16"/>
  <c r="P15" i="16"/>
  <c r="O15" i="16"/>
  <c r="X14" i="16"/>
  <c r="W14" i="16"/>
  <c r="V14" i="16"/>
  <c r="U14" i="16"/>
  <c r="T14" i="16"/>
  <c r="S14" i="16"/>
  <c r="R14" i="16"/>
  <c r="Q14" i="16"/>
  <c r="P14" i="16"/>
  <c r="Y14" i="16" s="1"/>
  <c r="O14" i="16"/>
  <c r="X13" i="16"/>
  <c r="W13" i="16"/>
  <c r="V13" i="16"/>
  <c r="U13" i="16"/>
  <c r="T13" i="16"/>
  <c r="S13" i="16"/>
  <c r="R13" i="16"/>
  <c r="Q13" i="16"/>
  <c r="P13" i="16"/>
  <c r="O13" i="16"/>
  <c r="X12" i="16"/>
  <c r="W12" i="16"/>
  <c r="V12" i="16"/>
  <c r="U12" i="16"/>
  <c r="T12" i="16"/>
  <c r="S12" i="16"/>
  <c r="R12" i="16"/>
  <c r="Q12" i="16"/>
  <c r="P12" i="16"/>
  <c r="O12" i="16"/>
  <c r="X11" i="16"/>
  <c r="W11" i="16"/>
  <c r="V11" i="16"/>
  <c r="U11" i="16"/>
  <c r="T11" i="16"/>
  <c r="S11" i="16"/>
  <c r="R11" i="16"/>
  <c r="Q11" i="16"/>
  <c r="P11" i="16"/>
  <c r="O11" i="16"/>
  <c r="X10" i="16"/>
  <c r="W10" i="16"/>
  <c r="V10" i="16"/>
  <c r="U10" i="16"/>
  <c r="T10" i="16"/>
  <c r="S10" i="16"/>
  <c r="R10" i="16"/>
  <c r="Q10" i="16"/>
  <c r="P10" i="16"/>
  <c r="O10" i="16"/>
  <c r="X9" i="16"/>
  <c r="W9" i="16"/>
  <c r="V9" i="16"/>
  <c r="U9" i="16"/>
  <c r="T9" i="16"/>
  <c r="S9" i="16"/>
  <c r="R9" i="16"/>
  <c r="Q9" i="16"/>
  <c r="P9" i="16"/>
  <c r="Y9" i="16" s="1"/>
  <c r="O9" i="16"/>
  <c r="X8" i="16"/>
  <c r="W8" i="16"/>
  <c r="V8" i="16"/>
  <c r="U8" i="16"/>
  <c r="T8" i="16"/>
  <c r="S8" i="16"/>
  <c r="R8" i="16"/>
  <c r="Q8" i="16"/>
  <c r="P8" i="16"/>
  <c r="O8" i="16"/>
  <c r="X7" i="16"/>
  <c r="W7" i="16"/>
  <c r="V7" i="16"/>
  <c r="U7" i="16"/>
  <c r="T7" i="16"/>
  <c r="S7" i="16"/>
  <c r="R7" i="16"/>
  <c r="Q7" i="16"/>
  <c r="P7" i="16"/>
  <c r="O7" i="16"/>
  <c r="X6" i="16"/>
  <c r="W6" i="16"/>
  <c r="V6" i="16"/>
  <c r="U6" i="16"/>
  <c r="T6" i="16"/>
  <c r="S6" i="16"/>
  <c r="R6" i="16"/>
  <c r="Q6" i="16"/>
  <c r="P6" i="16"/>
  <c r="Y6" i="16" s="1"/>
  <c r="O6" i="16"/>
  <c r="X5" i="16"/>
  <c r="W5" i="16"/>
  <c r="V5" i="16"/>
  <c r="U5" i="16"/>
  <c r="T5" i="16"/>
  <c r="S5" i="16"/>
  <c r="R5" i="16"/>
  <c r="Q5" i="16"/>
  <c r="P5" i="16"/>
  <c r="O5" i="16"/>
  <c r="X4" i="16"/>
  <c r="W4" i="16"/>
  <c r="V4" i="16"/>
  <c r="U4" i="16"/>
  <c r="T4" i="16"/>
  <c r="S4" i="16"/>
  <c r="R4" i="16"/>
  <c r="Q4" i="16"/>
  <c r="P4" i="16"/>
  <c r="O4" i="16"/>
  <c r="X3" i="16"/>
  <c r="W3" i="16"/>
  <c r="V3" i="16"/>
  <c r="U3" i="16"/>
  <c r="T3" i="16"/>
  <c r="S3" i="16"/>
  <c r="R3" i="16"/>
  <c r="Q3" i="16"/>
  <c r="P3" i="16"/>
  <c r="O3" i="16"/>
  <c r="B4" i="16"/>
  <c r="L4" i="16" s="1"/>
  <c r="L4" i="19" s="1"/>
  <c r="C4" i="16"/>
  <c r="D4" i="16"/>
  <c r="E4" i="16"/>
  <c r="F4" i="16"/>
  <c r="G4" i="16"/>
  <c r="H4" i="16"/>
  <c r="I4" i="16"/>
  <c r="J4" i="16"/>
  <c r="K4" i="16"/>
  <c r="K4" i="19" s="1"/>
  <c r="B5" i="16"/>
  <c r="C5" i="16"/>
  <c r="D5" i="16"/>
  <c r="E5" i="16"/>
  <c r="F5" i="16"/>
  <c r="G5" i="16"/>
  <c r="H5" i="16"/>
  <c r="I5" i="16"/>
  <c r="J5" i="16"/>
  <c r="K5" i="16"/>
  <c r="L5" i="16"/>
  <c r="L5" i="19" s="1"/>
  <c r="B6" i="16"/>
  <c r="C6" i="16"/>
  <c r="D6" i="16"/>
  <c r="E6" i="16"/>
  <c r="F6" i="16"/>
  <c r="G6" i="16"/>
  <c r="H6" i="16"/>
  <c r="I6" i="16"/>
  <c r="J6" i="16"/>
  <c r="K6" i="16"/>
  <c r="B7" i="16"/>
  <c r="C7" i="16"/>
  <c r="C7" i="19" s="1"/>
  <c r="D7" i="16"/>
  <c r="E7" i="16"/>
  <c r="F7" i="16"/>
  <c r="G7" i="16"/>
  <c r="H7" i="16"/>
  <c r="I7" i="16"/>
  <c r="J7" i="16"/>
  <c r="K7" i="16"/>
  <c r="B8" i="16"/>
  <c r="C8" i="16"/>
  <c r="C8" i="19" s="1"/>
  <c r="D8" i="16"/>
  <c r="E8" i="16"/>
  <c r="E8" i="19" s="1"/>
  <c r="F8" i="16"/>
  <c r="G8" i="16"/>
  <c r="H8" i="16"/>
  <c r="I8" i="16"/>
  <c r="J8" i="16"/>
  <c r="K8" i="16"/>
  <c r="B9" i="16"/>
  <c r="C9" i="16"/>
  <c r="D9" i="16"/>
  <c r="E9" i="16"/>
  <c r="F9" i="16"/>
  <c r="G9" i="16"/>
  <c r="G9" i="19" s="1"/>
  <c r="H9" i="16"/>
  <c r="I9" i="16"/>
  <c r="J9" i="16"/>
  <c r="K9" i="16"/>
  <c r="B10" i="16"/>
  <c r="C10" i="16"/>
  <c r="D10" i="16"/>
  <c r="E10" i="16"/>
  <c r="F10" i="16"/>
  <c r="G10" i="16"/>
  <c r="H10" i="16"/>
  <c r="I10" i="16"/>
  <c r="I10" i="19" s="1"/>
  <c r="J10" i="16"/>
  <c r="K10" i="16"/>
  <c r="B11" i="16"/>
  <c r="C11" i="16"/>
  <c r="D11" i="16"/>
  <c r="E11" i="16"/>
  <c r="F11" i="16"/>
  <c r="G11" i="16"/>
  <c r="H11" i="16"/>
  <c r="I11" i="16"/>
  <c r="J11" i="16"/>
  <c r="K11" i="16"/>
  <c r="K11" i="19" s="1"/>
  <c r="B12" i="16"/>
  <c r="C12" i="16"/>
  <c r="D12" i="16"/>
  <c r="E12" i="16"/>
  <c r="F12" i="16"/>
  <c r="G12" i="16"/>
  <c r="H12" i="16"/>
  <c r="I12" i="16"/>
  <c r="J12" i="16"/>
  <c r="K12" i="16"/>
  <c r="B13" i="16"/>
  <c r="C13" i="16"/>
  <c r="C13" i="19" s="1"/>
  <c r="D13" i="16"/>
  <c r="E13" i="16"/>
  <c r="F13" i="16"/>
  <c r="G13" i="16"/>
  <c r="H13" i="16"/>
  <c r="I13" i="16"/>
  <c r="J13" i="16"/>
  <c r="K13" i="16"/>
  <c r="B14" i="16"/>
  <c r="C14" i="16"/>
  <c r="D14" i="16"/>
  <c r="E14" i="16"/>
  <c r="E14" i="19" s="1"/>
  <c r="F14" i="16"/>
  <c r="G14" i="16"/>
  <c r="H14" i="16"/>
  <c r="I14" i="16"/>
  <c r="J14" i="16"/>
  <c r="K14" i="16"/>
  <c r="B15" i="16"/>
  <c r="C15" i="16"/>
  <c r="D15" i="16"/>
  <c r="E15" i="16"/>
  <c r="F15" i="16"/>
  <c r="G15" i="16"/>
  <c r="G15" i="19" s="1"/>
  <c r="H15" i="16"/>
  <c r="I15" i="16"/>
  <c r="J15" i="16"/>
  <c r="K15" i="16"/>
  <c r="B16" i="16"/>
  <c r="C16" i="16"/>
  <c r="D16" i="16"/>
  <c r="E16" i="16"/>
  <c r="F16" i="16"/>
  <c r="G16" i="16"/>
  <c r="H16" i="16"/>
  <c r="I16" i="16"/>
  <c r="I16" i="19" s="1"/>
  <c r="J16" i="16"/>
  <c r="K16" i="16"/>
  <c r="B17" i="16"/>
  <c r="L17" i="16" s="1"/>
  <c r="L17" i="19" s="1"/>
  <c r="C17" i="16"/>
  <c r="D17" i="16"/>
  <c r="E17" i="16"/>
  <c r="F17" i="16"/>
  <c r="G17" i="16"/>
  <c r="H17" i="16"/>
  <c r="I17" i="16"/>
  <c r="J17" i="16"/>
  <c r="K17" i="16"/>
  <c r="K17" i="19" s="1"/>
  <c r="B18" i="16"/>
  <c r="C18" i="16"/>
  <c r="D18" i="16"/>
  <c r="E18" i="16"/>
  <c r="F18" i="16"/>
  <c r="G18" i="16"/>
  <c r="H18" i="16"/>
  <c r="I18" i="16"/>
  <c r="J18" i="16"/>
  <c r="K18" i="16"/>
  <c r="B19" i="16"/>
  <c r="L19" i="16" s="1"/>
  <c r="L19" i="19" s="1"/>
  <c r="C19" i="16"/>
  <c r="D19" i="16"/>
  <c r="E19" i="16"/>
  <c r="F19" i="16"/>
  <c r="G19" i="16"/>
  <c r="H19" i="16"/>
  <c r="I19" i="16"/>
  <c r="J19" i="16"/>
  <c r="K19" i="16"/>
  <c r="B20" i="16"/>
  <c r="C20" i="16"/>
  <c r="D20" i="16"/>
  <c r="D20" i="19" s="1"/>
  <c r="E20" i="16"/>
  <c r="F20" i="16"/>
  <c r="G20" i="16"/>
  <c r="H20" i="16"/>
  <c r="I20" i="16"/>
  <c r="J20" i="16"/>
  <c r="K20" i="16"/>
  <c r="B21" i="16"/>
  <c r="C21" i="16"/>
  <c r="D21" i="16"/>
  <c r="E21" i="16"/>
  <c r="F21" i="16"/>
  <c r="F21" i="19" s="1"/>
  <c r="G21" i="16"/>
  <c r="H21" i="16"/>
  <c r="I21" i="16"/>
  <c r="J21" i="16"/>
  <c r="K21" i="16"/>
  <c r="B22" i="16"/>
  <c r="C22" i="16"/>
  <c r="D22" i="16"/>
  <c r="E22" i="16"/>
  <c r="F22" i="16"/>
  <c r="G22" i="16"/>
  <c r="H22" i="16"/>
  <c r="H22" i="19" s="1"/>
  <c r="I22" i="16"/>
  <c r="J22" i="16"/>
  <c r="K22" i="16"/>
  <c r="B23" i="16"/>
  <c r="C23" i="16"/>
  <c r="D23" i="16"/>
  <c r="E23" i="16"/>
  <c r="F23" i="16"/>
  <c r="G23" i="16"/>
  <c r="H23" i="16"/>
  <c r="I23" i="16"/>
  <c r="J23" i="16"/>
  <c r="J23" i="19" s="1"/>
  <c r="K23" i="16"/>
  <c r="B24" i="16"/>
  <c r="C24" i="16"/>
  <c r="D24" i="16"/>
  <c r="E24" i="16"/>
  <c r="F24" i="16"/>
  <c r="G24" i="16"/>
  <c r="H24" i="16"/>
  <c r="I24" i="16"/>
  <c r="J24" i="16"/>
  <c r="K24" i="16"/>
  <c r="B25" i="16"/>
  <c r="C25" i="16"/>
  <c r="D25" i="16"/>
  <c r="E25" i="16"/>
  <c r="F25" i="16"/>
  <c r="G25" i="16"/>
  <c r="H25" i="16"/>
  <c r="I25" i="16"/>
  <c r="J25" i="16"/>
  <c r="K25" i="16"/>
  <c r="B26" i="16"/>
  <c r="C26" i="16"/>
  <c r="D26" i="16"/>
  <c r="D26" i="19" s="1"/>
  <c r="E26" i="16"/>
  <c r="F26" i="16"/>
  <c r="G26" i="16"/>
  <c r="H26" i="16"/>
  <c r="I26" i="16"/>
  <c r="J26" i="16"/>
  <c r="K26" i="16"/>
  <c r="B27" i="16"/>
  <c r="C27" i="16"/>
  <c r="D27" i="16"/>
  <c r="E27" i="16"/>
  <c r="F27" i="16"/>
  <c r="F27" i="19" s="1"/>
  <c r="G27" i="16"/>
  <c r="H27" i="16"/>
  <c r="I27" i="16"/>
  <c r="J27" i="16"/>
  <c r="K27" i="16"/>
  <c r="B28" i="16"/>
  <c r="C28" i="16"/>
  <c r="L28" i="16" s="1"/>
  <c r="L28" i="19" s="1"/>
  <c r="D28" i="16"/>
  <c r="E28" i="16"/>
  <c r="F28" i="16"/>
  <c r="G28" i="16"/>
  <c r="H28" i="16"/>
  <c r="H28" i="19" s="1"/>
  <c r="I28" i="16"/>
  <c r="J28" i="16"/>
  <c r="K28" i="16"/>
  <c r="B29" i="16"/>
  <c r="C29" i="16"/>
  <c r="D29" i="16"/>
  <c r="E29" i="16"/>
  <c r="F29" i="16"/>
  <c r="L29" i="16" s="1"/>
  <c r="L29" i="19" s="1"/>
  <c r="G29" i="16"/>
  <c r="H29" i="16"/>
  <c r="I29" i="16"/>
  <c r="I29" i="19" s="1"/>
  <c r="J29" i="16"/>
  <c r="K29" i="16"/>
  <c r="B30" i="16"/>
  <c r="C30" i="16"/>
  <c r="D30" i="16"/>
  <c r="E30" i="16"/>
  <c r="F30" i="16"/>
  <c r="G30" i="16"/>
  <c r="H30" i="16"/>
  <c r="I30" i="16"/>
  <c r="J30" i="16"/>
  <c r="J30" i="19" s="1"/>
  <c r="K30" i="16"/>
  <c r="B31" i="16"/>
  <c r="C31" i="16"/>
  <c r="D31" i="16"/>
  <c r="E31" i="16"/>
  <c r="F31" i="16"/>
  <c r="G31" i="16"/>
  <c r="H31" i="16"/>
  <c r="I31" i="16"/>
  <c r="J31" i="16"/>
  <c r="K31" i="16"/>
  <c r="B32" i="16"/>
  <c r="L32" i="16" s="1"/>
  <c r="L32" i="19" s="1"/>
  <c r="C32" i="16"/>
  <c r="D32" i="16"/>
  <c r="E32" i="16"/>
  <c r="F32" i="16"/>
  <c r="G32" i="16"/>
  <c r="H32" i="16"/>
  <c r="I32" i="16"/>
  <c r="J32" i="16"/>
  <c r="K32" i="16"/>
  <c r="B33" i="16"/>
  <c r="C33" i="16"/>
  <c r="D33" i="16"/>
  <c r="D33" i="19" s="1"/>
  <c r="E33" i="16"/>
  <c r="F33" i="16"/>
  <c r="G33" i="16"/>
  <c r="H33" i="16"/>
  <c r="I33" i="16"/>
  <c r="J33" i="16"/>
  <c r="K33" i="16"/>
  <c r="B34" i="16"/>
  <c r="C34" i="16"/>
  <c r="D34" i="16"/>
  <c r="E34" i="16"/>
  <c r="F34" i="16"/>
  <c r="F34" i="19" s="1"/>
  <c r="G34" i="16"/>
  <c r="H34" i="16"/>
  <c r="I34" i="16"/>
  <c r="J34" i="16"/>
  <c r="K34" i="16"/>
  <c r="B35" i="16"/>
  <c r="C35" i="16"/>
  <c r="D35" i="16"/>
  <c r="E35" i="16"/>
  <c r="F35" i="16"/>
  <c r="G35" i="16"/>
  <c r="H35" i="16"/>
  <c r="H35" i="19" s="1"/>
  <c r="I35" i="16"/>
  <c r="J35" i="16"/>
  <c r="K35" i="16"/>
  <c r="B36" i="16"/>
  <c r="C36" i="16"/>
  <c r="D36" i="16"/>
  <c r="E36" i="16"/>
  <c r="F36" i="16"/>
  <c r="G36" i="16"/>
  <c r="H36" i="16"/>
  <c r="I36" i="16"/>
  <c r="J36" i="16"/>
  <c r="J36" i="19" s="1"/>
  <c r="K36" i="16"/>
  <c r="B37" i="16"/>
  <c r="C37" i="16"/>
  <c r="D37" i="16"/>
  <c r="E37" i="16"/>
  <c r="F37" i="16"/>
  <c r="G37" i="16"/>
  <c r="H37" i="16"/>
  <c r="I37" i="16"/>
  <c r="J37" i="16"/>
  <c r="K37" i="16"/>
  <c r="B38" i="16"/>
  <c r="L38" i="16" s="1"/>
  <c r="L38" i="19" s="1"/>
  <c r="C38" i="16"/>
  <c r="D38" i="16"/>
  <c r="E38" i="16"/>
  <c r="F38" i="16"/>
  <c r="G38" i="16"/>
  <c r="H38" i="16"/>
  <c r="I38" i="16"/>
  <c r="I38" i="19" s="1"/>
  <c r="J38" i="16"/>
  <c r="J38" i="19" s="1"/>
  <c r="K38" i="16"/>
  <c r="B39" i="16"/>
  <c r="C39" i="16"/>
  <c r="D39" i="16"/>
  <c r="D39" i="19" s="1"/>
  <c r="E39" i="16"/>
  <c r="F39" i="16"/>
  <c r="G39" i="16"/>
  <c r="H39" i="16"/>
  <c r="I39" i="16"/>
  <c r="J39" i="16"/>
  <c r="J39" i="19" s="1"/>
  <c r="K39" i="16"/>
  <c r="K39" i="19" s="1"/>
  <c r="B40" i="16"/>
  <c r="L40" i="16" s="1"/>
  <c r="L40" i="19" s="1"/>
  <c r="C40" i="16"/>
  <c r="D40" i="16"/>
  <c r="E40" i="16"/>
  <c r="F40" i="16"/>
  <c r="F40" i="19" s="1"/>
  <c r="G40" i="16"/>
  <c r="H40" i="16"/>
  <c r="I40" i="16"/>
  <c r="J40" i="16"/>
  <c r="K40" i="16"/>
  <c r="K40" i="19" s="1"/>
  <c r="B41" i="16"/>
  <c r="C41" i="16"/>
  <c r="D41" i="16"/>
  <c r="E41" i="16"/>
  <c r="F41" i="16"/>
  <c r="G41" i="16"/>
  <c r="L41" i="16" s="1"/>
  <c r="L41" i="19" s="1"/>
  <c r="H41" i="16"/>
  <c r="I41" i="16"/>
  <c r="J41" i="16"/>
  <c r="K41" i="16"/>
  <c r="B42" i="16"/>
  <c r="C42" i="16"/>
  <c r="D42" i="16"/>
  <c r="E42" i="16"/>
  <c r="F42" i="16"/>
  <c r="G42" i="16"/>
  <c r="H42" i="16"/>
  <c r="H42" i="19" s="1"/>
  <c r="I42" i="16"/>
  <c r="J42" i="16"/>
  <c r="K42" i="16"/>
  <c r="B43" i="16"/>
  <c r="C43" i="16"/>
  <c r="C43" i="19" s="1"/>
  <c r="D43" i="16"/>
  <c r="E43" i="16"/>
  <c r="F43" i="16"/>
  <c r="G43" i="16"/>
  <c r="H43" i="16"/>
  <c r="I43" i="16"/>
  <c r="J43" i="16"/>
  <c r="J43" i="19" s="1"/>
  <c r="K43" i="16"/>
  <c r="B44" i="16"/>
  <c r="C44" i="16"/>
  <c r="C44" i="19" s="1"/>
  <c r="D44" i="16"/>
  <c r="D44" i="19" s="1"/>
  <c r="E44" i="16"/>
  <c r="F44" i="16"/>
  <c r="G44" i="16"/>
  <c r="H44" i="16"/>
  <c r="I44" i="16"/>
  <c r="J44" i="16"/>
  <c r="K44" i="16"/>
  <c r="B45" i="16"/>
  <c r="L45" i="16" s="1"/>
  <c r="L45" i="19" s="1"/>
  <c r="C45" i="16"/>
  <c r="D45" i="16"/>
  <c r="D45" i="19" s="1"/>
  <c r="E45" i="16"/>
  <c r="E45" i="19" s="1"/>
  <c r="F45" i="16"/>
  <c r="G45" i="16"/>
  <c r="H45" i="16"/>
  <c r="I45" i="16"/>
  <c r="J45" i="16"/>
  <c r="K45" i="16"/>
  <c r="B46" i="16"/>
  <c r="C46" i="16"/>
  <c r="D46" i="16"/>
  <c r="D46" i="19" s="1"/>
  <c r="E46" i="16"/>
  <c r="E46" i="19" s="1"/>
  <c r="F46" i="16"/>
  <c r="F46" i="19" s="1"/>
  <c r="G46" i="16"/>
  <c r="H46" i="16"/>
  <c r="I46" i="16"/>
  <c r="J46" i="16"/>
  <c r="K46" i="16"/>
  <c r="B47" i="16"/>
  <c r="C47" i="16"/>
  <c r="D47" i="16"/>
  <c r="E47" i="16"/>
  <c r="F47" i="16"/>
  <c r="F47" i="19" s="1"/>
  <c r="G47" i="16"/>
  <c r="H47" i="16"/>
  <c r="I47" i="16"/>
  <c r="J47" i="16"/>
  <c r="K47" i="16"/>
  <c r="B48" i="16"/>
  <c r="C48" i="16"/>
  <c r="D48" i="16"/>
  <c r="E48" i="16"/>
  <c r="F48" i="16"/>
  <c r="G48" i="16"/>
  <c r="H48" i="16"/>
  <c r="H48" i="19" s="1"/>
  <c r="I48" i="16"/>
  <c r="J48" i="16"/>
  <c r="K48" i="16"/>
  <c r="B49" i="16"/>
  <c r="C49" i="16"/>
  <c r="D49" i="16"/>
  <c r="E49" i="16"/>
  <c r="F49" i="16"/>
  <c r="G49" i="16"/>
  <c r="H49" i="16"/>
  <c r="I49" i="16"/>
  <c r="I49" i="19" s="1"/>
  <c r="J49" i="16"/>
  <c r="J49" i="19" s="1"/>
  <c r="K49" i="16"/>
  <c r="B50" i="16"/>
  <c r="C50" i="16"/>
  <c r="D50" i="16"/>
  <c r="E50" i="16"/>
  <c r="F50" i="16"/>
  <c r="G50" i="16"/>
  <c r="H50" i="16"/>
  <c r="I50" i="16"/>
  <c r="I50" i="19" s="1"/>
  <c r="J50" i="16"/>
  <c r="J50" i="19" s="1"/>
  <c r="K50" i="16"/>
  <c r="B51" i="16"/>
  <c r="L51" i="16" s="1"/>
  <c r="L51" i="19" s="1"/>
  <c r="C51" i="16"/>
  <c r="D51" i="16"/>
  <c r="E51" i="16"/>
  <c r="F51" i="16"/>
  <c r="G51" i="16"/>
  <c r="H51" i="16"/>
  <c r="I51" i="16"/>
  <c r="J51" i="16"/>
  <c r="J51" i="19" s="1"/>
  <c r="K51" i="16"/>
  <c r="K51" i="19" s="1"/>
  <c r="B52" i="16"/>
  <c r="L52" i="16" s="1"/>
  <c r="L52" i="19" s="1"/>
  <c r="C52" i="16"/>
  <c r="D52" i="16"/>
  <c r="D52" i="19" s="1"/>
  <c r="E52" i="16"/>
  <c r="F52" i="16"/>
  <c r="G52" i="16"/>
  <c r="H52" i="16"/>
  <c r="I52" i="16"/>
  <c r="J52" i="16"/>
  <c r="K52" i="16"/>
  <c r="K52" i="19" s="1"/>
  <c r="B53" i="16"/>
  <c r="C53" i="16"/>
  <c r="D53" i="16"/>
  <c r="E53" i="16"/>
  <c r="E53" i="19" s="1"/>
  <c r="F53" i="16"/>
  <c r="G53" i="16"/>
  <c r="H53" i="16"/>
  <c r="I53" i="16"/>
  <c r="J53" i="16"/>
  <c r="K53" i="16"/>
  <c r="B54" i="16"/>
  <c r="C54" i="16"/>
  <c r="D54" i="16"/>
  <c r="E54" i="16"/>
  <c r="F54" i="16"/>
  <c r="F54" i="19" s="1"/>
  <c r="G54" i="16"/>
  <c r="H54" i="16"/>
  <c r="I54" i="16"/>
  <c r="J54" i="16"/>
  <c r="K54" i="16"/>
  <c r="B55" i="16"/>
  <c r="C55" i="16"/>
  <c r="C55" i="19" s="1"/>
  <c r="D55" i="16"/>
  <c r="E55" i="16"/>
  <c r="F55" i="16"/>
  <c r="G55" i="16"/>
  <c r="H55" i="16"/>
  <c r="H55" i="19" s="1"/>
  <c r="I55" i="16"/>
  <c r="J55" i="16"/>
  <c r="K55" i="16"/>
  <c r="B56" i="16"/>
  <c r="C56" i="16"/>
  <c r="C56" i="19" s="1"/>
  <c r="D56" i="16"/>
  <c r="D56" i="19" s="1"/>
  <c r="E56" i="16"/>
  <c r="F56" i="16"/>
  <c r="G56" i="16"/>
  <c r="H56" i="16"/>
  <c r="I56" i="16"/>
  <c r="J56" i="16"/>
  <c r="K56" i="16"/>
  <c r="B57" i="16"/>
  <c r="C57" i="16"/>
  <c r="D57" i="16"/>
  <c r="D57" i="19" s="1"/>
  <c r="E57" i="16"/>
  <c r="E57" i="19" s="1"/>
  <c r="F57" i="16"/>
  <c r="G57" i="16"/>
  <c r="H57" i="16"/>
  <c r="I57" i="16"/>
  <c r="J57" i="16"/>
  <c r="K57" i="16"/>
  <c r="B58" i="16"/>
  <c r="L58" i="16" s="1"/>
  <c r="L58" i="19" s="1"/>
  <c r="C58" i="16"/>
  <c r="D58" i="16"/>
  <c r="E58" i="16"/>
  <c r="E58" i="19" s="1"/>
  <c r="F58" i="16"/>
  <c r="F58" i="19" s="1"/>
  <c r="G58" i="16"/>
  <c r="H58" i="16"/>
  <c r="I58" i="16"/>
  <c r="J58" i="16"/>
  <c r="K58" i="16"/>
  <c r="B59" i="16"/>
  <c r="C59" i="16"/>
  <c r="D59" i="16"/>
  <c r="D59" i="19" s="1"/>
  <c r="E59" i="16"/>
  <c r="F59" i="16"/>
  <c r="F59" i="19" s="1"/>
  <c r="G59" i="16"/>
  <c r="H59" i="16"/>
  <c r="I59" i="16"/>
  <c r="J59" i="16"/>
  <c r="K59" i="16"/>
  <c r="B60" i="16"/>
  <c r="C60" i="16"/>
  <c r="D60" i="16"/>
  <c r="E60" i="16"/>
  <c r="F60" i="16"/>
  <c r="F60" i="19" s="1"/>
  <c r="G60" i="16"/>
  <c r="H60" i="16"/>
  <c r="I60" i="16"/>
  <c r="J60" i="16"/>
  <c r="K60" i="16"/>
  <c r="B61" i="16"/>
  <c r="C61" i="16"/>
  <c r="L61" i="16" s="1"/>
  <c r="L61" i="19" s="1"/>
  <c r="D61" i="16"/>
  <c r="E61" i="16"/>
  <c r="F61" i="16"/>
  <c r="G61" i="16"/>
  <c r="H61" i="16"/>
  <c r="I61" i="16"/>
  <c r="I61" i="19" s="1"/>
  <c r="J61" i="16"/>
  <c r="K61" i="16"/>
  <c r="B62" i="16"/>
  <c r="C62" i="16"/>
  <c r="D62" i="16"/>
  <c r="E62" i="16"/>
  <c r="F62" i="16"/>
  <c r="G62" i="16"/>
  <c r="H62" i="16"/>
  <c r="I62" i="16"/>
  <c r="I62" i="19" s="1"/>
  <c r="J62" i="16"/>
  <c r="J62" i="19" s="1"/>
  <c r="K62" i="16"/>
  <c r="B63" i="16"/>
  <c r="C63" i="16"/>
  <c r="D63" i="16"/>
  <c r="E63" i="16"/>
  <c r="F63" i="16"/>
  <c r="G63" i="16"/>
  <c r="H63" i="16"/>
  <c r="I63" i="16"/>
  <c r="J63" i="16"/>
  <c r="J63" i="19" s="1"/>
  <c r="K63" i="16"/>
  <c r="K63" i="19" s="1"/>
  <c r="B64" i="16"/>
  <c r="L64" i="16" s="1"/>
  <c r="L64" i="19" s="1"/>
  <c r="C64" i="16"/>
  <c r="D64" i="16"/>
  <c r="E64" i="16"/>
  <c r="F64" i="16"/>
  <c r="G64" i="16"/>
  <c r="H64" i="16"/>
  <c r="I64" i="16"/>
  <c r="J64" i="16"/>
  <c r="K64" i="16"/>
  <c r="K64" i="19" s="1"/>
  <c r="B65" i="16"/>
  <c r="L65" i="16" s="1"/>
  <c r="L65" i="19" s="1"/>
  <c r="C65" i="16"/>
  <c r="C65" i="19" s="1"/>
  <c r="D65" i="16"/>
  <c r="E65" i="16"/>
  <c r="F65" i="16"/>
  <c r="G65" i="16"/>
  <c r="H65" i="16"/>
  <c r="I65" i="16"/>
  <c r="J65" i="16"/>
  <c r="K65" i="16"/>
  <c r="B66" i="16"/>
  <c r="C66" i="16"/>
  <c r="D66" i="16"/>
  <c r="D66" i="19" s="1"/>
  <c r="E66" i="16"/>
  <c r="F66" i="16"/>
  <c r="G66" i="16"/>
  <c r="H66" i="16"/>
  <c r="I66" i="16"/>
  <c r="J66" i="16"/>
  <c r="K66" i="16"/>
  <c r="B67" i="16"/>
  <c r="C67" i="16"/>
  <c r="C67" i="19" s="1"/>
  <c r="D67" i="16"/>
  <c r="E67" i="16"/>
  <c r="F67" i="16"/>
  <c r="F67" i="19" s="1"/>
  <c r="G67" i="16"/>
  <c r="H67" i="16"/>
  <c r="I67" i="16"/>
  <c r="J67" i="16"/>
  <c r="K67" i="16"/>
  <c r="B68" i="16"/>
  <c r="C68" i="16"/>
  <c r="C68" i="19" s="1"/>
  <c r="D68" i="16"/>
  <c r="D68" i="19" s="1"/>
  <c r="E68" i="16"/>
  <c r="F68" i="16"/>
  <c r="G68" i="16"/>
  <c r="H68" i="16"/>
  <c r="H68" i="19" s="1"/>
  <c r="I68" i="16"/>
  <c r="J68" i="16"/>
  <c r="K68" i="16"/>
  <c r="B69" i="16"/>
  <c r="C69" i="16"/>
  <c r="D69" i="16"/>
  <c r="D69" i="19" s="1"/>
  <c r="E69" i="16"/>
  <c r="E69" i="19" s="1"/>
  <c r="F69" i="16"/>
  <c r="G69" i="16"/>
  <c r="H69" i="16"/>
  <c r="I69" i="16"/>
  <c r="J69" i="16"/>
  <c r="J69" i="19" s="1"/>
  <c r="K69" i="16"/>
  <c r="B70" i="16"/>
  <c r="C70" i="16"/>
  <c r="D70" i="16"/>
  <c r="E70" i="16"/>
  <c r="E70" i="19" s="1"/>
  <c r="F70" i="16"/>
  <c r="F70" i="19" s="1"/>
  <c r="G70" i="16"/>
  <c r="H70" i="16"/>
  <c r="I70" i="16"/>
  <c r="J70" i="16"/>
  <c r="K70" i="16"/>
  <c r="L70" i="16"/>
  <c r="L70" i="19" s="1"/>
  <c r="B71" i="16"/>
  <c r="L71" i="16" s="1"/>
  <c r="L71" i="19" s="1"/>
  <c r="C71" i="16"/>
  <c r="D71" i="16"/>
  <c r="E71" i="16"/>
  <c r="F71" i="16"/>
  <c r="F71" i="19" s="1"/>
  <c r="G71" i="16"/>
  <c r="H71" i="16"/>
  <c r="I71" i="16"/>
  <c r="J71" i="16"/>
  <c r="K71" i="16"/>
  <c r="B72" i="16"/>
  <c r="C72" i="16"/>
  <c r="C72" i="19" s="1"/>
  <c r="D72" i="16"/>
  <c r="E72" i="16"/>
  <c r="F72" i="16"/>
  <c r="G72" i="16"/>
  <c r="H72" i="16"/>
  <c r="I72" i="16"/>
  <c r="J72" i="16"/>
  <c r="K72" i="16"/>
  <c r="B73" i="16"/>
  <c r="C73" i="16"/>
  <c r="D73" i="16"/>
  <c r="E73" i="16"/>
  <c r="E73" i="19" s="1"/>
  <c r="F73" i="16"/>
  <c r="G73" i="16"/>
  <c r="H73" i="16"/>
  <c r="I73" i="16"/>
  <c r="I73" i="19" s="1"/>
  <c r="J73" i="16"/>
  <c r="K73" i="16"/>
  <c r="B74" i="16"/>
  <c r="L74" i="16" s="1"/>
  <c r="L74" i="19" s="1"/>
  <c r="C74" i="16"/>
  <c r="D74" i="16"/>
  <c r="E74" i="16"/>
  <c r="F74" i="16"/>
  <c r="G74" i="16"/>
  <c r="G74" i="19" s="1"/>
  <c r="H74" i="16"/>
  <c r="I74" i="16"/>
  <c r="I74" i="19" s="1"/>
  <c r="J74" i="16"/>
  <c r="J74" i="19" s="1"/>
  <c r="K74" i="16"/>
  <c r="B75" i="16"/>
  <c r="C75" i="16"/>
  <c r="D75" i="16"/>
  <c r="E75" i="16"/>
  <c r="F75" i="16"/>
  <c r="G75" i="16"/>
  <c r="H75" i="16"/>
  <c r="I75" i="16"/>
  <c r="I75" i="19" s="1"/>
  <c r="J75" i="16"/>
  <c r="J75" i="19" s="1"/>
  <c r="K75" i="16"/>
  <c r="K75" i="19" s="1"/>
  <c r="B76" i="16"/>
  <c r="C76" i="16"/>
  <c r="D76" i="16"/>
  <c r="L76" i="16" s="1"/>
  <c r="L76" i="19" s="1"/>
  <c r="E76" i="16"/>
  <c r="F76" i="16"/>
  <c r="G76" i="16"/>
  <c r="H76" i="16"/>
  <c r="I76" i="16"/>
  <c r="J76" i="16"/>
  <c r="K76" i="16"/>
  <c r="K76" i="19" s="1"/>
  <c r="B77" i="16"/>
  <c r="C77" i="16"/>
  <c r="D77" i="16"/>
  <c r="E77" i="16"/>
  <c r="F77" i="16"/>
  <c r="G77" i="16"/>
  <c r="H77" i="16"/>
  <c r="I77" i="16"/>
  <c r="J77" i="16"/>
  <c r="K77" i="16"/>
  <c r="L77" i="16"/>
  <c r="L77" i="19" s="1"/>
  <c r="B78" i="16"/>
  <c r="L78" i="16" s="1"/>
  <c r="L78" i="19" s="1"/>
  <c r="C78" i="16"/>
  <c r="D78" i="16"/>
  <c r="E78" i="16"/>
  <c r="F78" i="16"/>
  <c r="G78" i="16"/>
  <c r="H78" i="16"/>
  <c r="I78" i="16"/>
  <c r="J78" i="16"/>
  <c r="K78" i="16"/>
  <c r="B79" i="16"/>
  <c r="C79" i="16"/>
  <c r="C79" i="19" s="1"/>
  <c r="D79" i="16"/>
  <c r="E79" i="16"/>
  <c r="F79" i="16"/>
  <c r="G79" i="16"/>
  <c r="H79" i="16"/>
  <c r="I79" i="16"/>
  <c r="J79" i="16"/>
  <c r="K79" i="16"/>
  <c r="B80" i="16"/>
  <c r="C80" i="16"/>
  <c r="C80" i="19" s="1"/>
  <c r="D80" i="16"/>
  <c r="D80" i="19" s="1"/>
  <c r="E80" i="16"/>
  <c r="E80" i="19" s="1"/>
  <c r="F80" i="16"/>
  <c r="G80" i="16"/>
  <c r="H80" i="16"/>
  <c r="I80" i="16"/>
  <c r="J80" i="16"/>
  <c r="K80" i="16"/>
  <c r="L80" i="16"/>
  <c r="B81" i="16"/>
  <c r="L81" i="16" s="1"/>
  <c r="L81" i="19" s="1"/>
  <c r="C81" i="16"/>
  <c r="D81" i="16"/>
  <c r="D81" i="19" s="1"/>
  <c r="E81" i="16"/>
  <c r="E81" i="19" s="1"/>
  <c r="F81" i="16"/>
  <c r="F81" i="19" s="1"/>
  <c r="G81" i="16"/>
  <c r="H81" i="16"/>
  <c r="I81" i="16"/>
  <c r="J81" i="16"/>
  <c r="K81" i="16"/>
  <c r="B82" i="16"/>
  <c r="L82" i="16" s="1"/>
  <c r="L82" i="19" s="1"/>
  <c r="C82" i="16"/>
  <c r="D82" i="16"/>
  <c r="E82" i="16"/>
  <c r="E82" i="19" s="1"/>
  <c r="F82" i="16"/>
  <c r="F82" i="19" s="1"/>
  <c r="G82" i="16"/>
  <c r="H82" i="16"/>
  <c r="H82" i="19" s="1"/>
  <c r="I82" i="16"/>
  <c r="J82" i="16"/>
  <c r="K82" i="16"/>
  <c r="B83" i="16"/>
  <c r="L83" i="16" s="1"/>
  <c r="L83" i="19" s="1"/>
  <c r="C83" i="16"/>
  <c r="D83" i="16"/>
  <c r="E83" i="16"/>
  <c r="F83" i="16"/>
  <c r="F83" i="19" s="1"/>
  <c r="G83" i="16"/>
  <c r="H83" i="16"/>
  <c r="I83" i="16"/>
  <c r="I83" i="19" s="1"/>
  <c r="J83" i="16"/>
  <c r="K83" i="16"/>
  <c r="B84" i="16"/>
  <c r="L84" i="16" s="1"/>
  <c r="L84" i="19" s="1"/>
  <c r="C84" i="16"/>
  <c r="D84" i="16"/>
  <c r="E84" i="16"/>
  <c r="F84" i="16"/>
  <c r="G84" i="16"/>
  <c r="H84" i="16"/>
  <c r="I84" i="16"/>
  <c r="J84" i="16"/>
  <c r="K84" i="16"/>
  <c r="K84" i="19" s="1"/>
  <c r="B85" i="16"/>
  <c r="L85" i="16" s="1"/>
  <c r="L85" i="19" s="1"/>
  <c r="C85" i="16"/>
  <c r="D85" i="16"/>
  <c r="E85" i="16"/>
  <c r="F85" i="16"/>
  <c r="G85" i="16"/>
  <c r="H85" i="16"/>
  <c r="I85" i="16"/>
  <c r="I85" i="19" s="1"/>
  <c r="J85" i="16"/>
  <c r="K85" i="16"/>
  <c r="B86" i="16"/>
  <c r="L86" i="16" s="1"/>
  <c r="L86" i="19" s="1"/>
  <c r="C86" i="16"/>
  <c r="C86" i="19" s="1"/>
  <c r="D86" i="16"/>
  <c r="E86" i="16"/>
  <c r="F86" i="16"/>
  <c r="G86" i="16"/>
  <c r="H86" i="16"/>
  <c r="I86" i="16"/>
  <c r="I86" i="19" s="1"/>
  <c r="J86" i="16"/>
  <c r="J86" i="19" s="1"/>
  <c r="K86" i="16"/>
  <c r="B87" i="16"/>
  <c r="L87" i="16" s="1"/>
  <c r="L87" i="19" s="1"/>
  <c r="C87" i="16"/>
  <c r="D87" i="16"/>
  <c r="E87" i="16"/>
  <c r="E87" i="19" s="1"/>
  <c r="F87" i="16"/>
  <c r="G87" i="16"/>
  <c r="H87" i="16"/>
  <c r="I87" i="16"/>
  <c r="J87" i="16"/>
  <c r="J87" i="19" s="1"/>
  <c r="K87" i="16"/>
  <c r="K87" i="19" s="1"/>
  <c r="B88" i="16"/>
  <c r="L88" i="16" s="1"/>
  <c r="L88" i="19" s="1"/>
  <c r="C88" i="16"/>
  <c r="D88" i="16"/>
  <c r="E88" i="16"/>
  <c r="F88" i="16"/>
  <c r="G88" i="16"/>
  <c r="G88" i="19" s="1"/>
  <c r="H88" i="16"/>
  <c r="I88" i="16"/>
  <c r="J88" i="16"/>
  <c r="K88" i="16"/>
  <c r="K88" i="19" s="1"/>
  <c r="B89" i="16"/>
  <c r="L89" i="16" s="1"/>
  <c r="L89" i="19" s="1"/>
  <c r="C89" i="16"/>
  <c r="D89" i="16"/>
  <c r="E89" i="16"/>
  <c r="F89" i="16"/>
  <c r="G89" i="16"/>
  <c r="H89" i="16"/>
  <c r="H89" i="19" s="1"/>
  <c r="I89" i="16"/>
  <c r="J89" i="16"/>
  <c r="K89" i="16"/>
  <c r="B90" i="16"/>
  <c r="L90" i="16" s="1"/>
  <c r="L90" i="19" s="1"/>
  <c r="C90" i="16"/>
  <c r="D90" i="16"/>
  <c r="E90" i="16"/>
  <c r="F90" i="16"/>
  <c r="G90" i="16"/>
  <c r="H90" i="16"/>
  <c r="I90" i="16"/>
  <c r="I90" i="19" s="1"/>
  <c r="J90" i="16"/>
  <c r="K90" i="16"/>
  <c r="B91" i="16"/>
  <c r="L91" i="16" s="1"/>
  <c r="L91" i="19" s="1"/>
  <c r="C91" i="16"/>
  <c r="C91" i="19" s="1"/>
  <c r="D91" i="16"/>
  <c r="E91" i="16"/>
  <c r="F91" i="16"/>
  <c r="G91" i="16"/>
  <c r="H91" i="16"/>
  <c r="I91" i="16"/>
  <c r="J91" i="16"/>
  <c r="K91" i="16"/>
  <c r="K91" i="19" s="1"/>
  <c r="B92" i="16"/>
  <c r="C92" i="16"/>
  <c r="C92" i="19" s="1"/>
  <c r="D92" i="16"/>
  <c r="D92" i="19" s="1"/>
  <c r="E92" i="16"/>
  <c r="F92" i="16"/>
  <c r="G92" i="16"/>
  <c r="H92" i="16"/>
  <c r="I92" i="16"/>
  <c r="J92" i="16"/>
  <c r="K92" i="16"/>
  <c r="L92" i="16"/>
  <c r="B93" i="16"/>
  <c r="L93" i="16" s="1"/>
  <c r="L93" i="19" s="1"/>
  <c r="C93" i="16"/>
  <c r="D93" i="16"/>
  <c r="D93" i="19" s="1"/>
  <c r="E93" i="16"/>
  <c r="E93" i="19" s="1"/>
  <c r="F93" i="16"/>
  <c r="G93" i="16"/>
  <c r="H93" i="16"/>
  <c r="I93" i="16"/>
  <c r="J93" i="16"/>
  <c r="K93" i="16"/>
  <c r="B94" i="16"/>
  <c r="L94" i="16" s="1"/>
  <c r="L94" i="19" s="1"/>
  <c r="C94" i="16"/>
  <c r="D94" i="16"/>
  <c r="E94" i="16"/>
  <c r="E94" i="19" s="1"/>
  <c r="F94" i="16"/>
  <c r="F94" i="19" s="1"/>
  <c r="G94" i="16"/>
  <c r="H94" i="16"/>
  <c r="I94" i="16"/>
  <c r="J94" i="16"/>
  <c r="K94" i="16"/>
  <c r="B95" i="16"/>
  <c r="L95" i="16" s="1"/>
  <c r="L95" i="19" s="1"/>
  <c r="C95" i="16"/>
  <c r="D95" i="16"/>
  <c r="E95" i="16"/>
  <c r="E95" i="19" s="1"/>
  <c r="F95" i="16"/>
  <c r="F95" i="19" s="1"/>
  <c r="G95" i="16"/>
  <c r="H95" i="16"/>
  <c r="I95" i="16"/>
  <c r="J95" i="16"/>
  <c r="K95" i="16"/>
  <c r="B96" i="16"/>
  <c r="L96" i="16" s="1"/>
  <c r="L96" i="19" s="1"/>
  <c r="C96" i="16"/>
  <c r="D96" i="16"/>
  <c r="E96" i="16"/>
  <c r="F96" i="16"/>
  <c r="G96" i="16"/>
  <c r="G96" i="19" s="1"/>
  <c r="H96" i="16"/>
  <c r="I96" i="16"/>
  <c r="J96" i="16"/>
  <c r="K96" i="16"/>
  <c r="B97" i="16"/>
  <c r="L97" i="16" s="1"/>
  <c r="L97" i="19" s="1"/>
  <c r="C97" i="16"/>
  <c r="D97" i="16"/>
  <c r="E97" i="16"/>
  <c r="F97" i="16"/>
  <c r="G97" i="16"/>
  <c r="H97" i="16"/>
  <c r="I97" i="16"/>
  <c r="I97" i="19" s="1"/>
  <c r="J97" i="16"/>
  <c r="K97" i="16"/>
  <c r="B98" i="16"/>
  <c r="L98" i="16" s="1"/>
  <c r="L98" i="19" s="1"/>
  <c r="C98" i="16"/>
  <c r="D98" i="16"/>
  <c r="E98" i="16"/>
  <c r="F98" i="16"/>
  <c r="G98" i="16"/>
  <c r="H98" i="16"/>
  <c r="I98" i="16"/>
  <c r="I98" i="19" s="1"/>
  <c r="J98" i="16"/>
  <c r="J98" i="19" s="1"/>
  <c r="K98" i="16"/>
  <c r="B99" i="16"/>
  <c r="L99" i="16" s="1"/>
  <c r="L99" i="19" s="1"/>
  <c r="C99" i="16"/>
  <c r="D99" i="16"/>
  <c r="E99" i="16"/>
  <c r="F99" i="16"/>
  <c r="G99" i="16"/>
  <c r="H99" i="16"/>
  <c r="I99" i="16"/>
  <c r="J99" i="16"/>
  <c r="J99" i="19" s="1"/>
  <c r="K99" i="16"/>
  <c r="K99" i="19" s="1"/>
  <c r="B100" i="16"/>
  <c r="B100" i="19" s="1"/>
  <c r="C100" i="16"/>
  <c r="D100" i="16"/>
  <c r="E100" i="16"/>
  <c r="F100" i="16"/>
  <c r="G100" i="16"/>
  <c r="H100" i="16"/>
  <c r="I100" i="16"/>
  <c r="J100" i="16"/>
  <c r="K100" i="16"/>
  <c r="K100" i="19" s="1"/>
  <c r="B101" i="16"/>
  <c r="L101" i="16" s="1"/>
  <c r="L101" i="19" s="1"/>
  <c r="C101" i="16"/>
  <c r="C101" i="19" s="1"/>
  <c r="D101" i="16"/>
  <c r="E101" i="16"/>
  <c r="F101" i="16"/>
  <c r="G101" i="16"/>
  <c r="H101" i="16"/>
  <c r="I101" i="16"/>
  <c r="J101" i="16"/>
  <c r="K101" i="16"/>
  <c r="B102" i="16"/>
  <c r="L102" i="16" s="1"/>
  <c r="L102" i="19" s="1"/>
  <c r="C102" i="16"/>
  <c r="D102" i="16"/>
  <c r="D102" i="19" s="1"/>
  <c r="E102" i="16"/>
  <c r="F102" i="16"/>
  <c r="G102" i="16"/>
  <c r="H102" i="16"/>
  <c r="I102" i="16"/>
  <c r="J102" i="16"/>
  <c r="K102" i="16"/>
  <c r="B103" i="16"/>
  <c r="L103" i="16" s="1"/>
  <c r="L103" i="19" s="1"/>
  <c r="C103" i="16"/>
  <c r="C103" i="19" s="1"/>
  <c r="D103" i="16"/>
  <c r="E103" i="16"/>
  <c r="F103" i="16"/>
  <c r="F103" i="19" s="1"/>
  <c r="G103" i="16"/>
  <c r="H103" i="16"/>
  <c r="I103" i="16"/>
  <c r="J103" i="16"/>
  <c r="K103" i="16"/>
  <c r="B104" i="16"/>
  <c r="C104" i="16"/>
  <c r="C104" i="19" s="1"/>
  <c r="D104" i="16"/>
  <c r="D104" i="19" s="1"/>
  <c r="E104" i="16"/>
  <c r="F104" i="16"/>
  <c r="G104" i="16"/>
  <c r="H104" i="16"/>
  <c r="H104" i="19" s="1"/>
  <c r="I104" i="16"/>
  <c r="J104" i="16"/>
  <c r="K104" i="16"/>
  <c r="L104" i="16"/>
  <c r="B105" i="16"/>
  <c r="L105" i="16" s="1"/>
  <c r="L105" i="19" s="1"/>
  <c r="C105" i="16"/>
  <c r="D105" i="16"/>
  <c r="D105" i="19" s="1"/>
  <c r="E105" i="16"/>
  <c r="E105" i="19" s="1"/>
  <c r="F105" i="16"/>
  <c r="G105" i="16"/>
  <c r="H105" i="16"/>
  <c r="I105" i="16"/>
  <c r="I105" i="19" s="1"/>
  <c r="J105" i="16"/>
  <c r="K105" i="16"/>
  <c r="B106" i="16"/>
  <c r="C106" i="16"/>
  <c r="D106" i="16"/>
  <c r="E106" i="16"/>
  <c r="E106" i="19" s="1"/>
  <c r="F106" i="16"/>
  <c r="F106" i="19" s="1"/>
  <c r="G106" i="16"/>
  <c r="H106" i="16"/>
  <c r="I106" i="16"/>
  <c r="J106" i="16"/>
  <c r="J106" i="19" s="1"/>
  <c r="K106" i="16"/>
  <c r="L106" i="16"/>
  <c r="B107" i="16"/>
  <c r="L107" i="16" s="1"/>
  <c r="L107" i="19" s="1"/>
  <c r="C107" i="16"/>
  <c r="D107" i="16"/>
  <c r="E107" i="16"/>
  <c r="F107" i="16"/>
  <c r="F107" i="19" s="1"/>
  <c r="G107" i="16"/>
  <c r="H107" i="16"/>
  <c r="I107" i="16"/>
  <c r="J107" i="16"/>
  <c r="K107" i="16"/>
  <c r="K107" i="19" s="1"/>
  <c r="B108" i="16"/>
  <c r="L108" i="16" s="1"/>
  <c r="L108" i="19" s="1"/>
  <c r="C108" i="16"/>
  <c r="D108" i="16"/>
  <c r="E108" i="16"/>
  <c r="F108" i="16"/>
  <c r="G108" i="16"/>
  <c r="G108" i="19" s="1"/>
  <c r="H108" i="16"/>
  <c r="I108" i="16"/>
  <c r="J108" i="16"/>
  <c r="K108" i="16"/>
  <c r="B109" i="16"/>
  <c r="L109" i="16" s="1"/>
  <c r="L109" i="19" s="1"/>
  <c r="C109" i="16"/>
  <c r="C109" i="19" s="1"/>
  <c r="D109" i="16"/>
  <c r="E109" i="16"/>
  <c r="F109" i="16"/>
  <c r="G109" i="16"/>
  <c r="H109" i="16"/>
  <c r="I109" i="16"/>
  <c r="I109" i="19" s="1"/>
  <c r="J109" i="16"/>
  <c r="K109" i="16"/>
  <c r="B110" i="16"/>
  <c r="L110" i="16" s="1"/>
  <c r="L110" i="19" s="1"/>
  <c r="C110" i="16"/>
  <c r="D110" i="16"/>
  <c r="D110" i="19" s="1"/>
  <c r="E110" i="16"/>
  <c r="F110" i="16"/>
  <c r="G110" i="16"/>
  <c r="H110" i="16"/>
  <c r="I110" i="16"/>
  <c r="I110" i="19" s="1"/>
  <c r="J110" i="16"/>
  <c r="J110" i="19" s="1"/>
  <c r="K110" i="16"/>
  <c r="B111" i="16"/>
  <c r="L111" i="16" s="1"/>
  <c r="L111" i="19" s="1"/>
  <c r="C111" i="16"/>
  <c r="D111" i="16"/>
  <c r="E111" i="16"/>
  <c r="F111" i="16"/>
  <c r="F111" i="19" s="1"/>
  <c r="G111" i="16"/>
  <c r="H111" i="16"/>
  <c r="I111" i="16"/>
  <c r="J111" i="16"/>
  <c r="J111" i="19" s="1"/>
  <c r="K111" i="16"/>
  <c r="K111" i="19" s="1"/>
  <c r="B112" i="16"/>
  <c r="C112" i="16"/>
  <c r="D112" i="16"/>
  <c r="E112" i="16"/>
  <c r="F112" i="16"/>
  <c r="G112" i="16"/>
  <c r="H112" i="16"/>
  <c r="H112" i="19" s="1"/>
  <c r="I112" i="16"/>
  <c r="J112" i="16"/>
  <c r="K112" i="16"/>
  <c r="K112" i="19" s="1"/>
  <c r="L112" i="16"/>
  <c r="L112" i="19" s="1"/>
  <c r="B113" i="16"/>
  <c r="L113" i="16" s="1"/>
  <c r="L113" i="19" s="1"/>
  <c r="C113" i="16"/>
  <c r="D113" i="16"/>
  <c r="E113" i="16"/>
  <c r="F113" i="16"/>
  <c r="G113" i="16"/>
  <c r="H113" i="16"/>
  <c r="I113" i="16"/>
  <c r="I113" i="19" s="1"/>
  <c r="J113" i="16"/>
  <c r="K113" i="16"/>
  <c r="B114" i="16"/>
  <c r="L114" i="16" s="1"/>
  <c r="L114" i="19" s="1"/>
  <c r="C114" i="16"/>
  <c r="D114" i="16"/>
  <c r="E114" i="16"/>
  <c r="F114" i="16"/>
  <c r="G114" i="16"/>
  <c r="H114" i="16"/>
  <c r="I114" i="16"/>
  <c r="J114" i="16"/>
  <c r="J114" i="19" s="1"/>
  <c r="K114" i="16"/>
  <c r="B115" i="16"/>
  <c r="L115" i="16" s="1"/>
  <c r="L115" i="19" s="1"/>
  <c r="C115" i="16"/>
  <c r="C115" i="19" s="1"/>
  <c r="D115" i="16"/>
  <c r="E115" i="16"/>
  <c r="F115" i="16"/>
  <c r="G115" i="16"/>
  <c r="H115" i="16"/>
  <c r="I115" i="16"/>
  <c r="J115" i="16"/>
  <c r="K115" i="16"/>
  <c r="B116" i="16"/>
  <c r="B116" i="19" s="1"/>
  <c r="C116" i="16"/>
  <c r="C116" i="19" s="1"/>
  <c r="D116" i="16"/>
  <c r="D116" i="19" s="1"/>
  <c r="E116" i="16"/>
  <c r="F116" i="16"/>
  <c r="G116" i="16"/>
  <c r="H116" i="16"/>
  <c r="I116" i="16"/>
  <c r="J116" i="16"/>
  <c r="K116" i="16"/>
  <c r="B117" i="16"/>
  <c r="L117" i="16" s="1"/>
  <c r="L117" i="19" s="1"/>
  <c r="C117" i="16"/>
  <c r="C117" i="19" s="1"/>
  <c r="D117" i="16"/>
  <c r="D117" i="19" s="1"/>
  <c r="E117" i="16"/>
  <c r="E117" i="19" s="1"/>
  <c r="F117" i="16"/>
  <c r="G117" i="16"/>
  <c r="H117" i="16"/>
  <c r="I117" i="16"/>
  <c r="J117" i="16"/>
  <c r="K117" i="16"/>
  <c r="B118" i="16"/>
  <c r="C118" i="16"/>
  <c r="D118" i="16"/>
  <c r="E118" i="16"/>
  <c r="E118" i="19" s="1"/>
  <c r="F118" i="16"/>
  <c r="F118" i="19" s="1"/>
  <c r="G118" i="16"/>
  <c r="H118" i="16"/>
  <c r="I118" i="16"/>
  <c r="J118" i="16"/>
  <c r="K118" i="16"/>
  <c r="L118" i="16"/>
  <c r="B119" i="16"/>
  <c r="L119" i="16" s="1"/>
  <c r="C119" i="16"/>
  <c r="D119" i="16"/>
  <c r="E119" i="16"/>
  <c r="F119" i="16"/>
  <c r="F119" i="19" s="1"/>
  <c r="G119" i="16"/>
  <c r="H119" i="16"/>
  <c r="I119" i="16"/>
  <c r="J119" i="16"/>
  <c r="K119" i="16"/>
  <c r="B120" i="16"/>
  <c r="L120" i="16" s="1"/>
  <c r="L120" i="19" s="1"/>
  <c r="C120" i="16"/>
  <c r="D120" i="16"/>
  <c r="E120" i="16"/>
  <c r="F120" i="16"/>
  <c r="G120" i="16"/>
  <c r="H120" i="16"/>
  <c r="H120" i="19" s="1"/>
  <c r="I120" i="16"/>
  <c r="J120" i="16"/>
  <c r="K120" i="16"/>
  <c r="B121" i="16"/>
  <c r="L121" i="16" s="1"/>
  <c r="L121" i="19" s="1"/>
  <c r="C121" i="16"/>
  <c r="D121" i="16"/>
  <c r="E121" i="16"/>
  <c r="F121" i="16"/>
  <c r="G121" i="16"/>
  <c r="H121" i="16"/>
  <c r="I121" i="16"/>
  <c r="I121" i="19" s="1"/>
  <c r="J121" i="16"/>
  <c r="K121" i="16"/>
  <c r="B122" i="16"/>
  <c r="L122" i="16" s="1"/>
  <c r="C122" i="16"/>
  <c r="D122" i="16"/>
  <c r="E122" i="16"/>
  <c r="F122" i="16"/>
  <c r="G122" i="16"/>
  <c r="H122" i="16"/>
  <c r="I122" i="16"/>
  <c r="I122" i="19" s="1"/>
  <c r="J122" i="16"/>
  <c r="J122" i="19" s="1"/>
  <c r="K122" i="16"/>
  <c r="K122" i="19" s="1"/>
  <c r="B123" i="16"/>
  <c r="L123" i="16" s="1"/>
  <c r="C123" i="16"/>
  <c r="D123" i="16"/>
  <c r="E123" i="16"/>
  <c r="F123" i="16"/>
  <c r="G123" i="16"/>
  <c r="H123" i="16"/>
  <c r="I123" i="16"/>
  <c r="J123" i="16"/>
  <c r="J123" i="19" s="1"/>
  <c r="K123" i="16"/>
  <c r="K123" i="19" s="1"/>
  <c r="B124" i="16"/>
  <c r="L124" i="16" s="1"/>
  <c r="L124" i="19" s="1"/>
  <c r="C124" i="16"/>
  <c r="C124" i="19" s="1"/>
  <c r="D124" i="16"/>
  <c r="E124" i="16"/>
  <c r="F124" i="16"/>
  <c r="G124" i="16"/>
  <c r="H124" i="16"/>
  <c r="I124" i="16"/>
  <c r="J124" i="16"/>
  <c r="K124" i="16"/>
  <c r="K124" i="19" s="1"/>
  <c r="B125" i="16"/>
  <c r="L125" i="16" s="1"/>
  <c r="L125" i="19" s="1"/>
  <c r="C125" i="16"/>
  <c r="D125" i="16"/>
  <c r="D125" i="19" s="1"/>
  <c r="E125" i="16"/>
  <c r="F125" i="16"/>
  <c r="G125" i="16"/>
  <c r="H125" i="16"/>
  <c r="I125" i="16"/>
  <c r="J125" i="16"/>
  <c r="K125" i="16"/>
  <c r="B126" i="16"/>
  <c r="L126" i="16" s="1"/>
  <c r="C126" i="16"/>
  <c r="D126" i="16"/>
  <c r="E126" i="16"/>
  <c r="E126" i="19" s="1"/>
  <c r="F126" i="16"/>
  <c r="G126" i="16"/>
  <c r="H126" i="16"/>
  <c r="I126" i="16"/>
  <c r="J126" i="16"/>
  <c r="K126" i="16"/>
  <c r="B127" i="16"/>
  <c r="L127" i="16" s="1"/>
  <c r="C127" i="16"/>
  <c r="C127" i="19" s="1"/>
  <c r="D127" i="16"/>
  <c r="E127" i="16"/>
  <c r="F127" i="16"/>
  <c r="G127" i="16"/>
  <c r="G127" i="19" s="1"/>
  <c r="H127" i="16"/>
  <c r="I127" i="16"/>
  <c r="J127" i="16"/>
  <c r="K127" i="16"/>
  <c r="B128" i="16"/>
  <c r="L128" i="16" s="1"/>
  <c r="L128" i="19" s="1"/>
  <c r="C128" i="16"/>
  <c r="C128" i="19" s="1"/>
  <c r="D128" i="16"/>
  <c r="D128" i="19" s="1"/>
  <c r="E128" i="16"/>
  <c r="F128" i="16"/>
  <c r="G128" i="16"/>
  <c r="H128" i="16"/>
  <c r="I128" i="16"/>
  <c r="I128" i="19" s="1"/>
  <c r="J128" i="16"/>
  <c r="K128" i="16"/>
  <c r="B129" i="16"/>
  <c r="C129" i="16"/>
  <c r="D129" i="16"/>
  <c r="D129" i="19" s="1"/>
  <c r="E129" i="16"/>
  <c r="E129" i="19" s="1"/>
  <c r="F129" i="16"/>
  <c r="G129" i="16"/>
  <c r="H129" i="16"/>
  <c r="I129" i="16"/>
  <c r="J129" i="16"/>
  <c r="J129" i="19" s="1"/>
  <c r="K129" i="16"/>
  <c r="L129" i="16"/>
  <c r="B130" i="16"/>
  <c r="C130" i="16"/>
  <c r="D130" i="16"/>
  <c r="E130" i="16"/>
  <c r="E130" i="19" s="1"/>
  <c r="F130" i="16"/>
  <c r="F130" i="19" s="1"/>
  <c r="G130" i="16"/>
  <c r="H130" i="16"/>
  <c r="I130" i="16"/>
  <c r="J130" i="16"/>
  <c r="K130" i="16"/>
  <c r="K130" i="19" s="1"/>
  <c r="L130" i="16"/>
  <c r="B131" i="16"/>
  <c r="L131" i="16" s="1"/>
  <c r="C131" i="16"/>
  <c r="D131" i="16"/>
  <c r="E131" i="16"/>
  <c r="F131" i="16"/>
  <c r="F131" i="19" s="1"/>
  <c r="G131" i="16"/>
  <c r="H131" i="16"/>
  <c r="I131" i="16"/>
  <c r="J131" i="16"/>
  <c r="K131" i="16"/>
  <c r="B132" i="16"/>
  <c r="L132" i="16" s="1"/>
  <c r="C132" i="16"/>
  <c r="D132" i="16"/>
  <c r="E132" i="16"/>
  <c r="F132" i="16"/>
  <c r="G132" i="16"/>
  <c r="H132" i="16"/>
  <c r="H132" i="19" s="1"/>
  <c r="I132" i="16"/>
  <c r="J132" i="16"/>
  <c r="K132" i="16"/>
  <c r="B133" i="16"/>
  <c r="C133" i="16"/>
  <c r="D133" i="16"/>
  <c r="D133" i="19" s="1"/>
  <c r="E133" i="16"/>
  <c r="F133" i="16"/>
  <c r="G133" i="16"/>
  <c r="H133" i="16"/>
  <c r="I133" i="16"/>
  <c r="I133" i="19" s="1"/>
  <c r="J133" i="16"/>
  <c r="K133" i="16"/>
  <c r="L133" i="16"/>
  <c r="B134" i="16"/>
  <c r="L134" i="16" s="1"/>
  <c r="C134" i="16"/>
  <c r="D134" i="16"/>
  <c r="E134" i="16"/>
  <c r="E134" i="19" s="1"/>
  <c r="F134" i="16"/>
  <c r="G134" i="16"/>
  <c r="H134" i="16"/>
  <c r="I134" i="16"/>
  <c r="I134" i="19" s="1"/>
  <c r="J134" i="16"/>
  <c r="J134" i="19" s="1"/>
  <c r="K134" i="16"/>
  <c r="B135" i="16"/>
  <c r="L135" i="16" s="1"/>
  <c r="C135" i="16"/>
  <c r="D135" i="16"/>
  <c r="E135" i="16"/>
  <c r="F135" i="16"/>
  <c r="G135" i="16"/>
  <c r="G135" i="19" s="1"/>
  <c r="H135" i="16"/>
  <c r="I135" i="16"/>
  <c r="J135" i="16"/>
  <c r="J135" i="19" s="1"/>
  <c r="K135" i="16"/>
  <c r="K135" i="19" s="1"/>
  <c r="B136" i="16"/>
  <c r="L136" i="16" s="1"/>
  <c r="L136" i="19" s="1"/>
  <c r="C136" i="16"/>
  <c r="D136" i="16"/>
  <c r="E136" i="16"/>
  <c r="F136" i="16"/>
  <c r="G136" i="16"/>
  <c r="H136" i="16"/>
  <c r="I136" i="16"/>
  <c r="I136" i="19" s="1"/>
  <c r="J136" i="16"/>
  <c r="K136" i="16"/>
  <c r="K136" i="19" s="1"/>
  <c r="B137" i="16"/>
  <c r="C137" i="16"/>
  <c r="D137" i="16"/>
  <c r="E137" i="16"/>
  <c r="F137" i="16"/>
  <c r="G137" i="16"/>
  <c r="H137" i="16"/>
  <c r="I137" i="16"/>
  <c r="J137" i="16"/>
  <c r="J137" i="19" s="1"/>
  <c r="K137" i="16"/>
  <c r="L137" i="16"/>
  <c r="B138" i="16"/>
  <c r="L138" i="16" s="1"/>
  <c r="C138" i="16"/>
  <c r="D138" i="16"/>
  <c r="E138" i="16"/>
  <c r="F138" i="16"/>
  <c r="G138" i="16"/>
  <c r="H138" i="16"/>
  <c r="I138" i="16"/>
  <c r="J138" i="16"/>
  <c r="K138" i="16"/>
  <c r="K138" i="19" s="1"/>
  <c r="B139" i="16"/>
  <c r="L139" i="16" s="1"/>
  <c r="C139" i="16"/>
  <c r="C139" i="19" s="1"/>
  <c r="D139" i="16"/>
  <c r="E139" i="16"/>
  <c r="F139" i="16"/>
  <c r="G139" i="16"/>
  <c r="H139" i="16"/>
  <c r="I139" i="16"/>
  <c r="J139" i="16"/>
  <c r="K139" i="16"/>
  <c r="B140" i="16"/>
  <c r="L140" i="16" s="1"/>
  <c r="L140" i="19" s="1"/>
  <c r="C140" i="16"/>
  <c r="C140" i="19" s="1"/>
  <c r="D140" i="16"/>
  <c r="E140" i="16"/>
  <c r="F140" i="16"/>
  <c r="G140" i="16"/>
  <c r="H140" i="16"/>
  <c r="I140" i="16"/>
  <c r="J140" i="16"/>
  <c r="K140" i="16"/>
  <c r="B141" i="16"/>
  <c r="L141" i="16" s="1"/>
  <c r="C141" i="16"/>
  <c r="D141" i="16"/>
  <c r="D141" i="19" s="1"/>
  <c r="E141" i="16"/>
  <c r="F141" i="16"/>
  <c r="G141" i="16"/>
  <c r="H141" i="16"/>
  <c r="I141" i="16"/>
  <c r="J141" i="16"/>
  <c r="K141" i="16"/>
  <c r="B142" i="16"/>
  <c r="C142" i="16"/>
  <c r="D142" i="16"/>
  <c r="E142" i="16"/>
  <c r="F142" i="16"/>
  <c r="F142" i="19" s="1"/>
  <c r="G142" i="16"/>
  <c r="H142" i="16"/>
  <c r="I142" i="16"/>
  <c r="J142" i="16"/>
  <c r="K142" i="16"/>
  <c r="L142" i="16"/>
  <c r="B143" i="16"/>
  <c r="L143" i="16" s="1"/>
  <c r="C143" i="16"/>
  <c r="D143" i="16"/>
  <c r="E143" i="16"/>
  <c r="F143" i="16"/>
  <c r="G143" i="16"/>
  <c r="G143" i="19" s="1"/>
  <c r="H143" i="16"/>
  <c r="I143" i="16"/>
  <c r="J143" i="16"/>
  <c r="K143" i="16"/>
  <c r="B144" i="16"/>
  <c r="L144" i="16" s="1"/>
  <c r="C144" i="16"/>
  <c r="D144" i="16"/>
  <c r="E144" i="16"/>
  <c r="F144" i="16"/>
  <c r="G144" i="16"/>
  <c r="H144" i="16"/>
  <c r="I144" i="16"/>
  <c r="I144" i="19" s="1"/>
  <c r="J144" i="16"/>
  <c r="K144" i="16"/>
  <c r="B145" i="16"/>
  <c r="C145" i="16"/>
  <c r="D145" i="16"/>
  <c r="E145" i="16"/>
  <c r="F145" i="16"/>
  <c r="G145" i="16"/>
  <c r="H145" i="16"/>
  <c r="I145" i="16"/>
  <c r="I145" i="19" s="1"/>
  <c r="J145" i="16"/>
  <c r="K145" i="16"/>
  <c r="K145" i="19" s="1"/>
  <c r="L145" i="16"/>
  <c r="B146" i="16"/>
  <c r="L146" i="16" s="1"/>
  <c r="C146" i="16"/>
  <c r="D146" i="16"/>
  <c r="E146" i="16"/>
  <c r="F146" i="16"/>
  <c r="G146" i="16"/>
  <c r="H146" i="16"/>
  <c r="I146" i="16"/>
  <c r="I146" i="19" s="1"/>
  <c r="J146" i="16"/>
  <c r="J146" i="19" s="1"/>
  <c r="K146" i="16"/>
  <c r="B147" i="16"/>
  <c r="L147" i="16" s="1"/>
  <c r="L147" i="19" s="1"/>
  <c r="C147" i="16"/>
  <c r="D147" i="16"/>
  <c r="E147" i="16"/>
  <c r="F147" i="16"/>
  <c r="G147" i="16"/>
  <c r="H147" i="16"/>
  <c r="I147" i="16"/>
  <c r="J147" i="16"/>
  <c r="J147" i="19" s="1"/>
  <c r="K147" i="16"/>
  <c r="B148" i="16"/>
  <c r="L148" i="16" s="1"/>
  <c r="L148" i="19" s="1"/>
  <c r="C148" i="16"/>
  <c r="D148" i="16"/>
  <c r="D148" i="19" s="1"/>
  <c r="E148" i="16"/>
  <c r="F148" i="16"/>
  <c r="G148" i="16"/>
  <c r="H148" i="16"/>
  <c r="I148" i="16"/>
  <c r="J148" i="16"/>
  <c r="K148" i="16"/>
  <c r="B149" i="16"/>
  <c r="C149" i="16"/>
  <c r="D149" i="16"/>
  <c r="E149" i="16"/>
  <c r="E149" i="19" s="1"/>
  <c r="F149" i="16"/>
  <c r="G149" i="16"/>
  <c r="H149" i="16"/>
  <c r="I149" i="16"/>
  <c r="J149" i="16"/>
  <c r="K149" i="16"/>
  <c r="L149" i="16"/>
  <c r="B150" i="16"/>
  <c r="L150" i="16" s="1"/>
  <c r="C150" i="16"/>
  <c r="D150" i="16"/>
  <c r="E150" i="16"/>
  <c r="F150" i="16"/>
  <c r="F150" i="19" s="1"/>
  <c r="G150" i="16"/>
  <c r="H150" i="16"/>
  <c r="I150" i="16"/>
  <c r="J150" i="16"/>
  <c r="K150" i="16"/>
  <c r="B151" i="16"/>
  <c r="L151" i="16" s="1"/>
  <c r="C151" i="16"/>
  <c r="D151" i="16"/>
  <c r="E151" i="16"/>
  <c r="F151" i="16"/>
  <c r="G151" i="16"/>
  <c r="H151" i="16"/>
  <c r="H151" i="19" s="1"/>
  <c r="I151" i="16"/>
  <c r="J151" i="16"/>
  <c r="K151" i="16"/>
  <c r="B152" i="16"/>
  <c r="C152" i="16"/>
  <c r="D152" i="16"/>
  <c r="D152" i="19" s="1"/>
  <c r="E152" i="16"/>
  <c r="F152" i="16"/>
  <c r="G152" i="16"/>
  <c r="H152" i="16"/>
  <c r="I152" i="16"/>
  <c r="J152" i="16"/>
  <c r="J152" i="19" s="1"/>
  <c r="K152" i="16"/>
  <c r="L152" i="16"/>
  <c r="B153" i="16"/>
  <c r="L153" i="16" s="1"/>
  <c r="C153" i="16"/>
  <c r="D153" i="16"/>
  <c r="E153" i="16"/>
  <c r="E153" i="19" s="1"/>
  <c r="F153" i="16"/>
  <c r="G153" i="16"/>
  <c r="H153" i="16"/>
  <c r="I153" i="16"/>
  <c r="J153" i="16"/>
  <c r="K153" i="16"/>
  <c r="K153" i="19" s="1"/>
  <c r="B154" i="16"/>
  <c r="C154" i="16"/>
  <c r="D154" i="16"/>
  <c r="E154" i="16"/>
  <c r="F154" i="16"/>
  <c r="G154" i="16"/>
  <c r="H154" i="16"/>
  <c r="I154" i="16"/>
  <c r="J154" i="16"/>
  <c r="K154" i="16"/>
  <c r="L154" i="16"/>
  <c r="B155" i="16"/>
  <c r="L155" i="16" s="1"/>
  <c r="L155" i="19" s="1"/>
  <c r="C155" i="16"/>
  <c r="D155" i="16"/>
  <c r="E155" i="16"/>
  <c r="F155" i="16"/>
  <c r="G155" i="16"/>
  <c r="H155" i="16"/>
  <c r="I155" i="16"/>
  <c r="J155" i="16"/>
  <c r="K155" i="16"/>
  <c r="B156" i="16"/>
  <c r="L156" i="16" s="1"/>
  <c r="C156" i="16"/>
  <c r="D156" i="16"/>
  <c r="D156" i="19" s="1"/>
  <c r="E156" i="16"/>
  <c r="F156" i="16"/>
  <c r="G156" i="16"/>
  <c r="H156" i="16"/>
  <c r="I156" i="16"/>
  <c r="J156" i="16"/>
  <c r="K156" i="16"/>
  <c r="B157" i="16"/>
  <c r="C157" i="16"/>
  <c r="D157" i="16"/>
  <c r="E157" i="16"/>
  <c r="F157" i="16"/>
  <c r="G157" i="16"/>
  <c r="H157" i="16"/>
  <c r="I157" i="16"/>
  <c r="J157" i="16"/>
  <c r="K157" i="16"/>
  <c r="L157" i="16"/>
  <c r="B158" i="16"/>
  <c r="L158" i="16" s="1"/>
  <c r="C158" i="16"/>
  <c r="D158" i="16"/>
  <c r="E158" i="16"/>
  <c r="F158" i="16"/>
  <c r="G158" i="16"/>
  <c r="G158" i="19" s="1"/>
  <c r="H158" i="16"/>
  <c r="I158" i="16"/>
  <c r="J158" i="16"/>
  <c r="K158" i="16"/>
  <c r="B159" i="16"/>
  <c r="L159" i="16" s="1"/>
  <c r="C159" i="16"/>
  <c r="D159" i="16"/>
  <c r="E159" i="16"/>
  <c r="F159" i="16"/>
  <c r="G159" i="16"/>
  <c r="H159" i="16"/>
  <c r="I159" i="16"/>
  <c r="I159" i="19" s="1"/>
  <c r="J159" i="16"/>
  <c r="K159" i="16"/>
  <c r="B160" i="16"/>
  <c r="C160" i="16"/>
  <c r="D160" i="16"/>
  <c r="E160" i="16"/>
  <c r="F160" i="16"/>
  <c r="G160" i="16"/>
  <c r="H160" i="16"/>
  <c r="I160" i="16"/>
  <c r="J160" i="16"/>
  <c r="K160" i="16"/>
  <c r="K160" i="19" s="1"/>
  <c r="L160" i="16"/>
  <c r="B161" i="16"/>
  <c r="C161" i="16"/>
  <c r="D161" i="16"/>
  <c r="E161" i="16"/>
  <c r="F161" i="16"/>
  <c r="G161" i="16"/>
  <c r="H161" i="16"/>
  <c r="I161" i="16"/>
  <c r="J161" i="16"/>
  <c r="K161" i="16"/>
  <c r="L161" i="16"/>
  <c r="L161" i="19" s="1"/>
  <c r="B162" i="16"/>
  <c r="L162" i="16" s="1"/>
  <c r="C162" i="16"/>
  <c r="D162" i="16"/>
  <c r="E162" i="16"/>
  <c r="F162" i="16"/>
  <c r="G162" i="16"/>
  <c r="H162" i="16"/>
  <c r="I162" i="16"/>
  <c r="J162" i="16"/>
  <c r="K162" i="16"/>
  <c r="B163" i="16"/>
  <c r="L163" i="16" s="1"/>
  <c r="C163" i="16"/>
  <c r="C163" i="19" s="1"/>
  <c r="D163" i="16"/>
  <c r="E163" i="16"/>
  <c r="F163" i="16"/>
  <c r="G163" i="16"/>
  <c r="H163" i="16"/>
  <c r="I163" i="16"/>
  <c r="J163" i="16"/>
  <c r="K163" i="16"/>
  <c r="B164" i="16"/>
  <c r="L164" i="16" s="1"/>
  <c r="C164" i="16"/>
  <c r="D164" i="16"/>
  <c r="E164" i="16"/>
  <c r="E164" i="19" s="1"/>
  <c r="F164" i="16"/>
  <c r="G164" i="16"/>
  <c r="H164" i="16"/>
  <c r="I164" i="16"/>
  <c r="J164" i="16"/>
  <c r="K164" i="16"/>
  <c r="B165" i="16"/>
  <c r="L165" i="16" s="1"/>
  <c r="C165" i="16"/>
  <c r="D165" i="16"/>
  <c r="E165" i="16"/>
  <c r="E165" i="19" s="1"/>
  <c r="F165" i="16"/>
  <c r="G165" i="16"/>
  <c r="G165" i="19" s="1"/>
  <c r="H165" i="16"/>
  <c r="I165" i="16"/>
  <c r="J165" i="16"/>
  <c r="K165" i="16"/>
  <c r="B166" i="16"/>
  <c r="L166" i="16" s="1"/>
  <c r="L166" i="19" s="1"/>
  <c r="C166" i="16"/>
  <c r="D166" i="16"/>
  <c r="E166" i="16"/>
  <c r="F166" i="16"/>
  <c r="G166" i="16"/>
  <c r="H166" i="16"/>
  <c r="I166" i="16"/>
  <c r="J166" i="16"/>
  <c r="K166" i="16"/>
  <c r="B167" i="16"/>
  <c r="L167" i="16" s="1"/>
  <c r="C167" i="16"/>
  <c r="D167" i="16"/>
  <c r="E167" i="16"/>
  <c r="F167" i="16"/>
  <c r="G167" i="16"/>
  <c r="H167" i="16"/>
  <c r="I167" i="16"/>
  <c r="J167" i="16"/>
  <c r="J167" i="19" s="1"/>
  <c r="K167" i="16"/>
  <c r="B168" i="16"/>
  <c r="L168" i="16" s="1"/>
  <c r="C168" i="16"/>
  <c r="D168" i="16"/>
  <c r="E168" i="16"/>
  <c r="F168" i="16"/>
  <c r="G168" i="16"/>
  <c r="H168" i="16"/>
  <c r="I168" i="16"/>
  <c r="J168" i="16"/>
  <c r="K168" i="16"/>
  <c r="B169" i="16"/>
  <c r="B169" i="19" s="1"/>
  <c r="C169" i="16"/>
  <c r="D169" i="16"/>
  <c r="E169" i="16"/>
  <c r="F169" i="16"/>
  <c r="G169" i="16"/>
  <c r="H169" i="16"/>
  <c r="H169" i="19" s="1"/>
  <c r="I169" i="16"/>
  <c r="J169" i="16"/>
  <c r="K169" i="16"/>
  <c r="B170" i="16"/>
  <c r="L170" i="16" s="1"/>
  <c r="C170" i="16"/>
  <c r="C170" i="19" s="1"/>
  <c r="D170" i="16"/>
  <c r="E170" i="16"/>
  <c r="F170" i="16"/>
  <c r="G170" i="16"/>
  <c r="H170" i="16"/>
  <c r="I170" i="16"/>
  <c r="I170" i="19" s="1"/>
  <c r="J170" i="16"/>
  <c r="K170" i="16"/>
  <c r="B171" i="16"/>
  <c r="L171" i="16" s="1"/>
  <c r="C171" i="16"/>
  <c r="D171" i="16"/>
  <c r="E171" i="16"/>
  <c r="E171" i="19" s="1"/>
  <c r="F171" i="16"/>
  <c r="G171" i="16"/>
  <c r="H171" i="16"/>
  <c r="I171" i="16"/>
  <c r="J171" i="16"/>
  <c r="K171" i="16"/>
  <c r="K171" i="19" s="1"/>
  <c r="B172" i="16"/>
  <c r="L172" i="16" s="1"/>
  <c r="L172" i="19" s="1"/>
  <c r="C172" i="16"/>
  <c r="D172" i="16"/>
  <c r="E172" i="16"/>
  <c r="F172" i="16"/>
  <c r="G172" i="16"/>
  <c r="G172" i="19" s="1"/>
  <c r="H172" i="16"/>
  <c r="I172" i="16"/>
  <c r="J172" i="16"/>
  <c r="K172" i="16"/>
  <c r="B173" i="16"/>
  <c r="L173" i="16" s="1"/>
  <c r="L173" i="19" s="1"/>
  <c r="C173" i="16"/>
  <c r="D173" i="16"/>
  <c r="E173" i="16"/>
  <c r="F173" i="16"/>
  <c r="G173" i="16"/>
  <c r="H173" i="16"/>
  <c r="H173" i="19" s="1"/>
  <c r="I173" i="16"/>
  <c r="J173" i="16"/>
  <c r="K173" i="16"/>
  <c r="B174" i="16"/>
  <c r="L174" i="16" s="1"/>
  <c r="C174" i="16"/>
  <c r="D174" i="16"/>
  <c r="E174" i="16"/>
  <c r="F174" i="16"/>
  <c r="G174" i="16"/>
  <c r="H174" i="16"/>
  <c r="I174" i="16"/>
  <c r="I174" i="19" s="1"/>
  <c r="J174" i="16"/>
  <c r="K174" i="16"/>
  <c r="B175" i="16"/>
  <c r="L175" i="16" s="1"/>
  <c r="C175" i="16"/>
  <c r="D175" i="16"/>
  <c r="E175" i="16"/>
  <c r="F175" i="16"/>
  <c r="G175" i="16"/>
  <c r="H175" i="16"/>
  <c r="I175" i="16"/>
  <c r="J175" i="16"/>
  <c r="K175" i="16"/>
  <c r="K175" i="19" s="1"/>
  <c r="B176" i="16"/>
  <c r="L176" i="16" s="1"/>
  <c r="C176" i="16"/>
  <c r="D176" i="16"/>
  <c r="E176" i="16"/>
  <c r="F176" i="16"/>
  <c r="G176" i="16"/>
  <c r="H176" i="16"/>
  <c r="I176" i="16"/>
  <c r="J176" i="16"/>
  <c r="K176" i="16"/>
  <c r="B177" i="16"/>
  <c r="L177" i="16" s="1"/>
  <c r="C177" i="16"/>
  <c r="C177" i="19" s="1"/>
  <c r="D177" i="16"/>
  <c r="E177" i="16"/>
  <c r="F177" i="16"/>
  <c r="G177" i="16"/>
  <c r="H177" i="16"/>
  <c r="I177" i="16"/>
  <c r="J177" i="16"/>
  <c r="K177" i="16"/>
  <c r="B178" i="16"/>
  <c r="C178" i="16"/>
  <c r="D178" i="16"/>
  <c r="E178" i="16"/>
  <c r="E178" i="19" s="1"/>
  <c r="F178" i="16"/>
  <c r="G178" i="16"/>
  <c r="H178" i="16"/>
  <c r="I178" i="16"/>
  <c r="J178" i="16"/>
  <c r="K178" i="16"/>
  <c r="L178" i="16"/>
  <c r="B179" i="16"/>
  <c r="L179" i="16" s="1"/>
  <c r="C179" i="16"/>
  <c r="D179" i="16"/>
  <c r="E179" i="16"/>
  <c r="F179" i="16"/>
  <c r="F179" i="19" s="1"/>
  <c r="G179" i="16"/>
  <c r="H179" i="16"/>
  <c r="I179" i="16"/>
  <c r="J179" i="16"/>
  <c r="K179" i="16"/>
  <c r="B180" i="16"/>
  <c r="L180" i="16" s="1"/>
  <c r="C180" i="16"/>
  <c r="D180" i="16"/>
  <c r="E180" i="16"/>
  <c r="F180" i="16"/>
  <c r="G180" i="16"/>
  <c r="H180" i="16"/>
  <c r="H180" i="19" s="1"/>
  <c r="I180" i="16"/>
  <c r="J180" i="16"/>
  <c r="K180" i="16"/>
  <c r="B181" i="16"/>
  <c r="C181" i="16"/>
  <c r="D181" i="16"/>
  <c r="E181" i="16"/>
  <c r="F181" i="16"/>
  <c r="G181" i="16"/>
  <c r="H181" i="16"/>
  <c r="I181" i="16"/>
  <c r="J181" i="16"/>
  <c r="J181" i="19" s="1"/>
  <c r="K181" i="16"/>
  <c r="L181" i="16"/>
  <c r="B182" i="16"/>
  <c r="L182" i="16" s="1"/>
  <c r="C182" i="16"/>
  <c r="D182" i="16"/>
  <c r="E182" i="16"/>
  <c r="F182" i="16"/>
  <c r="G182" i="16"/>
  <c r="H182" i="16"/>
  <c r="I182" i="16"/>
  <c r="J182" i="16"/>
  <c r="K182" i="16"/>
  <c r="K182" i="19" s="1"/>
  <c r="B183" i="16"/>
  <c r="L183" i="16" s="1"/>
  <c r="C183" i="16"/>
  <c r="D183" i="16"/>
  <c r="E183" i="16"/>
  <c r="F183" i="16"/>
  <c r="G183" i="16"/>
  <c r="H183" i="16"/>
  <c r="I183" i="16"/>
  <c r="J183" i="16"/>
  <c r="K183" i="16"/>
  <c r="B184" i="16"/>
  <c r="L184" i="16" s="1"/>
  <c r="L184" i="19" s="1"/>
  <c r="C184" i="16"/>
  <c r="C184" i="19" s="1"/>
  <c r="D184" i="16"/>
  <c r="E184" i="16"/>
  <c r="F184" i="16"/>
  <c r="G184" i="16"/>
  <c r="H184" i="16"/>
  <c r="I184" i="16"/>
  <c r="J184" i="16"/>
  <c r="K184" i="16"/>
  <c r="B185" i="16"/>
  <c r="L185" i="16" s="1"/>
  <c r="L185" i="19" s="1"/>
  <c r="C185" i="16"/>
  <c r="D185" i="16"/>
  <c r="D185" i="19" s="1"/>
  <c r="E185" i="16"/>
  <c r="F185" i="16"/>
  <c r="G185" i="16"/>
  <c r="H185" i="16"/>
  <c r="I185" i="16"/>
  <c r="J185" i="16"/>
  <c r="K185" i="16"/>
  <c r="B186" i="16"/>
  <c r="L186" i="16" s="1"/>
  <c r="C186" i="16"/>
  <c r="D186" i="16"/>
  <c r="E186" i="16"/>
  <c r="E186" i="19" s="1"/>
  <c r="F186" i="16"/>
  <c r="G186" i="16"/>
  <c r="H186" i="16"/>
  <c r="I186" i="16"/>
  <c r="J186" i="16"/>
  <c r="K186" i="16"/>
  <c r="B187" i="16"/>
  <c r="L187" i="16" s="1"/>
  <c r="C187" i="16"/>
  <c r="D187" i="16"/>
  <c r="E187" i="16"/>
  <c r="F187" i="16"/>
  <c r="G187" i="16"/>
  <c r="G187" i="19" s="1"/>
  <c r="H187" i="16"/>
  <c r="I187" i="16"/>
  <c r="J187" i="16"/>
  <c r="K187" i="16"/>
  <c r="B188" i="16"/>
  <c r="L188" i="16" s="1"/>
  <c r="C188" i="16"/>
  <c r="C188" i="19" s="1"/>
  <c r="D188" i="16"/>
  <c r="E188" i="16"/>
  <c r="F188" i="16"/>
  <c r="G188" i="16"/>
  <c r="H188" i="16"/>
  <c r="I188" i="16"/>
  <c r="I188" i="19" s="1"/>
  <c r="J188" i="16"/>
  <c r="K188" i="16"/>
  <c r="B189" i="16"/>
  <c r="L189" i="16" s="1"/>
  <c r="C189" i="16"/>
  <c r="D189" i="16"/>
  <c r="E189" i="16"/>
  <c r="E189" i="19" s="1"/>
  <c r="F189" i="16"/>
  <c r="G189" i="16"/>
  <c r="H189" i="16"/>
  <c r="I189" i="16"/>
  <c r="J189" i="16"/>
  <c r="K189" i="16"/>
  <c r="K189" i="19" s="1"/>
  <c r="B190" i="16"/>
  <c r="C190" i="16"/>
  <c r="D190" i="16"/>
  <c r="E190" i="16"/>
  <c r="F190" i="16"/>
  <c r="G190" i="16"/>
  <c r="H190" i="16"/>
  <c r="I190" i="16"/>
  <c r="J190" i="16"/>
  <c r="K190" i="16"/>
  <c r="L190" i="16"/>
  <c r="B191" i="16"/>
  <c r="L191" i="16" s="1"/>
  <c r="L191" i="19" s="1"/>
  <c r="C191" i="16"/>
  <c r="D191" i="16"/>
  <c r="E191" i="16"/>
  <c r="F191" i="16"/>
  <c r="G191" i="16"/>
  <c r="H191" i="16"/>
  <c r="I191" i="16"/>
  <c r="J191" i="16"/>
  <c r="K191" i="16"/>
  <c r="B192" i="16"/>
  <c r="L192" i="16" s="1"/>
  <c r="C192" i="16"/>
  <c r="D192" i="16"/>
  <c r="E192" i="16"/>
  <c r="F192" i="16"/>
  <c r="G192" i="16"/>
  <c r="H192" i="16"/>
  <c r="I192" i="16"/>
  <c r="J192" i="16"/>
  <c r="K192" i="16"/>
  <c r="B193" i="16"/>
  <c r="C193" i="16"/>
  <c r="D193" i="16"/>
  <c r="E193" i="16"/>
  <c r="F193" i="16"/>
  <c r="F193" i="19" s="1"/>
  <c r="G193" i="16"/>
  <c r="H193" i="16"/>
  <c r="I193" i="16"/>
  <c r="J193" i="16"/>
  <c r="K193" i="16"/>
  <c r="L193" i="16"/>
  <c r="B194" i="16"/>
  <c r="L194" i="16" s="1"/>
  <c r="C194" i="16"/>
  <c r="D194" i="16"/>
  <c r="E194" i="16"/>
  <c r="F194" i="16"/>
  <c r="G194" i="16"/>
  <c r="G194" i="19" s="1"/>
  <c r="H194" i="16"/>
  <c r="I194" i="16"/>
  <c r="J194" i="16"/>
  <c r="K194" i="16"/>
  <c r="B195" i="16"/>
  <c r="L195" i="16" s="1"/>
  <c r="C195" i="16"/>
  <c r="D195" i="16"/>
  <c r="E195" i="16"/>
  <c r="F195" i="16"/>
  <c r="G195" i="16"/>
  <c r="H195" i="16"/>
  <c r="I195" i="16"/>
  <c r="I195" i="19" s="1"/>
  <c r="J195" i="16"/>
  <c r="K195" i="16"/>
  <c r="B196" i="16"/>
  <c r="C196" i="16"/>
  <c r="D196" i="16"/>
  <c r="E196" i="16"/>
  <c r="F196" i="16"/>
  <c r="G196" i="16"/>
  <c r="H196" i="16"/>
  <c r="I196" i="16"/>
  <c r="J196" i="16"/>
  <c r="K196" i="16"/>
  <c r="K196" i="19" s="1"/>
  <c r="L196" i="16"/>
  <c r="B197" i="16"/>
  <c r="C197" i="16"/>
  <c r="D197" i="16"/>
  <c r="E197" i="16"/>
  <c r="F197" i="16"/>
  <c r="G197" i="16"/>
  <c r="H197" i="16"/>
  <c r="I197" i="16"/>
  <c r="J197" i="16"/>
  <c r="K197" i="16"/>
  <c r="L197" i="16"/>
  <c r="L197" i="19" s="1"/>
  <c r="B198" i="16"/>
  <c r="L198" i="16" s="1"/>
  <c r="C198" i="16"/>
  <c r="D198" i="16"/>
  <c r="E198" i="16"/>
  <c r="F198" i="16"/>
  <c r="G198" i="16"/>
  <c r="H198" i="16"/>
  <c r="I198" i="16"/>
  <c r="J198" i="16"/>
  <c r="K198" i="16"/>
  <c r="B199" i="16"/>
  <c r="L199" i="16" s="1"/>
  <c r="L199" i="19" s="1"/>
  <c r="C199" i="16"/>
  <c r="C199" i="19" s="1"/>
  <c r="D199" i="16"/>
  <c r="E199" i="16"/>
  <c r="F199" i="16"/>
  <c r="G199" i="16"/>
  <c r="H199" i="16"/>
  <c r="I199" i="16"/>
  <c r="J199" i="16"/>
  <c r="K199" i="16"/>
  <c r="B200" i="16"/>
  <c r="L200" i="16" s="1"/>
  <c r="L200" i="19" s="1"/>
  <c r="C200" i="16"/>
  <c r="D200" i="16"/>
  <c r="E200" i="16"/>
  <c r="E200" i="19" s="1"/>
  <c r="F200" i="16"/>
  <c r="G200" i="16"/>
  <c r="H200" i="16"/>
  <c r="I200" i="16"/>
  <c r="J200" i="16"/>
  <c r="K200" i="16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O2" i="9"/>
  <c r="P2" i="9"/>
  <c r="Q2" i="9"/>
  <c r="R2" i="9"/>
  <c r="S2" i="9"/>
  <c r="T2" i="9"/>
  <c r="U2" i="9"/>
  <c r="V2" i="9"/>
  <c r="W2" i="9"/>
  <c r="X2" i="9"/>
  <c r="Y2" i="9"/>
  <c r="N2" i="9"/>
  <c r="B57" i="9"/>
  <c r="O57" i="9" s="1"/>
  <c r="C57" i="9"/>
  <c r="P57" i="9" s="1"/>
  <c r="E57" i="9"/>
  <c r="R57" i="9" s="1"/>
  <c r="F57" i="9"/>
  <c r="S57" i="9" s="1"/>
  <c r="G57" i="9"/>
  <c r="T57" i="9" s="1"/>
  <c r="H57" i="9"/>
  <c r="U57" i="9" s="1"/>
  <c r="I57" i="9"/>
  <c r="V57" i="9" s="1"/>
  <c r="J57" i="9"/>
  <c r="W57" i="9" s="1"/>
  <c r="K57" i="9"/>
  <c r="X57" i="9" s="1"/>
  <c r="B58" i="9"/>
  <c r="O58" i="9" s="1"/>
  <c r="C58" i="9"/>
  <c r="P58" i="9" s="1"/>
  <c r="E58" i="9"/>
  <c r="R58" i="9" s="1"/>
  <c r="F58" i="9"/>
  <c r="S58" i="9" s="1"/>
  <c r="G58" i="9"/>
  <c r="T58" i="9" s="1"/>
  <c r="H58" i="9"/>
  <c r="U58" i="9" s="1"/>
  <c r="I58" i="9"/>
  <c r="V58" i="9" s="1"/>
  <c r="J58" i="9"/>
  <c r="W58" i="9" s="1"/>
  <c r="K58" i="9"/>
  <c r="X58" i="9" s="1"/>
  <c r="B59" i="9"/>
  <c r="C59" i="9"/>
  <c r="P59" i="9" s="1"/>
  <c r="E59" i="9"/>
  <c r="R59" i="9" s="1"/>
  <c r="F59" i="9"/>
  <c r="S59" i="9" s="1"/>
  <c r="G59" i="9"/>
  <c r="T59" i="9" s="1"/>
  <c r="H59" i="9"/>
  <c r="U59" i="9" s="1"/>
  <c r="I59" i="9"/>
  <c r="V59" i="9" s="1"/>
  <c r="J59" i="9"/>
  <c r="W59" i="9" s="1"/>
  <c r="K59" i="9"/>
  <c r="X59" i="9" s="1"/>
  <c r="B60" i="9"/>
  <c r="C60" i="9"/>
  <c r="P60" i="19" s="1"/>
  <c r="E60" i="9"/>
  <c r="R60" i="9" s="1"/>
  <c r="F60" i="9"/>
  <c r="S60" i="9" s="1"/>
  <c r="G60" i="9"/>
  <c r="T60" i="9" s="1"/>
  <c r="H60" i="9"/>
  <c r="U60" i="9" s="1"/>
  <c r="I60" i="9"/>
  <c r="V60" i="9" s="1"/>
  <c r="J60" i="9"/>
  <c r="W60" i="9" s="1"/>
  <c r="K60" i="9"/>
  <c r="X60" i="9" s="1"/>
  <c r="B61" i="9"/>
  <c r="C61" i="9"/>
  <c r="P61" i="9" s="1"/>
  <c r="Q61" i="19"/>
  <c r="E61" i="9"/>
  <c r="R61" i="9" s="1"/>
  <c r="F61" i="9"/>
  <c r="S61" i="9" s="1"/>
  <c r="G61" i="9"/>
  <c r="T61" i="9" s="1"/>
  <c r="H61" i="9"/>
  <c r="U61" i="9" s="1"/>
  <c r="I61" i="9"/>
  <c r="V61" i="9" s="1"/>
  <c r="J61" i="9"/>
  <c r="W61" i="9" s="1"/>
  <c r="K61" i="9"/>
  <c r="X61" i="9" s="1"/>
  <c r="B62" i="9"/>
  <c r="C62" i="9"/>
  <c r="P62" i="9" s="1"/>
  <c r="E62" i="9"/>
  <c r="F62" i="9"/>
  <c r="S62" i="9" s="1"/>
  <c r="G62" i="9"/>
  <c r="T62" i="9" s="1"/>
  <c r="H62" i="9"/>
  <c r="U62" i="9" s="1"/>
  <c r="I62" i="9"/>
  <c r="V62" i="9" s="1"/>
  <c r="J62" i="9"/>
  <c r="W62" i="9" s="1"/>
  <c r="K62" i="9"/>
  <c r="X62" i="9" s="1"/>
  <c r="B63" i="9"/>
  <c r="C63" i="9"/>
  <c r="P63" i="9" s="1"/>
  <c r="E63" i="9"/>
  <c r="R63" i="9" s="1"/>
  <c r="F63" i="9"/>
  <c r="G63" i="9"/>
  <c r="T63" i="9" s="1"/>
  <c r="H63" i="9"/>
  <c r="U63" i="9" s="1"/>
  <c r="I63" i="9"/>
  <c r="V63" i="9" s="1"/>
  <c r="J63" i="9"/>
  <c r="W63" i="9" s="1"/>
  <c r="K63" i="9"/>
  <c r="X63" i="9" s="1"/>
  <c r="B64" i="9"/>
  <c r="C64" i="9"/>
  <c r="P64" i="9" s="1"/>
  <c r="E64" i="9"/>
  <c r="R64" i="9" s="1"/>
  <c r="F64" i="9"/>
  <c r="S64" i="9" s="1"/>
  <c r="G64" i="9"/>
  <c r="H64" i="9"/>
  <c r="U64" i="9" s="1"/>
  <c r="I64" i="9"/>
  <c r="V64" i="9" s="1"/>
  <c r="J64" i="9"/>
  <c r="W64" i="9" s="1"/>
  <c r="K64" i="9"/>
  <c r="X64" i="9" s="1"/>
  <c r="B65" i="9"/>
  <c r="C65" i="9"/>
  <c r="P65" i="9" s="1"/>
  <c r="E65" i="9"/>
  <c r="R65" i="9" s="1"/>
  <c r="F65" i="9"/>
  <c r="S65" i="9" s="1"/>
  <c r="G65" i="9"/>
  <c r="T65" i="9" s="1"/>
  <c r="H65" i="9"/>
  <c r="I65" i="9"/>
  <c r="V65" i="9" s="1"/>
  <c r="J65" i="9"/>
  <c r="W65" i="9" s="1"/>
  <c r="K65" i="9"/>
  <c r="X65" i="9" s="1"/>
  <c r="B66" i="9"/>
  <c r="C66" i="9"/>
  <c r="P66" i="9" s="1"/>
  <c r="E66" i="9"/>
  <c r="R66" i="9" s="1"/>
  <c r="F66" i="9"/>
  <c r="S66" i="9" s="1"/>
  <c r="G66" i="9"/>
  <c r="T66" i="9" s="1"/>
  <c r="H66" i="9"/>
  <c r="U66" i="9" s="1"/>
  <c r="I66" i="9"/>
  <c r="V66" i="19" s="1"/>
  <c r="J66" i="9"/>
  <c r="W66" i="9" s="1"/>
  <c r="K66" i="9"/>
  <c r="X66" i="9" s="1"/>
  <c r="B67" i="9"/>
  <c r="C67" i="9"/>
  <c r="P67" i="9" s="1"/>
  <c r="E67" i="9"/>
  <c r="R67" i="9" s="1"/>
  <c r="F67" i="9"/>
  <c r="S67" i="9" s="1"/>
  <c r="G67" i="9"/>
  <c r="T67" i="9" s="1"/>
  <c r="H67" i="9"/>
  <c r="U67" i="9" s="1"/>
  <c r="I67" i="9"/>
  <c r="V67" i="9" s="1"/>
  <c r="J67" i="9"/>
  <c r="K67" i="9"/>
  <c r="X67" i="9" s="1"/>
  <c r="B68" i="9"/>
  <c r="O68" i="9" s="1"/>
  <c r="C68" i="9"/>
  <c r="E68" i="9"/>
  <c r="R68" i="9" s="1"/>
  <c r="F68" i="9"/>
  <c r="S68" i="9" s="1"/>
  <c r="G68" i="9"/>
  <c r="T68" i="9" s="1"/>
  <c r="H68" i="9"/>
  <c r="U68" i="9" s="1"/>
  <c r="I68" i="9"/>
  <c r="V68" i="9" s="1"/>
  <c r="J68" i="9"/>
  <c r="W68" i="9" s="1"/>
  <c r="K68" i="9"/>
  <c r="B69" i="9"/>
  <c r="O69" i="9" s="1"/>
  <c r="C69" i="9"/>
  <c r="P69" i="9" s="1"/>
  <c r="E69" i="9"/>
  <c r="R69" i="9" s="1"/>
  <c r="F69" i="9"/>
  <c r="S69" i="9" s="1"/>
  <c r="G69" i="9"/>
  <c r="T69" i="9" s="1"/>
  <c r="H69" i="9"/>
  <c r="U69" i="9" s="1"/>
  <c r="I69" i="9"/>
  <c r="V69" i="9" s="1"/>
  <c r="J69" i="9"/>
  <c r="W69" i="9" s="1"/>
  <c r="K69" i="9"/>
  <c r="X69" i="9" s="1"/>
  <c r="B70" i="9"/>
  <c r="O70" i="9" s="1"/>
  <c r="C70" i="9"/>
  <c r="P70" i="9" s="1"/>
  <c r="E70" i="9"/>
  <c r="R70" i="9" s="1"/>
  <c r="F70" i="9"/>
  <c r="S70" i="9" s="1"/>
  <c r="G70" i="9"/>
  <c r="T70" i="9" s="1"/>
  <c r="H70" i="9"/>
  <c r="U70" i="9" s="1"/>
  <c r="I70" i="9"/>
  <c r="V70" i="9" s="1"/>
  <c r="J70" i="9"/>
  <c r="W70" i="9" s="1"/>
  <c r="K70" i="9"/>
  <c r="X70" i="9" s="1"/>
  <c r="B71" i="9"/>
  <c r="O71" i="19" s="1"/>
  <c r="C71" i="9"/>
  <c r="P71" i="9" s="1"/>
  <c r="E71" i="9"/>
  <c r="R71" i="9" s="1"/>
  <c r="F71" i="9"/>
  <c r="S71" i="9" s="1"/>
  <c r="G71" i="9"/>
  <c r="T71" i="9" s="1"/>
  <c r="H71" i="9"/>
  <c r="U71" i="9" s="1"/>
  <c r="I71" i="9"/>
  <c r="V71" i="9" s="1"/>
  <c r="J71" i="9"/>
  <c r="W71" i="9" s="1"/>
  <c r="K71" i="9"/>
  <c r="X71" i="9" s="1"/>
  <c r="B72" i="9"/>
  <c r="C72" i="9"/>
  <c r="P72" i="19" s="1"/>
  <c r="E72" i="9"/>
  <c r="R72" i="9" s="1"/>
  <c r="F72" i="9"/>
  <c r="S72" i="9" s="1"/>
  <c r="G72" i="9"/>
  <c r="T72" i="9" s="1"/>
  <c r="H72" i="9"/>
  <c r="U72" i="9" s="1"/>
  <c r="I72" i="9"/>
  <c r="V72" i="9" s="1"/>
  <c r="J72" i="9"/>
  <c r="W72" i="9" s="1"/>
  <c r="K72" i="9"/>
  <c r="X72" i="9" s="1"/>
  <c r="B73" i="9"/>
  <c r="C73" i="9"/>
  <c r="P73" i="9" s="1"/>
  <c r="Q73" i="19"/>
  <c r="E73" i="9"/>
  <c r="R73" i="9" s="1"/>
  <c r="F73" i="9"/>
  <c r="S73" i="9" s="1"/>
  <c r="G73" i="9"/>
  <c r="T73" i="9" s="1"/>
  <c r="H73" i="9"/>
  <c r="U73" i="9" s="1"/>
  <c r="I73" i="9"/>
  <c r="V73" i="9" s="1"/>
  <c r="J73" i="9"/>
  <c r="W73" i="9" s="1"/>
  <c r="K73" i="9"/>
  <c r="X73" i="9" s="1"/>
  <c r="B74" i="9"/>
  <c r="O74" i="9" s="1"/>
  <c r="C74" i="9"/>
  <c r="P74" i="9" s="1"/>
  <c r="E74" i="9"/>
  <c r="F74" i="9"/>
  <c r="S74" i="9" s="1"/>
  <c r="G74" i="9"/>
  <c r="T74" i="9" s="1"/>
  <c r="H74" i="9"/>
  <c r="U74" i="9" s="1"/>
  <c r="I74" i="9"/>
  <c r="V74" i="9" s="1"/>
  <c r="J74" i="9"/>
  <c r="W74" i="9" s="1"/>
  <c r="K74" i="9"/>
  <c r="X74" i="9" s="1"/>
  <c r="B75" i="9"/>
  <c r="C75" i="9"/>
  <c r="P75" i="9" s="1"/>
  <c r="E75" i="9"/>
  <c r="R75" i="9" s="1"/>
  <c r="F75" i="9"/>
  <c r="G75" i="9"/>
  <c r="T75" i="9" s="1"/>
  <c r="H75" i="9"/>
  <c r="U75" i="9" s="1"/>
  <c r="I75" i="9"/>
  <c r="V75" i="9" s="1"/>
  <c r="J75" i="9"/>
  <c r="W75" i="9" s="1"/>
  <c r="K75" i="9"/>
  <c r="X75" i="9" s="1"/>
  <c r="B76" i="9"/>
  <c r="C76" i="9"/>
  <c r="P76" i="9" s="1"/>
  <c r="E76" i="9"/>
  <c r="R76" i="9" s="1"/>
  <c r="F76" i="9"/>
  <c r="S76" i="9" s="1"/>
  <c r="G76" i="9"/>
  <c r="H76" i="9"/>
  <c r="U76" i="9" s="1"/>
  <c r="I76" i="9"/>
  <c r="V76" i="9" s="1"/>
  <c r="J76" i="9"/>
  <c r="W76" i="9" s="1"/>
  <c r="K76" i="9"/>
  <c r="X76" i="9" s="1"/>
  <c r="B77" i="9"/>
  <c r="L77" i="9" s="1"/>
  <c r="C77" i="9"/>
  <c r="P77" i="9" s="1"/>
  <c r="E77" i="9"/>
  <c r="R77" i="9" s="1"/>
  <c r="F77" i="9"/>
  <c r="S77" i="9" s="1"/>
  <c r="G77" i="9"/>
  <c r="T77" i="9" s="1"/>
  <c r="H77" i="9"/>
  <c r="U77" i="19" s="1"/>
  <c r="I77" i="9"/>
  <c r="V77" i="9" s="1"/>
  <c r="J77" i="9"/>
  <c r="W77" i="9" s="1"/>
  <c r="K77" i="9"/>
  <c r="X77" i="9" s="1"/>
  <c r="B78" i="9"/>
  <c r="C78" i="9"/>
  <c r="P78" i="9" s="1"/>
  <c r="E78" i="9"/>
  <c r="R78" i="9" s="1"/>
  <c r="F78" i="9"/>
  <c r="S78" i="9" s="1"/>
  <c r="G78" i="9"/>
  <c r="T78" i="9" s="1"/>
  <c r="H78" i="9"/>
  <c r="U78" i="9" s="1"/>
  <c r="I78" i="9"/>
  <c r="V78" i="19" s="1"/>
  <c r="J78" i="9"/>
  <c r="W78" i="9" s="1"/>
  <c r="K78" i="9"/>
  <c r="X78" i="9" s="1"/>
  <c r="B79" i="9"/>
  <c r="E79" i="9"/>
  <c r="R79" i="9" s="1"/>
  <c r="F79" i="9"/>
  <c r="S79" i="9" s="1"/>
  <c r="G79" i="9"/>
  <c r="T79" i="9" s="1"/>
  <c r="H79" i="9"/>
  <c r="U79" i="9" s="1"/>
  <c r="I79" i="9"/>
  <c r="V79" i="9" s="1"/>
  <c r="J79" i="9"/>
  <c r="K79" i="9"/>
  <c r="X79" i="9" s="1"/>
  <c r="F80" i="9"/>
  <c r="S80" i="9" s="1"/>
  <c r="G80" i="9"/>
  <c r="T80" i="9" s="1"/>
  <c r="H80" i="9"/>
  <c r="U80" i="9" s="1"/>
  <c r="I80" i="9"/>
  <c r="V80" i="9" s="1"/>
  <c r="J80" i="9"/>
  <c r="W80" i="9" s="1"/>
  <c r="K80" i="9"/>
  <c r="F81" i="9"/>
  <c r="S81" i="9" s="1"/>
  <c r="G81" i="9"/>
  <c r="T81" i="9" s="1"/>
  <c r="H81" i="9"/>
  <c r="U81" i="9" s="1"/>
  <c r="I81" i="9"/>
  <c r="L81" i="9" s="1"/>
  <c r="J81" i="9"/>
  <c r="W81" i="9" s="1"/>
  <c r="K81" i="9"/>
  <c r="X81" i="9" s="1"/>
  <c r="F82" i="9"/>
  <c r="S82" i="9" s="1"/>
  <c r="G82" i="9"/>
  <c r="L82" i="9" s="1"/>
  <c r="H82" i="9"/>
  <c r="U82" i="9" s="1"/>
  <c r="I82" i="9"/>
  <c r="V82" i="9" s="1"/>
  <c r="J82" i="9"/>
  <c r="W82" i="9" s="1"/>
  <c r="K82" i="9"/>
  <c r="X82" i="9" s="1"/>
  <c r="O83" i="19"/>
  <c r="F83" i="9"/>
  <c r="S83" i="9" s="1"/>
  <c r="G83" i="9"/>
  <c r="T83" i="9" s="1"/>
  <c r="H83" i="9"/>
  <c r="U83" i="9" s="1"/>
  <c r="I83" i="9"/>
  <c r="V83" i="9" s="1"/>
  <c r="J83" i="9"/>
  <c r="W83" i="9" s="1"/>
  <c r="K83" i="9"/>
  <c r="X83" i="9" s="1"/>
  <c r="P84" i="19"/>
  <c r="F84" i="9"/>
  <c r="S84" i="9" s="1"/>
  <c r="G84" i="9"/>
  <c r="T84" i="9" s="1"/>
  <c r="H84" i="9"/>
  <c r="L84" i="9" s="1"/>
  <c r="I84" i="9"/>
  <c r="V84" i="9" s="1"/>
  <c r="J84" i="9"/>
  <c r="W84" i="9" s="1"/>
  <c r="K84" i="9"/>
  <c r="X84" i="9" s="1"/>
  <c r="Q85" i="19"/>
  <c r="F85" i="9"/>
  <c r="L85" i="9" s="1"/>
  <c r="Y85" i="9" s="1"/>
  <c r="G85" i="9"/>
  <c r="T85" i="9" s="1"/>
  <c r="H85" i="9"/>
  <c r="U85" i="9" s="1"/>
  <c r="I85" i="9"/>
  <c r="V85" i="9" s="1"/>
  <c r="J85" i="9"/>
  <c r="W85" i="9" s="1"/>
  <c r="K85" i="9"/>
  <c r="X85" i="9" s="1"/>
  <c r="R86" i="19"/>
  <c r="F86" i="9"/>
  <c r="L86" i="9" s="1"/>
  <c r="G86" i="9"/>
  <c r="T86" i="9" s="1"/>
  <c r="H86" i="9"/>
  <c r="U86" i="9" s="1"/>
  <c r="I86" i="9"/>
  <c r="V86" i="9" s="1"/>
  <c r="J86" i="9"/>
  <c r="W86" i="9" s="1"/>
  <c r="K86" i="9"/>
  <c r="X86" i="9" s="1"/>
  <c r="L87" i="9"/>
  <c r="F87" i="9"/>
  <c r="S87" i="19" s="1"/>
  <c r="G87" i="9"/>
  <c r="T87" i="9" s="1"/>
  <c r="H87" i="9"/>
  <c r="U87" i="9" s="1"/>
  <c r="I87" i="9"/>
  <c r="V87" i="9" s="1"/>
  <c r="J87" i="9"/>
  <c r="W87" i="9" s="1"/>
  <c r="K87" i="9"/>
  <c r="X87" i="9" s="1"/>
  <c r="F88" i="9"/>
  <c r="L88" i="9" s="1"/>
  <c r="G88" i="9"/>
  <c r="T88" i="19" s="1"/>
  <c r="H88" i="9"/>
  <c r="U88" i="9" s="1"/>
  <c r="I88" i="9"/>
  <c r="V88" i="9" s="1"/>
  <c r="J88" i="9"/>
  <c r="W88" i="9" s="1"/>
  <c r="K88" i="9"/>
  <c r="X88" i="9" s="1"/>
  <c r="G89" i="9"/>
  <c r="L89" i="9" s="1"/>
  <c r="H89" i="9"/>
  <c r="U89" i="19" s="1"/>
  <c r="I89" i="9"/>
  <c r="V89" i="9" s="1"/>
  <c r="J89" i="9"/>
  <c r="W89" i="9" s="1"/>
  <c r="K89" i="9"/>
  <c r="X89" i="9" s="1"/>
  <c r="G90" i="9"/>
  <c r="T90" i="9" s="1"/>
  <c r="H90" i="9"/>
  <c r="U90" i="9" s="1"/>
  <c r="I90" i="9"/>
  <c r="V90" i="19" s="1"/>
  <c r="J90" i="9"/>
  <c r="W90" i="9" s="1"/>
  <c r="K90" i="9"/>
  <c r="X90" i="9" s="1"/>
  <c r="G91" i="9"/>
  <c r="L91" i="9" s="1"/>
  <c r="H91" i="9"/>
  <c r="U91" i="9" s="1"/>
  <c r="I91" i="9"/>
  <c r="V91" i="9" s="1"/>
  <c r="J91" i="9"/>
  <c r="W91" i="9" s="1"/>
  <c r="K91" i="9"/>
  <c r="X91" i="9" s="1"/>
  <c r="G92" i="9"/>
  <c r="T92" i="9" s="1"/>
  <c r="H92" i="9"/>
  <c r="U92" i="9" s="1"/>
  <c r="I92" i="9"/>
  <c r="V92" i="9" s="1"/>
  <c r="J92" i="9"/>
  <c r="W92" i="9" s="1"/>
  <c r="K92" i="9"/>
  <c r="X92" i="9" s="1"/>
  <c r="G93" i="9"/>
  <c r="T93" i="9" s="1"/>
  <c r="I93" i="9"/>
  <c r="V93" i="9" s="1"/>
  <c r="J93" i="9"/>
  <c r="W93" i="9" s="1"/>
  <c r="K93" i="9"/>
  <c r="L93" i="9" s="1"/>
  <c r="G94" i="9"/>
  <c r="T94" i="9" s="1"/>
  <c r="I94" i="9"/>
  <c r="V94" i="9" s="1"/>
  <c r="J94" i="9"/>
  <c r="W94" i="9" s="1"/>
  <c r="K94" i="9"/>
  <c r="X94" i="9" s="1"/>
  <c r="L94" i="9"/>
  <c r="Y94" i="9" s="1"/>
  <c r="L95" i="9"/>
  <c r="G95" i="9"/>
  <c r="T95" i="9" s="1"/>
  <c r="I95" i="9"/>
  <c r="V95" i="9" s="1"/>
  <c r="J95" i="9"/>
  <c r="W95" i="9" s="1"/>
  <c r="K95" i="9"/>
  <c r="X95" i="9" s="1"/>
  <c r="G96" i="9"/>
  <c r="T96" i="9" s="1"/>
  <c r="I96" i="9"/>
  <c r="V96" i="9" s="1"/>
  <c r="J96" i="9"/>
  <c r="W96" i="9" s="1"/>
  <c r="K96" i="9"/>
  <c r="X96" i="9" s="1"/>
  <c r="Q97" i="19"/>
  <c r="G97" i="9"/>
  <c r="T97" i="19" s="1"/>
  <c r="I97" i="9"/>
  <c r="V97" i="9" s="1"/>
  <c r="J97" i="9"/>
  <c r="W97" i="9" s="1"/>
  <c r="K97" i="9"/>
  <c r="X97" i="9" s="1"/>
  <c r="R98" i="19"/>
  <c r="G98" i="9"/>
  <c r="L98" i="9" s="1"/>
  <c r="I98" i="9"/>
  <c r="V98" i="9" s="1"/>
  <c r="J98" i="9"/>
  <c r="W98" i="9" s="1"/>
  <c r="K98" i="9"/>
  <c r="X98" i="9" s="1"/>
  <c r="S99" i="19"/>
  <c r="G99" i="9"/>
  <c r="T99" i="9" s="1"/>
  <c r="I99" i="9"/>
  <c r="V99" i="9" s="1"/>
  <c r="J99" i="9"/>
  <c r="W99" i="9" s="1"/>
  <c r="K99" i="9"/>
  <c r="X99" i="9" s="1"/>
  <c r="G100" i="9"/>
  <c r="T100" i="19" s="1"/>
  <c r="I100" i="9"/>
  <c r="V100" i="9" s="1"/>
  <c r="J100" i="9"/>
  <c r="W100" i="9" s="1"/>
  <c r="G101" i="9"/>
  <c r="L101" i="9" s="1"/>
  <c r="U101" i="19"/>
  <c r="I101" i="9"/>
  <c r="V101" i="9" s="1"/>
  <c r="J101" i="9"/>
  <c r="W101" i="9" s="1"/>
  <c r="G102" i="9"/>
  <c r="L102" i="9" s="1"/>
  <c r="I102" i="9"/>
  <c r="V102" i="19" s="1"/>
  <c r="J102" i="9"/>
  <c r="W102" i="9" s="1"/>
  <c r="L103" i="9"/>
  <c r="G103" i="9"/>
  <c r="T103" i="9" s="1"/>
  <c r="I103" i="9"/>
  <c r="V103" i="9" s="1"/>
  <c r="J103" i="9"/>
  <c r="W103" i="19" s="1"/>
  <c r="G104" i="9"/>
  <c r="T104" i="9" s="1"/>
  <c r="I104" i="9"/>
  <c r="V104" i="19" s="1"/>
  <c r="J104" i="9"/>
  <c r="W104" i="9" s="1"/>
  <c r="X104" i="19"/>
  <c r="G105" i="9"/>
  <c r="T105" i="9" s="1"/>
  <c r="I105" i="9"/>
  <c r="V105" i="9" s="1"/>
  <c r="J105" i="9"/>
  <c r="W105" i="9" s="1"/>
  <c r="L105" i="9"/>
  <c r="Y105" i="19" s="1"/>
  <c r="G106" i="9"/>
  <c r="T106" i="9" s="1"/>
  <c r="I106" i="9"/>
  <c r="V106" i="9" s="1"/>
  <c r="J106" i="9"/>
  <c r="W106" i="9" s="1"/>
  <c r="L106" i="9"/>
  <c r="Y106" i="9" s="1"/>
  <c r="G107" i="9"/>
  <c r="T107" i="19" s="1"/>
  <c r="I107" i="9"/>
  <c r="V107" i="9" s="1"/>
  <c r="J107" i="9"/>
  <c r="W107" i="9" s="1"/>
  <c r="P108" i="19"/>
  <c r="G108" i="9"/>
  <c r="T108" i="9" s="1"/>
  <c r="I108" i="9"/>
  <c r="V108" i="9" s="1"/>
  <c r="J108" i="9"/>
  <c r="L108" i="9" s="1"/>
  <c r="Y108" i="9" s="1"/>
  <c r="Q109" i="19"/>
  <c r="G109" i="9"/>
  <c r="T109" i="9" s="1"/>
  <c r="I109" i="9"/>
  <c r="V109" i="9" s="1"/>
  <c r="J109" i="9"/>
  <c r="W109" i="9" s="1"/>
  <c r="L109" i="9"/>
  <c r="Y109" i="9" s="1"/>
  <c r="L110" i="9"/>
  <c r="R110" i="19"/>
  <c r="G110" i="9"/>
  <c r="T110" i="9" s="1"/>
  <c r="I110" i="9"/>
  <c r="V110" i="9" s="1"/>
  <c r="J110" i="9"/>
  <c r="W110" i="9" s="1"/>
  <c r="L111" i="9"/>
  <c r="S111" i="19"/>
  <c r="G111" i="9"/>
  <c r="T111" i="9" s="1"/>
  <c r="I111" i="9"/>
  <c r="V111" i="9" s="1"/>
  <c r="J111" i="9"/>
  <c r="W111" i="9" s="1"/>
  <c r="G112" i="9"/>
  <c r="T112" i="19" s="1"/>
  <c r="I112" i="9"/>
  <c r="V112" i="9" s="1"/>
  <c r="J112" i="9"/>
  <c r="W112" i="9" s="1"/>
  <c r="G113" i="9"/>
  <c r="T113" i="9" s="1"/>
  <c r="U113" i="19"/>
  <c r="I113" i="9"/>
  <c r="V113" i="9" s="1"/>
  <c r="J113" i="9"/>
  <c r="W113" i="9" s="1"/>
  <c r="G114" i="9"/>
  <c r="T114" i="9" s="1"/>
  <c r="I114" i="9"/>
  <c r="V114" i="19" s="1"/>
  <c r="J114" i="9"/>
  <c r="W114" i="9" s="1"/>
  <c r="G115" i="9"/>
  <c r="L115" i="9" s="1"/>
  <c r="I115" i="9"/>
  <c r="V115" i="9" s="1"/>
  <c r="J115" i="9"/>
  <c r="W115" i="19" s="1"/>
  <c r="G116" i="9"/>
  <c r="L116" i="9" s="1"/>
  <c r="I116" i="9"/>
  <c r="V116" i="9" s="1"/>
  <c r="J116" i="9"/>
  <c r="W116" i="9" s="1"/>
  <c r="X116" i="19"/>
  <c r="G117" i="9"/>
  <c r="T117" i="9" s="1"/>
  <c r="I117" i="9"/>
  <c r="V117" i="9" s="1"/>
  <c r="J117" i="9"/>
  <c r="W117" i="9" s="1"/>
  <c r="L117" i="9"/>
  <c r="Y117" i="19" s="1"/>
  <c r="G118" i="9"/>
  <c r="T118" i="9" s="1"/>
  <c r="I118" i="9"/>
  <c r="V118" i="9" s="1"/>
  <c r="J118" i="9"/>
  <c r="W118" i="9" s="1"/>
  <c r="O119" i="19"/>
  <c r="G119" i="9"/>
  <c r="T119" i="9" s="1"/>
  <c r="J119" i="9"/>
  <c r="W119" i="9" s="1"/>
  <c r="P120" i="19"/>
  <c r="G120" i="9"/>
  <c r="T120" i="9" s="1"/>
  <c r="J120" i="9"/>
  <c r="W120" i="9" s="1"/>
  <c r="L121" i="9"/>
  <c r="Q121" i="19"/>
  <c r="G121" i="9"/>
  <c r="T121" i="9" s="1"/>
  <c r="J121" i="9"/>
  <c r="W121" i="9" s="1"/>
  <c r="R122" i="19"/>
  <c r="G122" i="9"/>
  <c r="L122" i="9" s="1"/>
  <c r="J122" i="9"/>
  <c r="W122" i="9" s="1"/>
  <c r="S123" i="19"/>
  <c r="G123" i="9"/>
  <c r="T123" i="9" s="1"/>
  <c r="J123" i="9"/>
  <c r="W123" i="9" s="1"/>
  <c r="L124" i="9"/>
  <c r="G124" i="9"/>
  <c r="T124" i="19" s="1"/>
  <c r="J124" i="9"/>
  <c r="W124" i="9" s="1"/>
  <c r="G125" i="9"/>
  <c r="T125" i="9" s="1"/>
  <c r="U125" i="19"/>
  <c r="J125" i="9"/>
  <c r="W125" i="9" s="1"/>
  <c r="L125" i="9"/>
  <c r="G126" i="9"/>
  <c r="T126" i="9" s="1"/>
  <c r="V126" i="19"/>
  <c r="J126" i="9"/>
  <c r="W126" i="9" s="1"/>
  <c r="L126" i="9"/>
  <c r="J127" i="9"/>
  <c r="W127" i="19" s="1"/>
  <c r="L128" i="9"/>
  <c r="J128" i="9"/>
  <c r="W128" i="9" s="1"/>
  <c r="X128" i="19"/>
  <c r="J129" i="9"/>
  <c r="L129" i="9" s="1"/>
  <c r="J130" i="9"/>
  <c r="W130" i="9" s="1"/>
  <c r="O131" i="19"/>
  <c r="J131" i="9"/>
  <c r="W131" i="9" s="1"/>
  <c r="P132" i="19"/>
  <c r="J132" i="9"/>
  <c r="W132" i="9" s="1"/>
  <c r="L132" i="9"/>
  <c r="Q133" i="19"/>
  <c r="J133" i="9"/>
  <c r="W133" i="9" s="1"/>
  <c r="L133" i="9"/>
  <c r="L134" i="9"/>
  <c r="R134" i="19"/>
  <c r="J134" i="9"/>
  <c r="W134" i="9" s="1"/>
  <c r="S135" i="19"/>
  <c r="J135" i="9"/>
  <c r="L135" i="9" s="1"/>
  <c r="T136" i="19"/>
  <c r="J136" i="9"/>
  <c r="W136" i="9" s="1"/>
  <c r="U137" i="19"/>
  <c r="J137" i="9"/>
  <c r="W137" i="9" s="1"/>
  <c r="L137" i="9"/>
  <c r="V138" i="19"/>
  <c r="J138" i="9"/>
  <c r="W138" i="9" s="1"/>
  <c r="L138" i="9"/>
  <c r="Y138" i="9" s="1"/>
  <c r="J139" i="9"/>
  <c r="W139" i="19" s="1"/>
  <c r="J140" i="9"/>
  <c r="L140" i="9" s="1"/>
  <c r="X140" i="19"/>
  <c r="J141" i="9"/>
  <c r="W141" i="9" s="1"/>
  <c r="J142" i="9"/>
  <c r="W142" i="9" s="1"/>
  <c r="L142" i="9"/>
  <c r="O143" i="19"/>
  <c r="J143" i="9"/>
  <c r="W143" i="9" s="1"/>
  <c r="P144" i="19"/>
  <c r="J144" i="9"/>
  <c r="L144" i="9" s="1"/>
  <c r="Q145" i="19"/>
  <c r="J145" i="9"/>
  <c r="L145" i="9" s="1"/>
  <c r="L146" i="9"/>
  <c r="R146" i="19"/>
  <c r="J146" i="9"/>
  <c r="W146" i="9" s="1"/>
  <c r="L147" i="9"/>
  <c r="S147" i="19"/>
  <c r="J147" i="9"/>
  <c r="W147" i="9" s="1"/>
  <c r="L148" i="9"/>
  <c r="T148" i="19"/>
  <c r="J148" i="9"/>
  <c r="W148" i="9" s="1"/>
  <c r="U149" i="19"/>
  <c r="J149" i="9"/>
  <c r="W149" i="9" s="1"/>
  <c r="V150" i="19"/>
  <c r="J150" i="9"/>
  <c r="W150" i="9" s="1"/>
  <c r="J151" i="9"/>
  <c r="W151" i="19" s="1"/>
  <c r="L151" i="9"/>
  <c r="J152" i="9"/>
  <c r="L152" i="9" s="1"/>
  <c r="X152" i="19"/>
  <c r="J153" i="9"/>
  <c r="W153" i="9" s="1"/>
  <c r="L153" i="9"/>
  <c r="Y153" i="19" s="1"/>
  <c r="J154" i="9"/>
  <c r="W154" i="9" s="1"/>
  <c r="O155" i="19"/>
  <c r="J155" i="9"/>
  <c r="W155" i="9" s="1"/>
  <c r="P156" i="19"/>
  <c r="J156" i="9"/>
  <c r="W156" i="9" s="1"/>
  <c r="L156" i="9"/>
  <c r="Q157" i="19"/>
  <c r="J157" i="9"/>
  <c r="L157" i="9" s="1"/>
  <c r="R158" i="19"/>
  <c r="J158" i="9"/>
  <c r="L158" i="9" s="1"/>
  <c r="S159" i="19"/>
  <c r="J159" i="9"/>
  <c r="W159" i="9" s="1"/>
  <c r="T160" i="19"/>
  <c r="J160" i="9"/>
  <c r="W160" i="9" s="1"/>
  <c r="U161" i="19"/>
  <c r="J161" i="9"/>
  <c r="W161" i="9" s="1"/>
  <c r="V162" i="19"/>
  <c r="J162" i="9"/>
  <c r="W162" i="9" s="1"/>
  <c r="L162" i="9"/>
  <c r="J163" i="9"/>
  <c r="W163" i="19" s="1"/>
  <c r="L163" i="9"/>
  <c r="L164" i="9"/>
  <c r="J164" i="9"/>
  <c r="W164" i="9" s="1"/>
  <c r="X164" i="19"/>
  <c r="J165" i="9"/>
  <c r="L165" i="9" s="1"/>
  <c r="J166" i="9"/>
  <c r="W166" i="9" s="1"/>
  <c r="O167" i="19"/>
  <c r="J167" i="9"/>
  <c r="W167" i="9" s="1"/>
  <c r="P168" i="19"/>
  <c r="J168" i="9"/>
  <c r="W168" i="9" s="1"/>
  <c r="L168" i="9"/>
  <c r="Q169" i="19"/>
  <c r="J169" i="9"/>
  <c r="W169" i="9" s="1"/>
  <c r="L169" i="9"/>
  <c r="L170" i="9"/>
  <c r="R170" i="19"/>
  <c r="J170" i="9"/>
  <c r="W170" i="9" s="1"/>
  <c r="L171" i="9"/>
  <c r="S171" i="19"/>
  <c r="J171" i="9"/>
  <c r="W171" i="9" s="1"/>
  <c r="T172" i="19"/>
  <c r="J172" i="9"/>
  <c r="U173" i="19"/>
  <c r="J173" i="9"/>
  <c r="W173" i="9" s="1"/>
  <c r="L173" i="9"/>
  <c r="V174" i="19"/>
  <c r="J174" i="9"/>
  <c r="W174" i="9" s="1"/>
  <c r="L174" i="9"/>
  <c r="J175" i="9"/>
  <c r="W175" i="19" s="1"/>
  <c r="J176" i="9"/>
  <c r="L176" i="9" s="1"/>
  <c r="X176" i="19"/>
  <c r="J177" i="9"/>
  <c r="J178" i="9"/>
  <c r="W178" i="9" s="1"/>
  <c r="L178" i="9"/>
  <c r="Y178" i="9" s="1"/>
  <c r="O179" i="19"/>
  <c r="J179" i="9"/>
  <c r="W179" i="9" s="1"/>
  <c r="P180" i="19"/>
  <c r="J180" i="9"/>
  <c r="L180" i="9" s="1"/>
  <c r="Y180" i="9" s="1"/>
  <c r="Q181" i="19"/>
  <c r="J181" i="9"/>
  <c r="L181" i="9" s="1"/>
  <c r="L182" i="9"/>
  <c r="R182" i="19"/>
  <c r="J182" i="9"/>
  <c r="W182" i="9" s="1"/>
  <c r="L183" i="9"/>
  <c r="S183" i="19"/>
  <c r="J183" i="9"/>
  <c r="W183" i="9" s="1"/>
  <c r="L184" i="9"/>
  <c r="T184" i="19"/>
  <c r="J184" i="9"/>
  <c r="W184" i="9" s="1"/>
  <c r="U185" i="19"/>
  <c r="J185" i="9"/>
  <c r="W185" i="9" s="1"/>
  <c r="V186" i="19"/>
  <c r="J186" i="9"/>
  <c r="W186" i="9" s="1"/>
  <c r="J187" i="9"/>
  <c r="W187" i="19" s="1"/>
  <c r="J188" i="9"/>
  <c r="L188" i="9" s="1"/>
  <c r="X188" i="19"/>
  <c r="J189" i="9"/>
  <c r="W189" i="9" s="1"/>
  <c r="L189" i="9"/>
  <c r="Y189" i="19" s="1"/>
  <c r="J190" i="9"/>
  <c r="W190" i="9" s="1"/>
  <c r="O191" i="19"/>
  <c r="J191" i="9"/>
  <c r="W191" i="9" s="1"/>
  <c r="P192" i="19"/>
  <c r="J192" i="9"/>
  <c r="W192" i="9" s="1"/>
  <c r="L192" i="9"/>
  <c r="Q193" i="19"/>
  <c r="J193" i="9"/>
  <c r="L193" i="9" s="1"/>
  <c r="R194" i="19"/>
  <c r="J194" i="9"/>
  <c r="L194" i="9" s="1"/>
  <c r="S195" i="19"/>
  <c r="J195" i="9"/>
  <c r="W195" i="9" s="1"/>
  <c r="T196" i="19"/>
  <c r="J196" i="9"/>
  <c r="W196" i="9" s="1"/>
  <c r="U197" i="19"/>
  <c r="J197" i="9"/>
  <c r="W197" i="9" s="1"/>
  <c r="V198" i="19"/>
  <c r="J198" i="9"/>
  <c r="W198" i="9" s="1"/>
  <c r="L198" i="9"/>
  <c r="J199" i="9"/>
  <c r="L200" i="9"/>
  <c r="J200" i="9"/>
  <c r="W200" i="9" s="1"/>
  <c r="X200" i="19"/>
  <c r="O67" i="19"/>
  <c r="O68" i="19"/>
  <c r="O73" i="19"/>
  <c r="O74" i="19"/>
  <c r="O79" i="19"/>
  <c r="O85" i="19"/>
  <c r="O86" i="19"/>
  <c r="O91" i="19"/>
  <c r="O97" i="19"/>
  <c r="O98" i="19"/>
  <c r="O109" i="19"/>
  <c r="O110" i="19"/>
  <c r="O121" i="19"/>
  <c r="O122" i="19"/>
  <c r="O133" i="19"/>
  <c r="O134" i="19"/>
  <c r="O145" i="19"/>
  <c r="O146" i="19"/>
  <c r="O158" i="19"/>
  <c r="O170" i="19"/>
  <c r="O182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O57" i="19"/>
  <c r="P57" i="19"/>
  <c r="Q57" i="19"/>
  <c r="R57" i="19"/>
  <c r="S57" i="19"/>
  <c r="T57" i="19"/>
  <c r="U57" i="19"/>
  <c r="V57" i="19"/>
  <c r="W57" i="19"/>
  <c r="X57" i="19"/>
  <c r="N58" i="19"/>
  <c r="O58" i="19"/>
  <c r="P58" i="19"/>
  <c r="Q58" i="19"/>
  <c r="R58" i="19"/>
  <c r="S58" i="19"/>
  <c r="T58" i="19"/>
  <c r="U58" i="19"/>
  <c r="V58" i="19"/>
  <c r="W58" i="19"/>
  <c r="X58" i="19"/>
  <c r="N59" i="19"/>
  <c r="P59" i="19"/>
  <c r="Q59" i="19"/>
  <c r="R59" i="19"/>
  <c r="S59" i="19"/>
  <c r="T59" i="19"/>
  <c r="U59" i="19"/>
  <c r="V59" i="19"/>
  <c r="W59" i="19"/>
  <c r="X59" i="19"/>
  <c r="N60" i="19"/>
  <c r="O60" i="19"/>
  <c r="Q60" i="19"/>
  <c r="R60" i="19"/>
  <c r="S60" i="19"/>
  <c r="T60" i="19"/>
  <c r="U60" i="19"/>
  <c r="V60" i="19"/>
  <c r="W60" i="19"/>
  <c r="X60" i="19"/>
  <c r="N61" i="19"/>
  <c r="O61" i="19"/>
  <c r="P61" i="19"/>
  <c r="R61" i="19"/>
  <c r="S61" i="19"/>
  <c r="T61" i="19"/>
  <c r="U61" i="19"/>
  <c r="V61" i="19"/>
  <c r="W61" i="19"/>
  <c r="X61" i="19"/>
  <c r="N62" i="19"/>
  <c r="O62" i="19"/>
  <c r="P62" i="19"/>
  <c r="Q62" i="19"/>
  <c r="S62" i="19"/>
  <c r="T62" i="19"/>
  <c r="U62" i="19"/>
  <c r="V62" i="19"/>
  <c r="W62" i="19"/>
  <c r="X62" i="19"/>
  <c r="N63" i="19"/>
  <c r="O63" i="19"/>
  <c r="P63" i="19"/>
  <c r="Q63" i="19"/>
  <c r="R63" i="19"/>
  <c r="T63" i="19"/>
  <c r="U63" i="19"/>
  <c r="V63" i="19"/>
  <c r="W63" i="19"/>
  <c r="X63" i="19"/>
  <c r="N64" i="19"/>
  <c r="O64" i="19"/>
  <c r="P64" i="19"/>
  <c r="Q64" i="19"/>
  <c r="R64" i="19"/>
  <c r="S64" i="19"/>
  <c r="U64" i="19"/>
  <c r="V64" i="19"/>
  <c r="W64" i="19"/>
  <c r="X64" i="19"/>
  <c r="N65" i="19"/>
  <c r="O65" i="19"/>
  <c r="P65" i="19"/>
  <c r="Q65" i="19"/>
  <c r="R65" i="19"/>
  <c r="S65" i="19"/>
  <c r="T65" i="19"/>
  <c r="V65" i="19"/>
  <c r="W65" i="19"/>
  <c r="X65" i="19"/>
  <c r="N66" i="19"/>
  <c r="O66" i="19"/>
  <c r="P66" i="19"/>
  <c r="Q66" i="19"/>
  <c r="R66" i="19"/>
  <c r="S66" i="19"/>
  <c r="T66" i="19"/>
  <c r="U66" i="19"/>
  <c r="W66" i="19"/>
  <c r="X66" i="19"/>
  <c r="N67" i="19"/>
  <c r="P67" i="19"/>
  <c r="Q67" i="19"/>
  <c r="R67" i="19"/>
  <c r="S67" i="19"/>
  <c r="T67" i="19"/>
  <c r="U67" i="19"/>
  <c r="V67" i="19"/>
  <c r="X67" i="19"/>
  <c r="N68" i="19"/>
  <c r="P68" i="19"/>
  <c r="Q68" i="19"/>
  <c r="R68" i="19"/>
  <c r="S68" i="19"/>
  <c r="T68" i="19"/>
  <c r="U68" i="19"/>
  <c r="V68" i="19"/>
  <c r="W68" i="19"/>
  <c r="N69" i="19"/>
  <c r="O69" i="19"/>
  <c r="P69" i="19"/>
  <c r="Q69" i="19"/>
  <c r="R69" i="19"/>
  <c r="S69" i="19"/>
  <c r="T69" i="19"/>
  <c r="U69" i="19"/>
  <c r="V69" i="19"/>
  <c r="W69" i="19"/>
  <c r="X69" i="19"/>
  <c r="N70" i="19"/>
  <c r="O70" i="19"/>
  <c r="P70" i="19"/>
  <c r="Q70" i="19"/>
  <c r="R70" i="19"/>
  <c r="S70" i="19"/>
  <c r="T70" i="19"/>
  <c r="U70" i="19"/>
  <c r="V70" i="19"/>
  <c r="W70" i="19"/>
  <c r="X70" i="19"/>
  <c r="N71" i="19"/>
  <c r="P71" i="19"/>
  <c r="Q71" i="19"/>
  <c r="R71" i="19"/>
  <c r="S71" i="19"/>
  <c r="T71" i="19"/>
  <c r="U71" i="19"/>
  <c r="V71" i="19"/>
  <c r="W71" i="19"/>
  <c r="X71" i="19"/>
  <c r="N72" i="19"/>
  <c r="O72" i="19"/>
  <c r="Q72" i="19"/>
  <c r="R72" i="19"/>
  <c r="S72" i="19"/>
  <c r="T72" i="19"/>
  <c r="U72" i="19"/>
  <c r="V72" i="19"/>
  <c r="W72" i="19"/>
  <c r="X72" i="19"/>
  <c r="N73" i="19"/>
  <c r="P73" i="19"/>
  <c r="R73" i="19"/>
  <c r="S73" i="19"/>
  <c r="T73" i="19"/>
  <c r="U73" i="19"/>
  <c r="V73" i="19"/>
  <c r="W73" i="19"/>
  <c r="X73" i="19"/>
  <c r="N74" i="19"/>
  <c r="P74" i="19"/>
  <c r="Q74" i="19"/>
  <c r="S74" i="19"/>
  <c r="T74" i="19"/>
  <c r="U74" i="19"/>
  <c r="V74" i="19"/>
  <c r="W74" i="19"/>
  <c r="X74" i="19"/>
  <c r="N75" i="19"/>
  <c r="O75" i="19"/>
  <c r="P75" i="19"/>
  <c r="Q75" i="19"/>
  <c r="R75" i="19"/>
  <c r="T75" i="19"/>
  <c r="U75" i="19"/>
  <c r="V75" i="19"/>
  <c r="W75" i="19"/>
  <c r="X75" i="19"/>
  <c r="N76" i="19"/>
  <c r="O76" i="19"/>
  <c r="P76" i="19"/>
  <c r="Q76" i="19"/>
  <c r="R76" i="19"/>
  <c r="S76" i="19"/>
  <c r="U76" i="19"/>
  <c r="V76" i="19"/>
  <c r="W76" i="19"/>
  <c r="X76" i="19"/>
  <c r="N77" i="19"/>
  <c r="O77" i="19"/>
  <c r="P77" i="19"/>
  <c r="Q77" i="19"/>
  <c r="R77" i="19"/>
  <c r="S77" i="19"/>
  <c r="T77" i="19"/>
  <c r="V77" i="19"/>
  <c r="W77" i="19"/>
  <c r="X77" i="19"/>
  <c r="N78" i="19"/>
  <c r="O78" i="19"/>
  <c r="P78" i="19"/>
  <c r="Q78" i="19"/>
  <c r="R78" i="19"/>
  <c r="S78" i="19"/>
  <c r="T78" i="19"/>
  <c r="U78" i="19"/>
  <c r="W78" i="19"/>
  <c r="N79" i="19"/>
  <c r="P79" i="19"/>
  <c r="Q79" i="19"/>
  <c r="R79" i="19"/>
  <c r="S79" i="19"/>
  <c r="T79" i="19"/>
  <c r="U79" i="19"/>
  <c r="V79" i="19"/>
  <c r="X79" i="19"/>
  <c r="N80" i="19"/>
  <c r="O80" i="19"/>
  <c r="P80" i="19"/>
  <c r="Q80" i="19"/>
  <c r="R80" i="19"/>
  <c r="S80" i="19"/>
  <c r="T80" i="19"/>
  <c r="V80" i="19"/>
  <c r="W80" i="19"/>
  <c r="N81" i="19"/>
  <c r="O81" i="19"/>
  <c r="P81" i="19"/>
  <c r="Q81" i="19"/>
  <c r="R81" i="19"/>
  <c r="S81" i="19"/>
  <c r="T81" i="19"/>
  <c r="U81" i="19"/>
  <c r="V81" i="19"/>
  <c r="W81" i="19"/>
  <c r="X81" i="19"/>
  <c r="N82" i="19"/>
  <c r="O82" i="19"/>
  <c r="P82" i="19"/>
  <c r="Q82" i="19"/>
  <c r="R82" i="19"/>
  <c r="S82" i="19"/>
  <c r="U82" i="19"/>
  <c r="V82" i="19"/>
  <c r="W82" i="19"/>
  <c r="X82" i="19"/>
  <c r="N83" i="19"/>
  <c r="P83" i="19"/>
  <c r="Q83" i="19"/>
  <c r="R83" i="19"/>
  <c r="S83" i="19"/>
  <c r="T83" i="19"/>
  <c r="U83" i="19"/>
  <c r="V83" i="19"/>
  <c r="W83" i="19"/>
  <c r="N84" i="19"/>
  <c r="O84" i="19"/>
  <c r="Q84" i="19"/>
  <c r="R84" i="19"/>
  <c r="S84" i="19"/>
  <c r="T84" i="19"/>
  <c r="U84" i="19"/>
  <c r="V84" i="19"/>
  <c r="W84" i="19"/>
  <c r="X84" i="19"/>
  <c r="N85" i="19"/>
  <c r="P85" i="19"/>
  <c r="R85" i="19"/>
  <c r="S85" i="19"/>
  <c r="T85" i="19"/>
  <c r="V85" i="19"/>
  <c r="W85" i="19"/>
  <c r="X85" i="19"/>
  <c r="N86" i="19"/>
  <c r="P86" i="19"/>
  <c r="Q86" i="19"/>
  <c r="S86" i="19"/>
  <c r="T86" i="19"/>
  <c r="U86" i="19"/>
  <c r="V86" i="19"/>
  <c r="W86" i="19"/>
  <c r="N87" i="19"/>
  <c r="O87" i="19"/>
  <c r="P87" i="19"/>
  <c r="Q87" i="19"/>
  <c r="R87" i="19"/>
  <c r="T87" i="19"/>
  <c r="U87" i="19"/>
  <c r="V87" i="19"/>
  <c r="W87" i="19"/>
  <c r="X87" i="19"/>
  <c r="N88" i="19"/>
  <c r="O88" i="19"/>
  <c r="P88" i="19"/>
  <c r="Q88" i="19"/>
  <c r="R88" i="19"/>
  <c r="S88" i="19"/>
  <c r="U88" i="19"/>
  <c r="W88" i="19"/>
  <c r="X88" i="19"/>
  <c r="N89" i="19"/>
  <c r="O89" i="19"/>
  <c r="P89" i="19"/>
  <c r="Q89" i="19"/>
  <c r="R89" i="19"/>
  <c r="S89" i="19"/>
  <c r="T89" i="19"/>
  <c r="V89" i="19"/>
  <c r="W89" i="19"/>
  <c r="X89" i="19"/>
  <c r="N90" i="19"/>
  <c r="O90" i="19"/>
  <c r="P90" i="19"/>
  <c r="Q90" i="19"/>
  <c r="R90" i="19"/>
  <c r="S90" i="19"/>
  <c r="T90" i="19"/>
  <c r="U90" i="19"/>
  <c r="W90" i="19"/>
  <c r="X90" i="19"/>
  <c r="N91" i="19"/>
  <c r="P91" i="19"/>
  <c r="Q91" i="19"/>
  <c r="R91" i="19"/>
  <c r="S91" i="19"/>
  <c r="T91" i="19"/>
  <c r="U91" i="19"/>
  <c r="V91" i="19"/>
  <c r="W91" i="19"/>
  <c r="X91" i="19"/>
  <c r="N92" i="19"/>
  <c r="O92" i="19"/>
  <c r="P92" i="19"/>
  <c r="Q92" i="19"/>
  <c r="R92" i="19"/>
  <c r="S92" i="19"/>
  <c r="T92" i="19"/>
  <c r="U92" i="19"/>
  <c r="V92" i="19"/>
  <c r="W92" i="19"/>
  <c r="X92" i="19"/>
  <c r="N93" i="19"/>
  <c r="O93" i="19"/>
  <c r="P93" i="19"/>
  <c r="Q93" i="19"/>
  <c r="R93" i="19"/>
  <c r="S93" i="19"/>
  <c r="T93" i="19"/>
  <c r="U93" i="19"/>
  <c r="V93" i="19"/>
  <c r="W93" i="19"/>
  <c r="X93" i="19"/>
  <c r="N94" i="19"/>
  <c r="O94" i="19"/>
  <c r="P94" i="19"/>
  <c r="Q94" i="19"/>
  <c r="R94" i="19"/>
  <c r="S94" i="19"/>
  <c r="T94" i="19"/>
  <c r="U94" i="19"/>
  <c r="V94" i="19"/>
  <c r="W94" i="19"/>
  <c r="X94" i="19"/>
  <c r="N95" i="19"/>
  <c r="O95" i="19"/>
  <c r="P95" i="19"/>
  <c r="Q95" i="19"/>
  <c r="R95" i="19"/>
  <c r="S95" i="19"/>
  <c r="T95" i="19"/>
  <c r="U95" i="19"/>
  <c r="V95" i="19"/>
  <c r="W95" i="19"/>
  <c r="X95" i="19"/>
  <c r="N96" i="19"/>
  <c r="O96" i="19"/>
  <c r="P96" i="19"/>
  <c r="Q96" i="19"/>
  <c r="R96" i="19"/>
  <c r="S96" i="19"/>
  <c r="T96" i="19"/>
  <c r="U96" i="19"/>
  <c r="V96" i="19"/>
  <c r="W96" i="19"/>
  <c r="X96" i="19"/>
  <c r="N97" i="19"/>
  <c r="P97" i="19"/>
  <c r="R97" i="19"/>
  <c r="S97" i="19"/>
  <c r="U97" i="19"/>
  <c r="V97" i="19"/>
  <c r="W97" i="19"/>
  <c r="X97" i="19"/>
  <c r="N98" i="19"/>
  <c r="P98" i="19"/>
  <c r="Q98" i="19"/>
  <c r="S98" i="19"/>
  <c r="T98" i="19"/>
  <c r="U98" i="19"/>
  <c r="V98" i="19"/>
  <c r="W98" i="19"/>
  <c r="X98" i="19"/>
  <c r="N99" i="19"/>
  <c r="O99" i="19"/>
  <c r="P99" i="19"/>
  <c r="Q99" i="19"/>
  <c r="R99" i="19"/>
  <c r="T99" i="19"/>
  <c r="U99" i="19"/>
  <c r="V99" i="19"/>
  <c r="W99" i="19"/>
  <c r="X99" i="19"/>
  <c r="N100" i="19"/>
  <c r="O100" i="19"/>
  <c r="P100" i="19"/>
  <c r="Q100" i="19"/>
  <c r="R100" i="19"/>
  <c r="S100" i="19"/>
  <c r="U100" i="19"/>
  <c r="V100" i="19"/>
  <c r="W100" i="19"/>
  <c r="X100" i="19"/>
  <c r="N101" i="19"/>
  <c r="O101" i="19"/>
  <c r="P101" i="19"/>
  <c r="Q101" i="19"/>
  <c r="R101" i="19"/>
  <c r="S101" i="19"/>
  <c r="T101" i="19"/>
  <c r="W101" i="19"/>
  <c r="X101" i="19"/>
  <c r="N102" i="19"/>
  <c r="O102" i="19"/>
  <c r="P102" i="19"/>
  <c r="Q102" i="19"/>
  <c r="R102" i="19"/>
  <c r="S102" i="19"/>
  <c r="T102" i="19"/>
  <c r="U102" i="19"/>
  <c r="W102" i="19"/>
  <c r="X102" i="19"/>
  <c r="N103" i="19"/>
  <c r="O103" i="19"/>
  <c r="P103" i="19"/>
  <c r="Q103" i="19"/>
  <c r="R103" i="19"/>
  <c r="S103" i="19"/>
  <c r="T103" i="19"/>
  <c r="U103" i="19"/>
  <c r="V103" i="19"/>
  <c r="X103" i="19"/>
  <c r="N104" i="19"/>
  <c r="O104" i="19"/>
  <c r="P104" i="19"/>
  <c r="Q104" i="19"/>
  <c r="R104" i="19"/>
  <c r="S104" i="19"/>
  <c r="T104" i="19"/>
  <c r="U104" i="19"/>
  <c r="W104" i="19"/>
  <c r="N105" i="19"/>
  <c r="O105" i="19"/>
  <c r="P105" i="19"/>
  <c r="Q105" i="19"/>
  <c r="R105" i="19"/>
  <c r="S105" i="19"/>
  <c r="T105" i="19"/>
  <c r="U105" i="19"/>
  <c r="V105" i="19"/>
  <c r="W105" i="19"/>
  <c r="X105" i="19"/>
  <c r="N106" i="19"/>
  <c r="O106" i="19"/>
  <c r="P106" i="19"/>
  <c r="Q106" i="19"/>
  <c r="R106" i="19"/>
  <c r="S106" i="19"/>
  <c r="T106" i="19"/>
  <c r="U106" i="19"/>
  <c r="V106" i="19"/>
  <c r="W106" i="19"/>
  <c r="X106" i="19"/>
  <c r="N107" i="19"/>
  <c r="P107" i="19"/>
  <c r="Q107" i="19"/>
  <c r="R107" i="19"/>
  <c r="S107" i="19"/>
  <c r="U107" i="19"/>
  <c r="V107" i="19"/>
  <c r="W107" i="19"/>
  <c r="X107" i="19"/>
  <c r="N108" i="19"/>
  <c r="O108" i="19"/>
  <c r="Q108" i="19"/>
  <c r="R108" i="19"/>
  <c r="S108" i="19"/>
  <c r="T108" i="19"/>
  <c r="U108" i="19"/>
  <c r="V108" i="19"/>
  <c r="W108" i="19"/>
  <c r="X108" i="19"/>
  <c r="N109" i="19"/>
  <c r="P109" i="19"/>
  <c r="R109" i="19"/>
  <c r="S109" i="19"/>
  <c r="T109" i="19"/>
  <c r="U109" i="19"/>
  <c r="V109" i="19"/>
  <c r="W109" i="19"/>
  <c r="X109" i="19"/>
  <c r="N110" i="19"/>
  <c r="P110" i="19"/>
  <c r="Q110" i="19"/>
  <c r="S110" i="19"/>
  <c r="T110" i="19"/>
  <c r="U110" i="19"/>
  <c r="V110" i="19"/>
  <c r="W110" i="19"/>
  <c r="X110" i="19"/>
  <c r="N111" i="19"/>
  <c r="O111" i="19"/>
  <c r="P111" i="19"/>
  <c r="Q111" i="19"/>
  <c r="R111" i="19"/>
  <c r="T111" i="19"/>
  <c r="U111" i="19"/>
  <c r="V111" i="19"/>
  <c r="W111" i="19"/>
  <c r="X111" i="19"/>
  <c r="N112" i="19"/>
  <c r="O112" i="19"/>
  <c r="P112" i="19"/>
  <c r="Q112" i="19"/>
  <c r="R112" i="19"/>
  <c r="S112" i="19"/>
  <c r="U112" i="19"/>
  <c r="W112" i="19"/>
  <c r="X112" i="19"/>
  <c r="N113" i="19"/>
  <c r="O113" i="19"/>
  <c r="P113" i="19"/>
  <c r="Q113" i="19"/>
  <c r="R113" i="19"/>
  <c r="S113" i="19"/>
  <c r="T113" i="19"/>
  <c r="V113" i="19"/>
  <c r="W113" i="19"/>
  <c r="X113" i="19"/>
  <c r="N114" i="19"/>
  <c r="O114" i="19"/>
  <c r="P114" i="19"/>
  <c r="Q114" i="19"/>
  <c r="R114" i="19"/>
  <c r="S114" i="19"/>
  <c r="T114" i="19"/>
  <c r="U114" i="19"/>
  <c r="W114" i="19"/>
  <c r="X114" i="19"/>
  <c r="N115" i="19"/>
  <c r="O115" i="19"/>
  <c r="P115" i="19"/>
  <c r="Q115" i="19"/>
  <c r="R115" i="19"/>
  <c r="S115" i="19"/>
  <c r="U115" i="19"/>
  <c r="V115" i="19"/>
  <c r="X115" i="19"/>
  <c r="N116" i="19"/>
  <c r="O116" i="19"/>
  <c r="P116" i="19"/>
  <c r="Q116" i="19"/>
  <c r="R116" i="19"/>
  <c r="S116" i="19"/>
  <c r="T116" i="19"/>
  <c r="U116" i="19"/>
  <c r="V116" i="19"/>
  <c r="W116" i="19"/>
  <c r="N117" i="19"/>
  <c r="O117" i="19"/>
  <c r="P117" i="19"/>
  <c r="Q117" i="19"/>
  <c r="R117" i="19"/>
  <c r="S117" i="19"/>
  <c r="T117" i="19"/>
  <c r="U117" i="19"/>
  <c r="V117" i="19"/>
  <c r="W117" i="19"/>
  <c r="X117" i="19"/>
  <c r="N118" i="19"/>
  <c r="O118" i="19"/>
  <c r="P118" i="19"/>
  <c r="Q118" i="19"/>
  <c r="R118" i="19"/>
  <c r="S118" i="19"/>
  <c r="T118" i="19"/>
  <c r="U118" i="19"/>
  <c r="V118" i="19"/>
  <c r="W118" i="19"/>
  <c r="X118" i="19"/>
  <c r="N119" i="19"/>
  <c r="P119" i="19"/>
  <c r="Q119" i="19"/>
  <c r="R119" i="19"/>
  <c r="S119" i="19"/>
  <c r="T119" i="19"/>
  <c r="U119" i="19"/>
  <c r="V119" i="19"/>
  <c r="W119" i="19"/>
  <c r="X119" i="19"/>
  <c r="N120" i="19"/>
  <c r="O120" i="19"/>
  <c r="Q120" i="19"/>
  <c r="R120" i="19"/>
  <c r="S120" i="19"/>
  <c r="T120" i="19"/>
  <c r="U120" i="19"/>
  <c r="V120" i="19"/>
  <c r="W120" i="19"/>
  <c r="X120" i="19"/>
  <c r="N121" i="19"/>
  <c r="P121" i="19"/>
  <c r="R121" i="19"/>
  <c r="S121" i="19"/>
  <c r="T121" i="19"/>
  <c r="U121" i="19"/>
  <c r="V121" i="19"/>
  <c r="W121" i="19"/>
  <c r="X121" i="19"/>
  <c r="N122" i="19"/>
  <c r="P122" i="19"/>
  <c r="Q122" i="19"/>
  <c r="S122" i="19"/>
  <c r="T122" i="19"/>
  <c r="U122" i="19"/>
  <c r="V122" i="19"/>
  <c r="W122" i="19"/>
  <c r="X122" i="19"/>
  <c r="N123" i="19"/>
  <c r="O123" i="19"/>
  <c r="P123" i="19"/>
  <c r="Q123" i="19"/>
  <c r="R123" i="19"/>
  <c r="T123" i="19"/>
  <c r="U123" i="19"/>
  <c r="V123" i="19"/>
  <c r="W123" i="19"/>
  <c r="X123" i="19"/>
  <c r="N124" i="19"/>
  <c r="O124" i="19"/>
  <c r="P124" i="19"/>
  <c r="Q124" i="19"/>
  <c r="R124" i="19"/>
  <c r="S124" i="19"/>
  <c r="U124" i="19"/>
  <c r="V124" i="19"/>
  <c r="W124" i="19"/>
  <c r="X124" i="19"/>
  <c r="N125" i="19"/>
  <c r="O125" i="19"/>
  <c r="P125" i="19"/>
  <c r="Q125" i="19"/>
  <c r="R125" i="19"/>
  <c r="S125" i="19"/>
  <c r="T125" i="19"/>
  <c r="V125" i="19"/>
  <c r="W125" i="19"/>
  <c r="X125" i="19"/>
  <c r="N126" i="19"/>
  <c r="O126" i="19"/>
  <c r="P126" i="19"/>
  <c r="Q126" i="19"/>
  <c r="R126" i="19"/>
  <c r="S126" i="19"/>
  <c r="T126" i="19"/>
  <c r="U126" i="19"/>
  <c r="W126" i="19"/>
  <c r="X126" i="19"/>
  <c r="N127" i="19"/>
  <c r="O127" i="19"/>
  <c r="P127" i="19"/>
  <c r="Q127" i="19"/>
  <c r="R127" i="19"/>
  <c r="S127" i="19"/>
  <c r="T127" i="19"/>
  <c r="U127" i="19"/>
  <c r="V127" i="19"/>
  <c r="X127" i="19"/>
  <c r="N128" i="19"/>
  <c r="O128" i="19"/>
  <c r="P128" i="19"/>
  <c r="Q128" i="19"/>
  <c r="R128" i="19"/>
  <c r="S128" i="19"/>
  <c r="T128" i="19"/>
  <c r="U128" i="19"/>
  <c r="V128" i="19"/>
  <c r="W128" i="19"/>
  <c r="N129" i="19"/>
  <c r="O129" i="19"/>
  <c r="P129" i="19"/>
  <c r="Q129" i="19"/>
  <c r="R129" i="19"/>
  <c r="S129" i="19"/>
  <c r="T129" i="19"/>
  <c r="U129" i="19"/>
  <c r="V129" i="19"/>
  <c r="W129" i="19"/>
  <c r="X129" i="19"/>
  <c r="N130" i="19"/>
  <c r="O130" i="19"/>
  <c r="P130" i="19"/>
  <c r="Q130" i="19"/>
  <c r="R130" i="19"/>
  <c r="S130" i="19"/>
  <c r="T130" i="19"/>
  <c r="U130" i="19"/>
  <c r="V130" i="19"/>
  <c r="W130" i="19"/>
  <c r="X130" i="19"/>
  <c r="N131" i="19"/>
  <c r="P131" i="19"/>
  <c r="Q131" i="19"/>
  <c r="R131" i="19"/>
  <c r="S131" i="19"/>
  <c r="T131" i="19"/>
  <c r="U131" i="19"/>
  <c r="V131" i="19"/>
  <c r="W131" i="19"/>
  <c r="X131" i="19"/>
  <c r="N132" i="19"/>
  <c r="O132" i="19"/>
  <c r="Q132" i="19"/>
  <c r="R132" i="19"/>
  <c r="S132" i="19"/>
  <c r="T132" i="19"/>
  <c r="U132" i="19"/>
  <c r="V132" i="19"/>
  <c r="W132" i="19"/>
  <c r="X132" i="19"/>
  <c r="N133" i="19"/>
  <c r="P133" i="19"/>
  <c r="R133" i="19"/>
  <c r="S133" i="19"/>
  <c r="T133" i="19"/>
  <c r="U133" i="19"/>
  <c r="V133" i="19"/>
  <c r="W133" i="19"/>
  <c r="X133" i="19"/>
  <c r="N134" i="19"/>
  <c r="P134" i="19"/>
  <c r="Q134" i="19"/>
  <c r="S134" i="19"/>
  <c r="T134" i="19"/>
  <c r="U134" i="19"/>
  <c r="V134" i="19"/>
  <c r="W134" i="19"/>
  <c r="X134" i="19"/>
  <c r="N135" i="19"/>
  <c r="O135" i="19"/>
  <c r="P135" i="19"/>
  <c r="Q135" i="19"/>
  <c r="R135" i="19"/>
  <c r="T135" i="19"/>
  <c r="U135" i="19"/>
  <c r="V135" i="19"/>
  <c r="W135" i="19"/>
  <c r="X135" i="19"/>
  <c r="N136" i="19"/>
  <c r="O136" i="19"/>
  <c r="P136" i="19"/>
  <c r="Q136" i="19"/>
  <c r="R136" i="19"/>
  <c r="S136" i="19"/>
  <c r="U136" i="19"/>
  <c r="V136" i="19"/>
  <c r="X136" i="19"/>
  <c r="N137" i="19"/>
  <c r="O137" i="19"/>
  <c r="P137" i="19"/>
  <c r="Q137" i="19"/>
  <c r="R137" i="19"/>
  <c r="S137" i="19"/>
  <c r="T137" i="19"/>
  <c r="V137" i="19"/>
  <c r="W137" i="19"/>
  <c r="X137" i="19"/>
  <c r="N138" i="19"/>
  <c r="O138" i="19"/>
  <c r="P138" i="19"/>
  <c r="Q138" i="19"/>
  <c r="R138" i="19"/>
  <c r="S138" i="19"/>
  <c r="T138" i="19"/>
  <c r="U138" i="19"/>
  <c r="W138" i="19"/>
  <c r="X138" i="19"/>
  <c r="N139" i="19"/>
  <c r="O139" i="19"/>
  <c r="P139" i="19"/>
  <c r="Q139" i="19"/>
  <c r="R139" i="19"/>
  <c r="S139" i="19"/>
  <c r="T139" i="19"/>
  <c r="U139" i="19"/>
  <c r="V139" i="19"/>
  <c r="X139" i="19"/>
  <c r="N140" i="19"/>
  <c r="O140" i="19"/>
  <c r="P140" i="19"/>
  <c r="Q140" i="19"/>
  <c r="R140" i="19"/>
  <c r="S140" i="19"/>
  <c r="T140" i="19"/>
  <c r="U140" i="19"/>
  <c r="V140" i="19"/>
  <c r="W140" i="19"/>
  <c r="N141" i="19"/>
  <c r="O141" i="19"/>
  <c r="P141" i="19"/>
  <c r="Q141" i="19"/>
  <c r="R141" i="19"/>
  <c r="S141" i="19"/>
  <c r="T141" i="19"/>
  <c r="U141" i="19"/>
  <c r="V141" i="19"/>
  <c r="X141" i="19"/>
  <c r="N142" i="19"/>
  <c r="O142" i="19"/>
  <c r="P142" i="19"/>
  <c r="Q142" i="19"/>
  <c r="R142" i="19"/>
  <c r="S142" i="19"/>
  <c r="T142" i="19"/>
  <c r="U142" i="19"/>
  <c r="V142" i="19"/>
  <c r="W142" i="19"/>
  <c r="X142" i="19"/>
  <c r="N143" i="19"/>
  <c r="P143" i="19"/>
  <c r="Q143" i="19"/>
  <c r="R143" i="19"/>
  <c r="S143" i="19"/>
  <c r="T143" i="19"/>
  <c r="U143" i="19"/>
  <c r="V143" i="19"/>
  <c r="W143" i="19"/>
  <c r="X143" i="19"/>
  <c r="N144" i="19"/>
  <c r="O144" i="19"/>
  <c r="Q144" i="19"/>
  <c r="R144" i="19"/>
  <c r="S144" i="19"/>
  <c r="T144" i="19"/>
  <c r="U144" i="19"/>
  <c r="V144" i="19"/>
  <c r="W144" i="19"/>
  <c r="X144" i="19"/>
  <c r="N145" i="19"/>
  <c r="P145" i="19"/>
  <c r="R145" i="19"/>
  <c r="S145" i="19"/>
  <c r="T145" i="19"/>
  <c r="U145" i="19"/>
  <c r="V145" i="19"/>
  <c r="W145" i="19"/>
  <c r="X145" i="19"/>
  <c r="N146" i="19"/>
  <c r="P146" i="19"/>
  <c r="Q146" i="19"/>
  <c r="S146" i="19"/>
  <c r="T146" i="19"/>
  <c r="U146" i="19"/>
  <c r="V146" i="19"/>
  <c r="W146" i="19"/>
  <c r="X146" i="19"/>
  <c r="N147" i="19"/>
  <c r="O147" i="19"/>
  <c r="P147" i="19"/>
  <c r="Q147" i="19"/>
  <c r="R147" i="19"/>
  <c r="T147" i="19"/>
  <c r="U147" i="19"/>
  <c r="V147" i="19"/>
  <c r="W147" i="19"/>
  <c r="X147" i="19"/>
  <c r="N148" i="19"/>
  <c r="O148" i="19"/>
  <c r="P148" i="19"/>
  <c r="Q148" i="19"/>
  <c r="R148" i="19"/>
  <c r="S148" i="19"/>
  <c r="U148" i="19"/>
  <c r="V148" i="19"/>
  <c r="W148" i="19"/>
  <c r="X148" i="19"/>
  <c r="N149" i="19"/>
  <c r="O149" i="19"/>
  <c r="P149" i="19"/>
  <c r="Q149" i="19"/>
  <c r="R149" i="19"/>
  <c r="S149" i="19"/>
  <c r="T149" i="19"/>
  <c r="V149" i="19"/>
  <c r="W149" i="19"/>
  <c r="X149" i="19"/>
  <c r="N150" i="19"/>
  <c r="O150" i="19"/>
  <c r="P150" i="19"/>
  <c r="Q150" i="19"/>
  <c r="R150" i="19"/>
  <c r="S150" i="19"/>
  <c r="T150" i="19"/>
  <c r="U150" i="19"/>
  <c r="W150" i="19"/>
  <c r="X150" i="19"/>
  <c r="N151" i="19"/>
  <c r="O151" i="19"/>
  <c r="P151" i="19"/>
  <c r="Q151" i="19"/>
  <c r="R151" i="19"/>
  <c r="S151" i="19"/>
  <c r="T151" i="19"/>
  <c r="U151" i="19"/>
  <c r="V151" i="19"/>
  <c r="X151" i="19"/>
  <c r="N152" i="19"/>
  <c r="O152" i="19"/>
  <c r="P152" i="19"/>
  <c r="Q152" i="19"/>
  <c r="R152" i="19"/>
  <c r="S152" i="19"/>
  <c r="T152" i="19"/>
  <c r="U152" i="19"/>
  <c r="V152" i="19"/>
  <c r="W152" i="19"/>
  <c r="N153" i="19"/>
  <c r="O153" i="19"/>
  <c r="P153" i="19"/>
  <c r="Q153" i="19"/>
  <c r="R153" i="19"/>
  <c r="S153" i="19"/>
  <c r="T153" i="19"/>
  <c r="U153" i="19"/>
  <c r="V153" i="19"/>
  <c r="W153" i="19"/>
  <c r="X153" i="19"/>
  <c r="N154" i="19"/>
  <c r="O154" i="19"/>
  <c r="P154" i="19"/>
  <c r="Q154" i="19"/>
  <c r="R154" i="19"/>
  <c r="S154" i="19"/>
  <c r="T154" i="19"/>
  <c r="U154" i="19"/>
  <c r="V154" i="19"/>
  <c r="W154" i="19"/>
  <c r="X154" i="19"/>
  <c r="N155" i="19"/>
  <c r="P155" i="19"/>
  <c r="Q155" i="19"/>
  <c r="R155" i="19"/>
  <c r="S155" i="19"/>
  <c r="T155" i="19"/>
  <c r="U155" i="19"/>
  <c r="V155" i="19"/>
  <c r="W155" i="19"/>
  <c r="X155" i="19"/>
  <c r="N156" i="19"/>
  <c r="O156" i="19"/>
  <c r="Q156" i="19"/>
  <c r="R156" i="19"/>
  <c r="S156" i="19"/>
  <c r="T156" i="19"/>
  <c r="U156" i="19"/>
  <c r="V156" i="19"/>
  <c r="W156" i="19"/>
  <c r="X156" i="19"/>
  <c r="N157" i="19"/>
  <c r="O157" i="19"/>
  <c r="P157" i="19"/>
  <c r="R157" i="19"/>
  <c r="S157" i="19"/>
  <c r="T157" i="19"/>
  <c r="U157" i="19"/>
  <c r="V157" i="19"/>
  <c r="W157" i="19"/>
  <c r="X157" i="19"/>
  <c r="N158" i="19"/>
  <c r="P158" i="19"/>
  <c r="Q158" i="19"/>
  <c r="S158" i="19"/>
  <c r="T158" i="19"/>
  <c r="U158" i="19"/>
  <c r="V158" i="19"/>
  <c r="W158" i="19"/>
  <c r="X158" i="19"/>
  <c r="N159" i="19"/>
  <c r="O159" i="19"/>
  <c r="P159" i="19"/>
  <c r="Q159" i="19"/>
  <c r="R159" i="19"/>
  <c r="T159" i="19"/>
  <c r="U159" i="19"/>
  <c r="V159" i="19"/>
  <c r="W159" i="19"/>
  <c r="X159" i="19"/>
  <c r="N160" i="19"/>
  <c r="O160" i="19"/>
  <c r="P160" i="19"/>
  <c r="Q160" i="19"/>
  <c r="R160" i="19"/>
  <c r="S160" i="19"/>
  <c r="U160" i="19"/>
  <c r="V160" i="19"/>
  <c r="W160" i="19"/>
  <c r="X160" i="19"/>
  <c r="N161" i="19"/>
  <c r="O161" i="19"/>
  <c r="P161" i="19"/>
  <c r="Q161" i="19"/>
  <c r="R161" i="19"/>
  <c r="S161" i="19"/>
  <c r="T161" i="19"/>
  <c r="V161" i="19"/>
  <c r="W161" i="19"/>
  <c r="X161" i="19"/>
  <c r="N162" i="19"/>
  <c r="O162" i="19"/>
  <c r="P162" i="19"/>
  <c r="Q162" i="19"/>
  <c r="R162" i="19"/>
  <c r="S162" i="19"/>
  <c r="T162" i="19"/>
  <c r="U162" i="19"/>
  <c r="W162" i="19"/>
  <c r="X162" i="19"/>
  <c r="N163" i="19"/>
  <c r="O163" i="19"/>
  <c r="P163" i="19"/>
  <c r="Q163" i="19"/>
  <c r="R163" i="19"/>
  <c r="S163" i="19"/>
  <c r="T163" i="19"/>
  <c r="U163" i="19"/>
  <c r="V163" i="19"/>
  <c r="X163" i="19"/>
  <c r="N164" i="19"/>
  <c r="O164" i="19"/>
  <c r="P164" i="19"/>
  <c r="Q164" i="19"/>
  <c r="R164" i="19"/>
  <c r="S164" i="19"/>
  <c r="T164" i="19"/>
  <c r="U164" i="19"/>
  <c r="V164" i="19"/>
  <c r="W164" i="19"/>
  <c r="N165" i="19"/>
  <c r="O165" i="19"/>
  <c r="P165" i="19"/>
  <c r="Q165" i="19"/>
  <c r="R165" i="19"/>
  <c r="S165" i="19"/>
  <c r="T165" i="19"/>
  <c r="U165" i="19"/>
  <c r="V165" i="19"/>
  <c r="W165" i="19"/>
  <c r="X165" i="19"/>
  <c r="N166" i="19"/>
  <c r="O166" i="19"/>
  <c r="P166" i="19"/>
  <c r="Q166" i="19"/>
  <c r="R166" i="19"/>
  <c r="S166" i="19"/>
  <c r="T166" i="19"/>
  <c r="U166" i="19"/>
  <c r="V166" i="19"/>
  <c r="W166" i="19"/>
  <c r="X166" i="19"/>
  <c r="N167" i="19"/>
  <c r="P167" i="19"/>
  <c r="Q167" i="19"/>
  <c r="R167" i="19"/>
  <c r="S167" i="19"/>
  <c r="T167" i="19"/>
  <c r="U167" i="19"/>
  <c r="V167" i="19"/>
  <c r="W167" i="19"/>
  <c r="X167" i="19"/>
  <c r="N168" i="19"/>
  <c r="O168" i="19"/>
  <c r="Q168" i="19"/>
  <c r="R168" i="19"/>
  <c r="S168" i="19"/>
  <c r="T168" i="19"/>
  <c r="U168" i="19"/>
  <c r="V168" i="19"/>
  <c r="W168" i="19"/>
  <c r="X168" i="19"/>
  <c r="N169" i="19"/>
  <c r="O169" i="19"/>
  <c r="P169" i="19"/>
  <c r="R169" i="19"/>
  <c r="S169" i="19"/>
  <c r="T169" i="19"/>
  <c r="U169" i="19"/>
  <c r="V169" i="19"/>
  <c r="W169" i="19"/>
  <c r="X169" i="19"/>
  <c r="N170" i="19"/>
  <c r="P170" i="19"/>
  <c r="Q170" i="19"/>
  <c r="S170" i="19"/>
  <c r="T170" i="19"/>
  <c r="U170" i="19"/>
  <c r="V170" i="19"/>
  <c r="W170" i="19"/>
  <c r="X170" i="19"/>
  <c r="N171" i="19"/>
  <c r="O171" i="19"/>
  <c r="P171" i="19"/>
  <c r="Q171" i="19"/>
  <c r="R171" i="19"/>
  <c r="T171" i="19"/>
  <c r="U171" i="19"/>
  <c r="V171" i="19"/>
  <c r="W171" i="19"/>
  <c r="X171" i="19"/>
  <c r="N172" i="19"/>
  <c r="O172" i="19"/>
  <c r="P172" i="19"/>
  <c r="Q172" i="19"/>
  <c r="R172" i="19"/>
  <c r="S172" i="19"/>
  <c r="U172" i="19"/>
  <c r="V172" i="19"/>
  <c r="W172" i="19"/>
  <c r="X172" i="19"/>
  <c r="N173" i="19"/>
  <c r="O173" i="19"/>
  <c r="P173" i="19"/>
  <c r="Q173" i="19"/>
  <c r="R173" i="19"/>
  <c r="S173" i="19"/>
  <c r="T173" i="19"/>
  <c r="V173" i="19"/>
  <c r="W173" i="19"/>
  <c r="X173" i="19"/>
  <c r="N174" i="19"/>
  <c r="O174" i="19"/>
  <c r="P174" i="19"/>
  <c r="Q174" i="19"/>
  <c r="R174" i="19"/>
  <c r="S174" i="19"/>
  <c r="T174" i="19"/>
  <c r="U174" i="19"/>
  <c r="W174" i="19"/>
  <c r="X174" i="19"/>
  <c r="N175" i="19"/>
  <c r="O175" i="19"/>
  <c r="P175" i="19"/>
  <c r="Q175" i="19"/>
  <c r="R175" i="19"/>
  <c r="S175" i="19"/>
  <c r="T175" i="19"/>
  <c r="U175" i="19"/>
  <c r="V175" i="19"/>
  <c r="X175" i="19"/>
  <c r="N176" i="19"/>
  <c r="O176" i="19"/>
  <c r="P176" i="19"/>
  <c r="Q176" i="19"/>
  <c r="R176" i="19"/>
  <c r="S176" i="19"/>
  <c r="T176" i="19"/>
  <c r="U176" i="19"/>
  <c r="V176" i="19"/>
  <c r="W176" i="19"/>
  <c r="N177" i="19"/>
  <c r="O177" i="19"/>
  <c r="P177" i="19"/>
  <c r="Q177" i="19"/>
  <c r="R177" i="19"/>
  <c r="S177" i="19"/>
  <c r="T177" i="19"/>
  <c r="U177" i="19"/>
  <c r="V177" i="19"/>
  <c r="W177" i="19"/>
  <c r="X177" i="19"/>
  <c r="N178" i="19"/>
  <c r="O178" i="19"/>
  <c r="P178" i="19"/>
  <c r="Q178" i="19"/>
  <c r="R178" i="19"/>
  <c r="S178" i="19"/>
  <c r="T178" i="19"/>
  <c r="U178" i="19"/>
  <c r="V178" i="19"/>
  <c r="W178" i="19"/>
  <c r="X178" i="19"/>
  <c r="N179" i="19"/>
  <c r="P179" i="19"/>
  <c r="Q179" i="19"/>
  <c r="R179" i="19"/>
  <c r="S179" i="19"/>
  <c r="T179" i="19"/>
  <c r="U179" i="19"/>
  <c r="V179" i="19"/>
  <c r="W179" i="19"/>
  <c r="X179" i="19"/>
  <c r="N180" i="19"/>
  <c r="O180" i="19"/>
  <c r="Q180" i="19"/>
  <c r="R180" i="19"/>
  <c r="S180" i="19"/>
  <c r="T180" i="19"/>
  <c r="U180" i="19"/>
  <c r="V180" i="19"/>
  <c r="W180" i="19"/>
  <c r="X180" i="19"/>
  <c r="N181" i="19"/>
  <c r="O181" i="19"/>
  <c r="P181" i="19"/>
  <c r="R181" i="19"/>
  <c r="S181" i="19"/>
  <c r="T181" i="19"/>
  <c r="U181" i="19"/>
  <c r="V181" i="19"/>
  <c r="W181" i="19"/>
  <c r="X181" i="19"/>
  <c r="N182" i="19"/>
  <c r="P182" i="19"/>
  <c r="Q182" i="19"/>
  <c r="S182" i="19"/>
  <c r="T182" i="19"/>
  <c r="U182" i="19"/>
  <c r="V182" i="19"/>
  <c r="W182" i="19"/>
  <c r="X182" i="19"/>
  <c r="N183" i="19"/>
  <c r="O183" i="19"/>
  <c r="P183" i="19"/>
  <c r="Q183" i="19"/>
  <c r="R183" i="19"/>
  <c r="T183" i="19"/>
  <c r="U183" i="19"/>
  <c r="V183" i="19"/>
  <c r="W183" i="19"/>
  <c r="X183" i="19"/>
  <c r="N184" i="19"/>
  <c r="O184" i="19"/>
  <c r="P184" i="19"/>
  <c r="Q184" i="19"/>
  <c r="R184" i="19"/>
  <c r="S184" i="19"/>
  <c r="U184" i="19"/>
  <c r="V184" i="19"/>
  <c r="W184" i="19"/>
  <c r="X184" i="19"/>
  <c r="N185" i="19"/>
  <c r="O185" i="19"/>
  <c r="P185" i="19"/>
  <c r="Q185" i="19"/>
  <c r="R185" i="19"/>
  <c r="S185" i="19"/>
  <c r="T185" i="19"/>
  <c r="V185" i="19"/>
  <c r="W185" i="19"/>
  <c r="X185" i="19"/>
  <c r="N186" i="19"/>
  <c r="O186" i="19"/>
  <c r="P186" i="19"/>
  <c r="Q186" i="19"/>
  <c r="R186" i="19"/>
  <c r="S186" i="19"/>
  <c r="T186" i="19"/>
  <c r="U186" i="19"/>
  <c r="W186" i="19"/>
  <c r="X186" i="19"/>
  <c r="N187" i="19"/>
  <c r="O187" i="19"/>
  <c r="P187" i="19"/>
  <c r="Q187" i="19"/>
  <c r="R187" i="19"/>
  <c r="S187" i="19"/>
  <c r="T187" i="19"/>
  <c r="U187" i="19"/>
  <c r="V187" i="19"/>
  <c r="X187" i="19"/>
  <c r="N188" i="19"/>
  <c r="O188" i="19"/>
  <c r="P188" i="19"/>
  <c r="Q188" i="19"/>
  <c r="R188" i="19"/>
  <c r="S188" i="19"/>
  <c r="T188" i="19"/>
  <c r="U188" i="19"/>
  <c r="V188" i="19"/>
  <c r="W188" i="19"/>
  <c r="N189" i="19"/>
  <c r="O189" i="19"/>
  <c r="P189" i="19"/>
  <c r="Q189" i="19"/>
  <c r="R189" i="19"/>
  <c r="S189" i="19"/>
  <c r="T189" i="19"/>
  <c r="U189" i="19"/>
  <c r="V189" i="19"/>
  <c r="W189" i="19"/>
  <c r="X189" i="19"/>
  <c r="N190" i="19"/>
  <c r="O190" i="19"/>
  <c r="P190" i="19"/>
  <c r="Q190" i="19"/>
  <c r="R190" i="19"/>
  <c r="S190" i="19"/>
  <c r="T190" i="19"/>
  <c r="U190" i="19"/>
  <c r="V190" i="19"/>
  <c r="W190" i="19"/>
  <c r="X190" i="19"/>
  <c r="N191" i="19"/>
  <c r="P191" i="19"/>
  <c r="Q191" i="19"/>
  <c r="R191" i="19"/>
  <c r="S191" i="19"/>
  <c r="T191" i="19"/>
  <c r="U191" i="19"/>
  <c r="V191" i="19"/>
  <c r="W191" i="19"/>
  <c r="X191" i="19"/>
  <c r="N192" i="19"/>
  <c r="O192" i="19"/>
  <c r="Q192" i="19"/>
  <c r="R192" i="19"/>
  <c r="S192" i="19"/>
  <c r="T192" i="19"/>
  <c r="U192" i="19"/>
  <c r="V192" i="19"/>
  <c r="W192" i="19"/>
  <c r="X192" i="19"/>
  <c r="N193" i="19"/>
  <c r="O193" i="19"/>
  <c r="P193" i="19"/>
  <c r="R193" i="19"/>
  <c r="S193" i="19"/>
  <c r="T193" i="19"/>
  <c r="U193" i="19"/>
  <c r="V193" i="19"/>
  <c r="W193" i="19"/>
  <c r="X193" i="19"/>
  <c r="N194" i="19"/>
  <c r="O194" i="19"/>
  <c r="P194" i="19"/>
  <c r="Q194" i="19"/>
  <c r="S194" i="19"/>
  <c r="T194" i="19"/>
  <c r="U194" i="19"/>
  <c r="V194" i="19"/>
  <c r="W194" i="19"/>
  <c r="X194" i="19"/>
  <c r="N195" i="19"/>
  <c r="O195" i="19"/>
  <c r="P195" i="19"/>
  <c r="Q195" i="19"/>
  <c r="R195" i="19"/>
  <c r="T195" i="19"/>
  <c r="U195" i="19"/>
  <c r="V195" i="19"/>
  <c r="W195" i="19"/>
  <c r="X195" i="19"/>
  <c r="N196" i="19"/>
  <c r="O196" i="19"/>
  <c r="P196" i="19"/>
  <c r="Q196" i="19"/>
  <c r="R196" i="19"/>
  <c r="S196" i="19"/>
  <c r="U196" i="19"/>
  <c r="V196" i="19"/>
  <c r="W196" i="19"/>
  <c r="X196" i="19"/>
  <c r="N197" i="19"/>
  <c r="O197" i="19"/>
  <c r="P197" i="19"/>
  <c r="Q197" i="19"/>
  <c r="R197" i="19"/>
  <c r="S197" i="19"/>
  <c r="T197" i="19"/>
  <c r="V197" i="19"/>
  <c r="W197" i="19"/>
  <c r="X197" i="19"/>
  <c r="N198" i="19"/>
  <c r="O198" i="19"/>
  <c r="P198" i="19"/>
  <c r="Q198" i="19"/>
  <c r="R198" i="19"/>
  <c r="S198" i="19"/>
  <c r="T198" i="19"/>
  <c r="U198" i="19"/>
  <c r="W198" i="19"/>
  <c r="X198" i="19"/>
  <c r="N199" i="19"/>
  <c r="O199" i="19"/>
  <c r="P199" i="19"/>
  <c r="Q199" i="19"/>
  <c r="R199" i="19"/>
  <c r="S199" i="19"/>
  <c r="T199" i="19"/>
  <c r="U199" i="19"/>
  <c r="V199" i="19"/>
  <c r="X199" i="19"/>
  <c r="N200" i="19"/>
  <c r="O200" i="19"/>
  <c r="P200" i="19"/>
  <c r="Q200" i="19"/>
  <c r="R200" i="19"/>
  <c r="S200" i="19"/>
  <c r="T200" i="19"/>
  <c r="U200" i="19"/>
  <c r="V200" i="19"/>
  <c r="W200" i="19"/>
  <c r="N3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O2" i="19"/>
  <c r="P2" i="19"/>
  <c r="Q2" i="19"/>
  <c r="R2" i="19"/>
  <c r="S2" i="19"/>
  <c r="T2" i="19"/>
  <c r="U2" i="19"/>
  <c r="V2" i="19"/>
  <c r="W2" i="19"/>
  <c r="X2" i="19"/>
  <c r="Y2" i="19"/>
  <c r="N2" i="19"/>
  <c r="A38" i="19"/>
  <c r="C38" i="19"/>
  <c r="D38" i="19"/>
  <c r="E38" i="19"/>
  <c r="F38" i="19"/>
  <c r="G38" i="19"/>
  <c r="H38" i="19"/>
  <c r="K38" i="19"/>
  <c r="A39" i="19"/>
  <c r="B39" i="19"/>
  <c r="C39" i="19"/>
  <c r="E39" i="19"/>
  <c r="F39" i="19"/>
  <c r="G39" i="19"/>
  <c r="H39" i="19"/>
  <c r="I39" i="19"/>
  <c r="A40" i="19"/>
  <c r="B40" i="19"/>
  <c r="C40" i="19"/>
  <c r="D40" i="19"/>
  <c r="E40" i="19"/>
  <c r="G40" i="19"/>
  <c r="H40" i="19"/>
  <c r="I40" i="19"/>
  <c r="J40" i="19"/>
  <c r="A41" i="19"/>
  <c r="B41" i="19"/>
  <c r="C41" i="19"/>
  <c r="D41" i="19"/>
  <c r="E41" i="19"/>
  <c r="F41" i="19"/>
  <c r="H41" i="19"/>
  <c r="I41" i="19"/>
  <c r="J41" i="19"/>
  <c r="K41" i="19"/>
  <c r="A42" i="19"/>
  <c r="C42" i="19"/>
  <c r="D42" i="19"/>
  <c r="E42" i="19"/>
  <c r="F42" i="19"/>
  <c r="G42" i="19"/>
  <c r="I42" i="19"/>
  <c r="J42" i="19"/>
  <c r="K42" i="19"/>
  <c r="A43" i="19"/>
  <c r="B43" i="19"/>
  <c r="D43" i="19"/>
  <c r="E43" i="19"/>
  <c r="F43" i="19"/>
  <c r="G43" i="19"/>
  <c r="H43" i="19"/>
  <c r="I43" i="19"/>
  <c r="K43" i="19"/>
  <c r="A44" i="19"/>
  <c r="B44" i="19"/>
  <c r="E44" i="19"/>
  <c r="F44" i="19"/>
  <c r="G44" i="19"/>
  <c r="H44" i="19"/>
  <c r="I44" i="19"/>
  <c r="J44" i="19"/>
  <c r="K44" i="19"/>
  <c r="A45" i="19"/>
  <c r="C45" i="19"/>
  <c r="F45" i="19"/>
  <c r="G45" i="19"/>
  <c r="H45" i="19"/>
  <c r="I45" i="19"/>
  <c r="J45" i="19"/>
  <c r="K45" i="19"/>
  <c r="A46" i="19"/>
  <c r="B46" i="19"/>
  <c r="C46" i="19"/>
  <c r="G46" i="19"/>
  <c r="H46" i="19"/>
  <c r="I46" i="19"/>
  <c r="J46" i="19"/>
  <c r="K46" i="19"/>
  <c r="A47" i="19"/>
  <c r="B47" i="19"/>
  <c r="C47" i="19"/>
  <c r="D47" i="19"/>
  <c r="E47" i="19"/>
  <c r="G47" i="19"/>
  <c r="H47" i="19"/>
  <c r="I47" i="19"/>
  <c r="J47" i="19"/>
  <c r="K47" i="19"/>
  <c r="A48" i="19"/>
  <c r="B48" i="19"/>
  <c r="C48" i="19"/>
  <c r="D48" i="19"/>
  <c r="E48" i="19"/>
  <c r="F48" i="19"/>
  <c r="G48" i="19"/>
  <c r="I48" i="19"/>
  <c r="J48" i="19"/>
  <c r="K48" i="19"/>
  <c r="A49" i="19"/>
  <c r="B49" i="19"/>
  <c r="C49" i="19"/>
  <c r="D49" i="19"/>
  <c r="E49" i="19"/>
  <c r="F49" i="19"/>
  <c r="G49" i="19"/>
  <c r="H49" i="19"/>
  <c r="K49" i="19"/>
  <c r="A50" i="19"/>
  <c r="B50" i="19"/>
  <c r="C50" i="19"/>
  <c r="D50" i="19"/>
  <c r="E50" i="19"/>
  <c r="F50" i="19"/>
  <c r="G50" i="19"/>
  <c r="H50" i="19"/>
  <c r="K50" i="19"/>
  <c r="A51" i="19"/>
  <c r="C51" i="19"/>
  <c r="D51" i="19"/>
  <c r="E51" i="19"/>
  <c r="F51" i="19"/>
  <c r="G51" i="19"/>
  <c r="H51" i="19"/>
  <c r="I51" i="19"/>
  <c r="A52" i="19"/>
  <c r="B52" i="19"/>
  <c r="C52" i="19"/>
  <c r="E52" i="19"/>
  <c r="F52" i="19"/>
  <c r="G52" i="19"/>
  <c r="H52" i="19"/>
  <c r="I52" i="19"/>
  <c r="J52" i="19"/>
  <c r="A53" i="19"/>
  <c r="B53" i="19"/>
  <c r="C53" i="19"/>
  <c r="D53" i="19"/>
  <c r="F53" i="19"/>
  <c r="G53" i="19"/>
  <c r="H53" i="19"/>
  <c r="I53" i="19"/>
  <c r="J53" i="19"/>
  <c r="K53" i="19"/>
  <c r="A54" i="19"/>
  <c r="B54" i="19"/>
  <c r="C54" i="19"/>
  <c r="D54" i="19"/>
  <c r="E54" i="19"/>
  <c r="G54" i="19"/>
  <c r="H54" i="19"/>
  <c r="I54" i="19"/>
  <c r="J54" i="19"/>
  <c r="K54" i="19"/>
  <c r="A55" i="19"/>
  <c r="D55" i="19"/>
  <c r="E55" i="19"/>
  <c r="F55" i="19"/>
  <c r="G55" i="19"/>
  <c r="I55" i="19"/>
  <c r="J55" i="19"/>
  <c r="K55" i="19"/>
  <c r="A56" i="19"/>
  <c r="B56" i="19"/>
  <c r="E56" i="19"/>
  <c r="F56" i="19"/>
  <c r="G56" i="19"/>
  <c r="H56" i="19"/>
  <c r="I56" i="19"/>
  <c r="J56" i="19"/>
  <c r="K56" i="19"/>
  <c r="A57" i="19"/>
  <c r="B57" i="19"/>
  <c r="C57" i="19"/>
  <c r="F57" i="19"/>
  <c r="G57" i="19"/>
  <c r="H57" i="19"/>
  <c r="I57" i="19"/>
  <c r="J57" i="19"/>
  <c r="K57" i="19"/>
  <c r="A58" i="19"/>
  <c r="B58" i="19"/>
  <c r="C58" i="19"/>
  <c r="D58" i="19"/>
  <c r="G58" i="19"/>
  <c r="H58" i="19"/>
  <c r="I58" i="19"/>
  <c r="J58" i="19"/>
  <c r="K58" i="19"/>
  <c r="A59" i="19"/>
  <c r="B59" i="19"/>
  <c r="C59" i="19"/>
  <c r="E59" i="19"/>
  <c r="G59" i="19"/>
  <c r="H59" i="19"/>
  <c r="I59" i="19"/>
  <c r="J59" i="19"/>
  <c r="K59" i="19"/>
  <c r="A60" i="19"/>
  <c r="B60" i="19"/>
  <c r="C60" i="19"/>
  <c r="D60" i="19"/>
  <c r="E60" i="19"/>
  <c r="G60" i="19"/>
  <c r="H60" i="19"/>
  <c r="I60" i="19"/>
  <c r="J60" i="19"/>
  <c r="K60" i="19"/>
  <c r="A61" i="19"/>
  <c r="B61" i="19"/>
  <c r="C61" i="19"/>
  <c r="D61" i="19"/>
  <c r="E61" i="19"/>
  <c r="F61" i="19"/>
  <c r="G61" i="19"/>
  <c r="H61" i="19"/>
  <c r="J61" i="19"/>
  <c r="K61" i="19"/>
  <c r="A62" i="19"/>
  <c r="B62" i="19"/>
  <c r="C62" i="19"/>
  <c r="D62" i="19"/>
  <c r="E62" i="19"/>
  <c r="F62" i="19"/>
  <c r="G62" i="19"/>
  <c r="H62" i="19"/>
  <c r="K62" i="19"/>
  <c r="A63" i="19"/>
  <c r="B63" i="19"/>
  <c r="C63" i="19"/>
  <c r="D63" i="19"/>
  <c r="E63" i="19"/>
  <c r="F63" i="19"/>
  <c r="G63" i="19"/>
  <c r="H63" i="19"/>
  <c r="I63" i="19"/>
  <c r="A64" i="19"/>
  <c r="C64" i="19"/>
  <c r="D64" i="19"/>
  <c r="E64" i="19"/>
  <c r="F64" i="19"/>
  <c r="G64" i="19"/>
  <c r="H64" i="19"/>
  <c r="I64" i="19"/>
  <c r="J64" i="19"/>
  <c r="A65" i="19"/>
  <c r="B65" i="19"/>
  <c r="D65" i="19"/>
  <c r="E65" i="19"/>
  <c r="F65" i="19"/>
  <c r="G65" i="19"/>
  <c r="H65" i="19"/>
  <c r="I65" i="19"/>
  <c r="J65" i="19"/>
  <c r="K65" i="19"/>
  <c r="A66" i="19"/>
  <c r="B66" i="19"/>
  <c r="C66" i="19"/>
  <c r="E66" i="19"/>
  <c r="F66" i="19"/>
  <c r="G66" i="19"/>
  <c r="H66" i="19"/>
  <c r="I66" i="19"/>
  <c r="J66" i="19"/>
  <c r="K66" i="19"/>
  <c r="A67" i="19"/>
  <c r="B67" i="19"/>
  <c r="D67" i="19"/>
  <c r="E67" i="19"/>
  <c r="G67" i="19"/>
  <c r="H67" i="19"/>
  <c r="I67" i="19"/>
  <c r="J67" i="19"/>
  <c r="K67" i="19"/>
  <c r="A68" i="19"/>
  <c r="B68" i="19"/>
  <c r="E68" i="19"/>
  <c r="F68" i="19"/>
  <c r="G68" i="19"/>
  <c r="I68" i="19"/>
  <c r="J68" i="19"/>
  <c r="K68" i="19"/>
  <c r="A69" i="19"/>
  <c r="B69" i="19"/>
  <c r="C69" i="19"/>
  <c r="F69" i="19"/>
  <c r="G69" i="19"/>
  <c r="H69" i="19"/>
  <c r="I69" i="19"/>
  <c r="K69" i="19"/>
  <c r="A70" i="19"/>
  <c r="B70" i="19"/>
  <c r="C70" i="19"/>
  <c r="D70" i="19"/>
  <c r="G70" i="19"/>
  <c r="H70" i="19"/>
  <c r="I70" i="19"/>
  <c r="J70" i="19"/>
  <c r="K70" i="19"/>
  <c r="A71" i="19"/>
  <c r="B71" i="19"/>
  <c r="C71" i="19"/>
  <c r="D71" i="19"/>
  <c r="E71" i="19"/>
  <c r="G71" i="19"/>
  <c r="H71" i="19"/>
  <c r="I71" i="19"/>
  <c r="J71" i="19"/>
  <c r="K71" i="19"/>
  <c r="A72" i="19"/>
  <c r="B72" i="19"/>
  <c r="D72" i="19"/>
  <c r="E72" i="19"/>
  <c r="F72" i="19"/>
  <c r="G72" i="19"/>
  <c r="H72" i="19"/>
  <c r="I72" i="19"/>
  <c r="J72" i="19"/>
  <c r="K72" i="19"/>
  <c r="A73" i="19"/>
  <c r="B73" i="19"/>
  <c r="C73" i="19"/>
  <c r="D73" i="19"/>
  <c r="F73" i="19"/>
  <c r="G73" i="19"/>
  <c r="H73" i="19"/>
  <c r="J73" i="19"/>
  <c r="K73" i="19"/>
  <c r="A74" i="19"/>
  <c r="B74" i="19"/>
  <c r="C74" i="19"/>
  <c r="D74" i="19"/>
  <c r="E74" i="19"/>
  <c r="F74" i="19"/>
  <c r="H74" i="19"/>
  <c r="K74" i="19"/>
  <c r="A75" i="19"/>
  <c r="B75" i="19"/>
  <c r="C75" i="19"/>
  <c r="D75" i="19"/>
  <c r="E75" i="19"/>
  <c r="F75" i="19"/>
  <c r="G75" i="19"/>
  <c r="H75" i="19"/>
  <c r="A76" i="19"/>
  <c r="B76" i="19"/>
  <c r="C76" i="19"/>
  <c r="D76" i="19"/>
  <c r="E76" i="19"/>
  <c r="F76" i="19"/>
  <c r="G76" i="19"/>
  <c r="H76" i="19"/>
  <c r="I76" i="19"/>
  <c r="J76" i="19"/>
  <c r="A77" i="19"/>
  <c r="B77" i="19"/>
  <c r="C77" i="19"/>
  <c r="D77" i="19"/>
  <c r="E77" i="19"/>
  <c r="F77" i="19"/>
  <c r="G77" i="19"/>
  <c r="H77" i="19"/>
  <c r="I77" i="19"/>
  <c r="J77" i="19"/>
  <c r="K77" i="19"/>
  <c r="A78" i="19"/>
  <c r="B78" i="19"/>
  <c r="C78" i="19"/>
  <c r="D78" i="19"/>
  <c r="E78" i="19"/>
  <c r="F78" i="19"/>
  <c r="G78" i="19"/>
  <c r="H78" i="19"/>
  <c r="I78" i="19"/>
  <c r="J78" i="19"/>
  <c r="K78" i="19"/>
  <c r="A79" i="19"/>
  <c r="B79" i="19"/>
  <c r="D79" i="19"/>
  <c r="E79" i="19"/>
  <c r="F79" i="19"/>
  <c r="G79" i="19"/>
  <c r="H79" i="19"/>
  <c r="I79" i="19"/>
  <c r="J79" i="19"/>
  <c r="K79" i="19"/>
  <c r="A80" i="19"/>
  <c r="B80" i="19"/>
  <c r="F80" i="19"/>
  <c r="G80" i="19"/>
  <c r="H80" i="19"/>
  <c r="I80" i="19"/>
  <c r="J80" i="19"/>
  <c r="K80" i="19"/>
  <c r="L80" i="19"/>
  <c r="A81" i="19"/>
  <c r="B81" i="19"/>
  <c r="C81" i="19"/>
  <c r="G81" i="19"/>
  <c r="H81" i="19"/>
  <c r="I81" i="19"/>
  <c r="J81" i="19"/>
  <c r="K81" i="19"/>
  <c r="A82" i="19"/>
  <c r="B82" i="19"/>
  <c r="C82" i="19"/>
  <c r="D82" i="19"/>
  <c r="G82" i="19"/>
  <c r="I82" i="19"/>
  <c r="J82" i="19"/>
  <c r="K82" i="19"/>
  <c r="A83" i="19"/>
  <c r="B83" i="19"/>
  <c r="C83" i="19"/>
  <c r="D83" i="19"/>
  <c r="E83" i="19"/>
  <c r="G83" i="19"/>
  <c r="H83" i="19"/>
  <c r="J83" i="19"/>
  <c r="K83" i="19"/>
  <c r="A84" i="19"/>
  <c r="B84" i="19"/>
  <c r="C84" i="19"/>
  <c r="D84" i="19"/>
  <c r="E84" i="19"/>
  <c r="F84" i="19"/>
  <c r="G84" i="19"/>
  <c r="H84" i="19"/>
  <c r="I84" i="19"/>
  <c r="J84" i="19"/>
  <c r="A85" i="19"/>
  <c r="B85" i="19"/>
  <c r="C85" i="19"/>
  <c r="D85" i="19"/>
  <c r="E85" i="19"/>
  <c r="F85" i="19"/>
  <c r="G85" i="19"/>
  <c r="H85" i="19"/>
  <c r="J85" i="19"/>
  <c r="K85" i="19"/>
  <c r="A86" i="19"/>
  <c r="B86" i="19"/>
  <c r="D86" i="19"/>
  <c r="E86" i="19"/>
  <c r="F86" i="19"/>
  <c r="G86" i="19"/>
  <c r="H86" i="19"/>
  <c r="K86" i="19"/>
  <c r="A87" i="19"/>
  <c r="B87" i="19"/>
  <c r="C87" i="19"/>
  <c r="D87" i="19"/>
  <c r="F87" i="19"/>
  <c r="G87" i="19"/>
  <c r="H87" i="19"/>
  <c r="I87" i="19"/>
  <c r="A88" i="19"/>
  <c r="B88" i="19"/>
  <c r="C88" i="19"/>
  <c r="D88" i="19"/>
  <c r="E88" i="19"/>
  <c r="F88" i="19"/>
  <c r="H88" i="19"/>
  <c r="I88" i="19"/>
  <c r="J88" i="19"/>
  <c r="A89" i="19"/>
  <c r="B89" i="19"/>
  <c r="C89" i="19"/>
  <c r="D89" i="19"/>
  <c r="E89" i="19"/>
  <c r="F89" i="19"/>
  <c r="G89" i="19"/>
  <c r="I89" i="19"/>
  <c r="J89" i="19"/>
  <c r="K89" i="19"/>
  <c r="A90" i="19"/>
  <c r="B90" i="19"/>
  <c r="C90" i="19"/>
  <c r="D90" i="19"/>
  <c r="E90" i="19"/>
  <c r="F90" i="19"/>
  <c r="G90" i="19"/>
  <c r="H90" i="19"/>
  <c r="J90" i="19"/>
  <c r="K90" i="19"/>
  <c r="A91" i="19"/>
  <c r="B91" i="19"/>
  <c r="D91" i="19"/>
  <c r="E91" i="19"/>
  <c r="F91" i="19"/>
  <c r="G91" i="19"/>
  <c r="H91" i="19"/>
  <c r="I91" i="19"/>
  <c r="J91" i="19"/>
  <c r="A92" i="19"/>
  <c r="B92" i="19"/>
  <c r="E92" i="19"/>
  <c r="F92" i="19"/>
  <c r="G92" i="19"/>
  <c r="H92" i="19"/>
  <c r="I92" i="19"/>
  <c r="J92" i="19"/>
  <c r="K92" i="19"/>
  <c r="L92" i="19"/>
  <c r="A93" i="19"/>
  <c r="C93" i="19"/>
  <c r="F93" i="19"/>
  <c r="G93" i="19"/>
  <c r="H93" i="19"/>
  <c r="I93" i="19"/>
  <c r="J93" i="19"/>
  <c r="K93" i="19"/>
  <c r="A94" i="19"/>
  <c r="B94" i="19"/>
  <c r="C94" i="19"/>
  <c r="D94" i="19"/>
  <c r="G94" i="19"/>
  <c r="H94" i="19"/>
  <c r="I94" i="19"/>
  <c r="J94" i="19"/>
  <c r="K94" i="19"/>
  <c r="A95" i="19"/>
  <c r="B95" i="19"/>
  <c r="C95" i="19"/>
  <c r="D95" i="19"/>
  <c r="G95" i="19"/>
  <c r="H95" i="19"/>
  <c r="I95" i="19"/>
  <c r="J95" i="19"/>
  <c r="K95" i="19"/>
  <c r="A96" i="19"/>
  <c r="B96" i="19"/>
  <c r="C96" i="19"/>
  <c r="D96" i="19"/>
  <c r="E96" i="19"/>
  <c r="F96" i="19"/>
  <c r="H96" i="19"/>
  <c r="I96" i="19"/>
  <c r="J96" i="19"/>
  <c r="K96" i="19"/>
  <c r="A97" i="19"/>
  <c r="B97" i="19"/>
  <c r="C97" i="19"/>
  <c r="D97" i="19"/>
  <c r="E97" i="19"/>
  <c r="F97" i="19"/>
  <c r="G97" i="19"/>
  <c r="H97" i="19"/>
  <c r="J97" i="19"/>
  <c r="K97" i="19"/>
  <c r="A98" i="19"/>
  <c r="B98" i="19"/>
  <c r="C98" i="19"/>
  <c r="D98" i="19"/>
  <c r="E98" i="19"/>
  <c r="F98" i="19"/>
  <c r="G98" i="19"/>
  <c r="H98" i="19"/>
  <c r="K98" i="19"/>
  <c r="A99" i="19"/>
  <c r="B99" i="19"/>
  <c r="C99" i="19"/>
  <c r="D99" i="19"/>
  <c r="E99" i="19"/>
  <c r="F99" i="19"/>
  <c r="G99" i="19"/>
  <c r="H99" i="19"/>
  <c r="I99" i="19"/>
  <c r="A100" i="19"/>
  <c r="C100" i="19"/>
  <c r="D100" i="19"/>
  <c r="E100" i="19"/>
  <c r="F100" i="19"/>
  <c r="G100" i="19"/>
  <c r="H100" i="19"/>
  <c r="I100" i="19"/>
  <c r="J100" i="19"/>
  <c r="A101" i="19"/>
  <c r="B101" i="19"/>
  <c r="D101" i="19"/>
  <c r="E101" i="19"/>
  <c r="F101" i="19"/>
  <c r="G101" i="19"/>
  <c r="H101" i="19"/>
  <c r="I101" i="19"/>
  <c r="J101" i="19"/>
  <c r="K101" i="19"/>
  <c r="A102" i="19"/>
  <c r="C102" i="19"/>
  <c r="E102" i="19"/>
  <c r="F102" i="19"/>
  <c r="G102" i="19"/>
  <c r="H102" i="19"/>
  <c r="I102" i="19"/>
  <c r="J102" i="19"/>
  <c r="K102" i="19"/>
  <c r="A103" i="19"/>
  <c r="B103" i="19"/>
  <c r="D103" i="19"/>
  <c r="E103" i="19"/>
  <c r="G103" i="19"/>
  <c r="H103" i="19"/>
  <c r="I103" i="19"/>
  <c r="J103" i="19"/>
  <c r="K103" i="19"/>
  <c r="A104" i="19"/>
  <c r="B104" i="19"/>
  <c r="E104" i="19"/>
  <c r="F104" i="19"/>
  <c r="G104" i="19"/>
  <c r="I104" i="19"/>
  <c r="J104" i="19"/>
  <c r="K104" i="19"/>
  <c r="L104" i="19"/>
  <c r="A105" i="19"/>
  <c r="B105" i="19"/>
  <c r="C105" i="19"/>
  <c r="F105" i="19"/>
  <c r="G105" i="19"/>
  <c r="H105" i="19"/>
  <c r="J105" i="19"/>
  <c r="K105" i="19"/>
  <c r="A106" i="19"/>
  <c r="B106" i="19"/>
  <c r="C106" i="19"/>
  <c r="D106" i="19"/>
  <c r="G106" i="19"/>
  <c r="H106" i="19"/>
  <c r="I106" i="19"/>
  <c r="K106" i="19"/>
  <c r="L106" i="19"/>
  <c r="A107" i="19"/>
  <c r="B107" i="19"/>
  <c r="C107" i="19"/>
  <c r="D107" i="19"/>
  <c r="E107" i="19"/>
  <c r="G107" i="19"/>
  <c r="H107" i="19"/>
  <c r="I107" i="19"/>
  <c r="J107" i="19"/>
  <c r="A108" i="19"/>
  <c r="B108" i="19"/>
  <c r="C108" i="19"/>
  <c r="D108" i="19"/>
  <c r="E108" i="19"/>
  <c r="F108" i="19"/>
  <c r="H108" i="19"/>
  <c r="I108" i="19"/>
  <c r="J108" i="19"/>
  <c r="K108" i="19"/>
  <c r="A109" i="19"/>
  <c r="B109" i="19"/>
  <c r="D109" i="19"/>
  <c r="E109" i="19"/>
  <c r="F109" i="19"/>
  <c r="G109" i="19"/>
  <c r="H109" i="19"/>
  <c r="J109" i="19"/>
  <c r="K109" i="19"/>
  <c r="A110" i="19"/>
  <c r="B110" i="19"/>
  <c r="C110" i="19"/>
  <c r="E110" i="19"/>
  <c r="F110" i="19"/>
  <c r="G110" i="19"/>
  <c r="H110" i="19"/>
  <c r="K110" i="19"/>
  <c r="A111" i="19"/>
  <c r="B111" i="19"/>
  <c r="C111" i="19"/>
  <c r="D111" i="19"/>
  <c r="E111" i="19"/>
  <c r="G111" i="19"/>
  <c r="H111" i="19"/>
  <c r="I111" i="19"/>
  <c r="A112" i="19"/>
  <c r="B112" i="19"/>
  <c r="C112" i="19"/>
  <c r="D112" i="19"/>
  <c r="E112" i="19"/>
  <c r="F112" i="19"/>
  <c r="G112" i="19"/>
  <c r="I112" i="19"/>
  <c r="J112" i="19"/>
  <c r="A113" i="19"/>
  <c r="B113" i="19"/>
  <c r="C113" i="19"/>
  <c r="D113" i="19"/>
  <c r="E113" i="19"/>
  <c r="F113" i="19"/>
  <c r="G113" i="19"/>
  <c r="H113" i="19"/>
  <c r="J113" i="19"/>
  <c r="K113" i="19"/>
  <c r="A114" i="19"/>
  <c r="B114" i="19"/>
  <c r="C114" i="19"/>
  <c r="D114" i="19"/>
  <c r="E114" i="19"/>
  <c r="F114" i="19"/>
  <c r="G114" i="19"/>
  <c r="H114" i="19"/>
  <c r="I114" i="19"/>
  <c r="K114" i="19"/>
  <c r="A115" i="19"/>
  <c r="B115" i="19"/>
  <c r="D115" i="19"/>
  <c r="E115" i="19"/>
  <c r="F115" i="19"/>
  <c r="G115" i="19"/>
  <c r="H115" i="19"/>
  <c r="I115" i="19"/>
  <c r="J115" i="19"/>
  <c r="K115" i="19"/>
  <c r="A116" i="19"/>
  <c r="E116" i="19"/>
  <c r="F116" i="19"/>
  <c r="G116" i="19"/>
  <c r="H116" i="19"/>
  <c r="I116" i="19"/>
  <c r="J116" i="19"/>
  <c r="K116" i="19"/>
  <c r="A117" i="19"/>
  <c r="B117" i="19"/>
  <c r="F117" i="19"/>
  <c r="G117" i="19"/>
  <c r="H117" i="19"/>
  <c r="I117" i="19"/>
  <c r="J117" i="19"/>
  <c r="K117" i="19"/>
  <c r="A118" i="19"/>
  <c r="B118" i="19"/>
  <c r="C118" i="19"/>
  <c r="D118" i="19"/>
  <c r="G118" i="19"/>
  <c r="H118" i="19"/>
  <c r="I118" i="19"/>
  <c r="J118" i="19"/>
  <c r="K118" i="19"/>
  <c r="L118" i="19"/>
  <c r="A119" i="19"/>
  <c r="B119" i="19"/>
  <c r="C119" i="19"/>
  <c r="D119" i="19"/>
  <c r="E119" i="19"/>
  <c r="G119" i="19"/>
  <c r="H119" i="19"/>
  <c r="I119" i="19"/>
  <c r="J119" i="19"/>
  <c r="K119" i="19"/>
  <c r="L119" i="19"/>
  <c r="A120" i="19"/>
  <c r="B120" i="19"/>
  <c r="C120" i="19"/>
  <c r="D120" i="19"/>
  <c r="E120" i="19"/>
  <c r="F120" i="19"/>
  <c r="G120" i="19"/>
  <c r="I120" i="19"/>
  <c r="J120" i="19"/>
  <c r="K120" i="19"/>
  <c r="A121" i="19"/>
  <c r="B121" i="19"/>
  <c r="C121" i="19"/>
  <c r="D121" i="19"/>
  <c r="E121" i="19"/>
  <c r="F121" i="19"/>
  <c r="G121" i="19"/>
  <c r="H121" i="19"/>
  <c r="J121" i="19"/>
  <c r="K121" i="19"/>
  <c r="A122" i="19"/>
  <c r="B122" i="19"/>
  <c r="C122" i="19"/>
  <c r="D122" i="19"/>
  <c r="E122" i="19"/>
  <c r="F122" i="19"/>
  <c r="G122" i="19"/>
  <c r="H122" i="19"/>
  <c r="L122" i="19"/>
  <c r="A123" i="19"/>
  <c r="B123" i="19"/>
  <c r="C123" i="19"/>
  <c r="D123" i="19"/>
  <c r="E123" i="19"/>
  <c r="F123" i="19"/>
  <c r="G123" i="19"/>
  <c r="H123" i="19"/>
  <c r="I123" i="19"/>
  <c r="L123" i="19"/>
  <c r="A124" i="19"/>
  <c r="B124" i="19"/>
  <c r="D124" i="19"/>
  <c r="E124" i="19"/>
  <c r="F124" i="19"/>
  <c r="G124" i="19"/>
  <c r="H124" i="19"/>
  <c r="I124" i="19"/>
  <c r="J124" i="19"/>
  <c r="A125" i="19"/>
  <c r="B125" i="19"/>
  <c r="C125" i="19"/>
  <c r="E125" i="19"/>
  <c r="F125" i="19"/>
  <c r="G125" i="19"/>
  <c r="H125" i="19"/>
  <c r="I125" i="19"/>
  <c r="J125" i="19"/>
  <c r="K125" i="19"/>
  <c r="A126" i="19"/>
  <c r="B126" i="19"/>
  <c r="C126" i="19"/>
  <c r="D126" i="19"/>
  <c r="F126" i="19"/>
  <c r="G126" i="19"/>
  <c r="H126" i="19"/>
  <c r="I126" i="19"/>
  <c r="J126" i="19"/>
  <c r="K126" i="19"/>
  <c r="L126" i="19"/>
  <c r="A127" i="19"/>
  <c r="B127" i="19"/>
  <c r="D127" i="19"/>
  <c r="E127" i="19"/>
  <c r="F127" i="19"/>
  <c r="H127" i="19"/>
  <c r="I127" i="19"/>
  <c r="J127" i="19"/>
  <c r="K127" i="19"/>
  <c r="L127" i="19"/>
  <c r="A128" i="19"/>
  <c r="B128" i="19"/>
  <c r="E128" i="19"/>
  <c r="F128" i="19"/>
  <c r="G128" i="19"/>
  <c r="H128" i="19"/>
  <c r="J128" i="19"/>
  <c r="K128" i="19"/>
  <c r="A129" i="19"/>
  <c r="B129" i="19"/>
  <c r="C129" i="19"/>
  <c r="F129" i="19"/>
  <c r="G129" i="19"/>
  <c r="H129" i="19"/>
  <c r="I129" i="19"/>
  <c r="K129" i="19"/>
  <c r="L129" i="19"/>
  <c r="A130" i="19"/>
  <c r="B130" i="19"/>
  <c r="C130" i="19"/>
  <c r="D130" i="19"/>
  <c r="G130" i="19"/>
  <c r="H130" i="19"/>
  <c r="I130" i="19"/>
  <c r="J130" i="19"/>
  <c r="L130" i="19"/>
  <c r="A131" i="19"/>
  <c r="B131" i="19"/>
  <c r="C131" i="19"/>
  <c r="D131" i="19"/>
  <c r="E131" i="19"/>
  <c r="G131" i="19"/>
  <c r="H131" i="19"/>
  <c r="I131" i="19"/>
  <c r="J131" i="19"/>
  <c r="K131" i="19"/>
  <c r="L131" i="19"/>
  <c r="A132" i="19"/>
  <c r="C132" i="19"/>
  <c r="D132" i="19"/>
  <c r="E132" i="19"/>
  <c r="F132" i="19"/>
  <c r="G132" i="19"/>
  <c r="I132" i="19"/>
  <c r="J132" i="19"/>
  <c r="K132" i="19"/>
  <c r="L132" i="19"/>
  <c r="A133" i="19"/>
  <c r="B133" i="19"/>
  <c r="C133" i="19"/>
  <c r="E133" i="19"/>
  <c r="F133" i="19"/>
  <c r="G133" i="19"/>
  <c r="H133" i="19"/>
  <c r="J133" i="19"/>
  <c r="K133" i="19"/>
  <c r="L133" i="19"/>
  <c r="A134" i="19"/>
  <c r="B134" i="19"/>
  <c r="C134" i="19"/>
  <c r="D134" i="19"/>
  <c r="F134" i="19"/>
  <c r="G134" i="19"/>
  <c r="H134" i="19"/>
  <c r="K134" i="19"/>
  <c r="L134" i="19"/>
  <c r="A135" i="19"/>
  <c r="B135" i="19"/>
  <c r="C135" i="19"/>
  <c r="D135" i="19"/>
  <c r="E135" i="19"/>
  <c r="F135" i="19"/>
  <c r="H135" i="19"/>
  <c r="I135" i="19"/>
  <c r="L135" i="19"/>
  <c r="A136" i="19"/>
  <c r="B136" i="19"/>
  <c r="C136" i="19"/>
  <c r="D136" i="19"/>
  <c r="E136" i="19"/>
  <c r="F136" i="19"/>
  <c r="G136" i="19"/>
  <c r="H136" i="19"/>
  <c r="J136" i="19"/>
  <c r="A137" i="19"/>
  <c r="B137" i="19"/>
  <c r="C137" i="19"/>
  <c r="D137" i="19"/>
  <c r="E137" i="19"/>
  <c r="F137" i="19"/>
  <c r="G137" i="19"/>
  <c r="H137" i="19"/>
  <c r="I137" i="19"/>
  <c r="K137" i="19"/>
  <c r="L137" i="19"/>
  <c r="A138" i="19"/>
  <c r="B138" i="19"/>
  <c r="C138" i="19"/>
  <c r="D138" i="19"/>
  <c r="E138" i="19"/>
  <c r="F138" i="19"/>
  <c r="G138" i="19"/>
  <c r="H138" i="19"/>
  <c r="I138" i="19"/>
  <c r="J138" i="19"/>
  <c r="L138" i="19"/>
  <c r="A139" i="19"/>
  <c r="B139" i="19"/>
  <c r="D139" i="19"/>
  <c r="E139" i="19"/>
  <c r="F139" i="19"/>
  <c r="G139" i="19"/>
  <c r="H139" i="19"/>
  <c r="I139" i="19"/>
  <c r="J139" i="19"/>
  <c r="K139" i="19"/>
  <c r="L139" i="19"/>
  <c r="A140" i="19"/>
  <c r="B140" i="19"/>
  <c r="D140" i="19"/>
  <c r="E140" i="19"/>
  <c r="F140" i="19"/>
  <c r="G140" i="19"/>
  <c r="H140" i="19"/>
  <c r="I140" i="19"/>
  <c r="J140" i="19"/>
  <c r="K140" i="19"/>
  <c r="A141" i="19"/>
  <c r="B141" i="19"/>
  <c r="C141" i="19"/>
  <c r="E141" i="19"/>
  <c r="F141" i="19"/>
  <c r="G141" i="19"/>
  <c r="H141" i="19"/>
  <c r="I141" i="19"/>
  <c r="J141" i="19"/>
  <c r="K141" i="19"/>
  <c r="L141" i="19"/>
  <c r="A142" i="19"/>
  <c r="B142" i="19"/>
  <c r="C142" i="19"/>
  <c r="D142" i="19"/>
  <c r="E142" i="19"/>
  <c r="G142" i="19"/>
  <c r="H142" i="19"/>
  <c r="I142" i="19"/>
  <c r="J142" i="19"/>
  <c r="K142" i="19"/>
  <c r="L142" i="19"/>
  <c r="A143" i="19"/>
  <c r="B143" i="19"/>
  <c r="C143" i="19"/>
  <c r="D143" i="19"/>
  <c r="E143" i="19"/>
  <c r="F143" i="19"/>
  <c r="H143" i="19"/>
  <c r="I143" i="19"/>
  <c r="J143" i="19"/>
  <c r="K143" i="19"/>
  <c r="L143" i="19"/>
  <c r="A144" i="19"/>
  <c r="B144" i="19"/>
  <c r="C144" i="19"/>
  <c r="D144" i="19"/>
  <c r="E144" i="19"/>
  <c r="F144" i="19"/>
  <c r="G144" i="19"/>
  <c r="H144" i="19"/>
  <c r="J144" i="19"/>
  <c r="K144" i="19"/>
  <c r="L144" i="19"/>
  <c r="A145" i="19"/>
  <c r="B145" i="19"/>
  <c r="C145" i="19"/>
  <c r="D145" i="19"/>
  <c r="E145" i="19"/>
  <c r="F145" i="19"/>
  <c r="G145" i="19"/>
  <c r="H145" i="19"/>
  <c r="J145" i="19"/>
  <c r="L145" i="19"/>
  <c r="A146" i="19"/>
  <c r="B146" i="19"/>
  <c r="C146" i="19"/>
  <c r="D146" i="19"/>
  <c r="E146" i="19"/>
  <c r="F146" i="19"/>
  <c r="G146" i="19"/>
  <c r="H146" i="19"/>
  <c r="K146" i="19"/>
  <c r="L146" i="19"/>
  <c r="A147" i="19"/>
  <c r="B147" i="19"/>
  <c r="C147" i="19"/>
  <c r="D147" i="19"/>
  <c r="E147" i="19"/>
  <c r="F147" i="19"/>
  <c r="G147" i="19"/>
  <c r="H147" i="19"/>
  <c r="I147" i="19"/>
  <c r="K147" i="19"/>
  <c r="A148" i="19"/>
  <c r="B148" i="19"/>
  <c r="C148" i="19"/>
  <c r="E148" i="19"/>
  <c r="F148" i="19"/>
  <c r="G148" i="19"/>
  <c r="H148" i="19"/>
  <c r="I148" i="19"/>
  <c r="J148" i="19"/>
  <c r="K148" i="19"/>
  <c r="A149" i="19"/>
  <c r="B149" i="19"/>
  <c r="C149" i="19"/>
  <c r="D149" i="19"/>
  <c r="F149" i="19"/>
  <c r="G149" i="19"/>
  <c r="H149" i="19"/>
  <c r="I149" i="19"/>
  <c r="J149" i="19"/>
  <c r="K149" i="19"/>
  <c r="L149" i="19"/>
  <c r="A150" i="19"/>
  <c r="B150" i="19"/>
  <c r="C150" i="19"/>
  <c r="D150" i="19"/>
  <c r="E150" i="19"/>
  <c r="G150" i="19"/>
  <c r="H150" i="19"/>
  <c r="I150" i="19"/>
  <c r="J150" i="19"/>
  <c r="K150" i="19"/>
  <c r="L150" i="19"/>
  <c r="A151" i="19"/>
  <c r="C151" i="19"/>
  <c r="D151" i="19"/>
  <c r="E151" i="19"/>
  <c r="F151" i="19"/>
  <c r="G151" i="19"/>
  <c r="I151" i="19"/>
  <c r="J151" i="19"/>
  <c r="K151" i="19"/>
  <c r="L151" i="19"/>
  <c r="A152" i="19"/>
  <c r="B152" i="19"/>
  <c r="C152" i="19"/>
  <c r="E152" i="19"/>
  <c r="F152" i="19"/>
  <c r="G152" i="19"/>
  <c r="H152" i="19"/>
  <c r="I152" i="19"/>
  <c r="K152" i="19"/>
  <c r="L152" i="19"/>
  <c r="A153" i="19"/>
  <c r="B153" i="19"/>
  <c r="C153" i="19"/>
  <c r="D153" i="19"/>
  <c r="F153" i="19"/>
  <c r="G153" i="19"/>
  <c r="H153" i="19"/>
  <c r="I153" i="19"/>
  <c r="J153" i="19"/>
  <c r="L153" i="19"/>
  <c r="A154" i="19"/>
  <c r="B154" i="19"/>
  <c r="C154" i="19"/>
  <c r="D154" i="19"/>
  <c r="E154" i="19"/>
  <c r="F154" i="19"/>
  <c r="G154" i="19"/>
  <c r="H154" i="19"/>
  <c r="I154" i="19"/>
  <c r="J154" i="19"/>
  <c r="K154" i="19"/>
  <c r="L154" i="19"/>
  <c r="A155" i="19"/>
  <c r="C155" i="19"/>
  <c r="D155" i="19"/>
  <c r="E155" i="19"/>
  <c r="F155" i="19"/>
  <c r="G155" i="19"/>
  <c r="H155" i="19"/>
  <c r="I155" i="19"/>
  <c r="J155" i="19"/>
  <c r="K155" i="19"/>
  <c r="A156" i="19"/>
  <c r="B156" i="19"/>
  <c r="C156" i="19"/>
  <c r="E156" i="19"/>
  <c r="F156" i="19"/>
  <c r="G156" i="19"/>
  <c r="H156" i="19"/>
  <c r="I156" i="19"/>
  <c r="J156" i="19"/>
  <c r="K156" i="19"/>
  <c r="L156" i="19"/>
  <c r="A157" i="19"/>
  <c r="B157" i="19"/>
  <c r="C157" i="19"/>
  <c r="D157" i="19"/>
  <c r="E157" i="19"/>
  <c r="F157" i="19"/>
  <c r="G157" i="19"/>
  <c r="H157" i="19"/>
  <c r="I157" i="19"/>
  <c r="J157" i="19"/>
  <c r="K157" i="19"/>
  <c r="L157" i="19"/>
  <c r="A158" i="19"/>
  <c r="B158" i="19"/>
  <c r="C158" i="19"/>
  <c r="D158" i="19"/>
  <c r="E158" i="19"/>
  <c r="F158" i="19"/>
  <c r="H158" i="19"/>
  <c r="I158" i="19"/>
  <c r="J158" i="19"/>
  <c r="K158" i="19"/>
  <c r="L158" i="19"/>
  <c r="A159" i="19"/>
  <c r="B159" i="19"/>
  <c r="C159" i="19"/>
  <c r="D159" i="19"/>
  <c r="E159" i="19"/>
  <c r="F159" i="19"/>
  <c r="G159" i="19"/>
  <c r="H159" i="19"/>
  <c r="J159" i="19"/>
  <c r="K159" i="19"/>
  <c r="L159" i="19"/>
  <c r="A160" i="19"/>
  <c r="B160" i="19"/>
  <c r="C160" i="19"/>
  <c r="D160" i="19"/>
  <c r="E160" i="19"/>
  <c r="F160" i="19"/>
  <c r="G160" i="19"/>
  <c r="H160" i="19"/>
  <c r="I160" i="19"/>
  <c r="J160" i="19"/>
  <c r="L160" i="19"/>
  <c r="A161" i="19"/>
  <c r="B161" i="19"/>
  <c r="C161" i="19"/>
  <c r="D161" i="19"/>
  <c r="E161" i="19"/>
  <c r="F161" i="19"/>
  <c r="G161" i="19"/>
  <c r="H161" i="19"/>
  <c r="I161" i="19"/>
  <c r="J161" i="19"/>
  <c r="K161" i="19"/>
  <c r="A162" i="19"/>
  <c r="B162" i="19"/>
  <c r="C162" i="19"/>
  <c r="D162" i="19"/>
  <c r="E162" i="19"/>
  <c r="F162" i="19"/>
  <c r="G162" i="19"/>
  <c r="H162" i="19"/>
  <c r="I162" i="19"/>
  <c r="J162" i="19"/>
  <c r="K162" i="19"/>
  <c r="L162" i="19"/>
  <c r="A163" i="19"/>
  <c r="B163" i="19"/>
  <c r="D163" i="19"/>
  <c r="E163" i="19"/>
  <c r="F163" i="19"/>
  <c r="G163" i="19"/>
  <c r="H163" i="19"/>
  <c r="I163" i="19"/>
  <c r="J163" i="19"/>
  <c r="K163" i="19"/>
  <c r="L163" i="19"/>
  <c r="A164" i="19"/>
  <c r="B164" i="19"/>
  <c r="C164" i="19"/>
  <c r="D164" i="19"/>
  <c r="F164" i="19"/>
  <c r="G164" i="19"/>
  <c r="H164" i="19"/>
  <c r="I164" i="19"/>
  <c r="J164" i="19"/>
  <c r="K164" i="19"/>
  <c r="L164" i="19"/>
  <c r="A165" i="19"/>
  <c r="B165" i="19"/>
  <c r="C165" i="19"/>
  <c r="D165" i="19"/>
  <c r="F165" i="19"/>
  <c r="H165" i="19"/>
  <c r="I165" i="19"/>
  <c r="J165" i="19"/>
  <c r="K165" i="19"/>
  <c r="L165" i="19"/>
  <c r="A166" i="19"/>
  <c r="B166" i="19"/>
  <c r="C166" i="19"/>
  <c r="D166" i="19"/>
  <c r="E166" i="19"/>
  <c r="F166" i="19"/>
  <c r="G166" i="19"/>
  <c r="H166" i="19"/>
  <c r="I166" i="19"/>
  <c r="J166" i="19"/>
  <c r="K166" i="19"/>
  <c r="A167" i="19"/>
  <c r="B167" i="19"/>
  <c r="C167" i="19"/>
  <c r="D167" i="19"/>
  <c r="E167" i="19"/>
  <c r="F167" i="19"/>
  <c r="G167" i="19"/>
  <c r="H167" i="19"/>
  <c r="I167" i="19"/>
  <c r="K167" i="19"/>
  <c r="L167" i="19"/>
  <c r="A168" i="19"/>
  <c r="B168" i="19"/>
  <c r="C168" i="19"/>
  <c r="D168" i="19"/>
  <c r="E168" i="19"/>
  <c r="F168" i="19"/>
  <c r="G168" i="19"/>
  <c r="H168" i="19"/>
  <c r="I168" i="19"/>
  <c r="J168" i="19"/>
  <c r="K168" i="19"/>
  <c r="L168" i="19"/>
  <c r="A169" i="19"/>
  <c r="C169" i="19"/>
  <c r="D169" i="19"/>
  <c r="E169" i="19"/>
  <c r="F169" i="19"/>
  <c r="G169" i="19"/>
  <c r="I169" i="19"/>
  <c r="J169" i="19"/>
  <c r="K169" i="19"/>
  <c r="A170" i="19"/>
  <c r="B170" i="19"/>
  <c r="D170" i="19"/>
  <c r="E170" i="19"/>
  <c r="F170" i="19"/>
  <c r="G170" i="19"/>
  <c r="H170" i="19"/>
  <c r="J170" i="19"/>
  <c r="K170" i="19"/>
  <c r="L170" i="19"/>
  <c r="A171" i="19"/>
  <c r="B171" i="19"/>
  <c r="C171" i="19"/>
  <c r="D171" i="19"/>
  <c r="F171" i="19"/>
  <c r="G171" i="19"/>
  <c r="H171" i="19"/>
  <c r="I171" i="19"/>
  <c r="J171" i="19"/>
  <c r="L171" i="19"/>
  <c r="A172" i="19"/>
  <c r="B172" i="19"/>
  <c r="C172" i="19"/>
  <c r="D172" i="19"/>
  <c r="E172" i="19"/>
  <c r="F172" i="19"/>
  <c r="H172" i="19"/>
  <c r="I172" i="19"/>
  <c r="J172" i="19"/>
  <c r="K172" i="19"/>
  <c r="A173" i="19"/>
  <c r="B173" i="19"/>
  <c r="C173" i="19"/>
  <c r="D173" i="19"/>
  <c r="E173" i="19"/>
  <c r="F173" i="19"/>
  <c r="G173" i="19"/>
  <c r="I173" i="19"/>
  <c r="J173" i="19"/>
  <c r="K173" i="19"/>
  <c r="A174" i="19"/>
  <c r="B174" i="19"/>
  <c r="C174" i="19"/>
  <c r="D174" i="19"/>
  <c r="E174" i="19"/>
  <c r="F174" i="19"/>
  <c r="G174" i="19"/>
  <c r="H174" i="19"/>
  <c r="J174" i="19"/>
  <c r="K174" i="19"/>
  <c r="L174" i="19"/>
  <c r="A175" i="19"/>
  <c r="B175" i="19"/>
  <c r="C175" i="19"/>
  <c r="D175" i="19"/>
  <c r="E175" i="19"/>
  <c r="F175" i="19"/>
  <c r="G175" i="19"/>
  <c r="H175" i="19"/>
  <c r="I175" i="19"/>
  <c r="J175" i="19"/>
  <c r="L175" i="19"/>
  <c r="A176" i="19"/>
  <c r="B176" i="19"/>
  <c r="C176" i="19"/>
  <c r="D176" i="19"/>
  <c r="E176" i="19"/>
  <c r="F176" i="19"/>
  <c r="G176" i="19"/>
  <c r="H176" i="19"/>
  <c r="I176" i="19"/>
  <c r="J176" i="19"/>
  <c r="K176" i="19"/>
  <c r="L176" i="19"/>
  <c r="A177" i="19"/>
  <c r="B177" i="19"/>
  <c r="D177" i="19"/>
  <c r="E177" i="19"/>
  <c r="F177" i="19"/>
  <c r="G177" i="19"/>
  <c r="H177" i="19"/>
  <c r="I177" i="19"/>
  <c r="J177" i="19"/>
  <c r="K177" i="19"/>
  <c r="L177" i="19"/>
  <c r="A178" i="19"/>
  <c r="B178" i="19"/>
  <c r="C178" i="19"/>
  <c r="D178" i="19"/>
  <c r="F178" i="19"/>
  <c r="G178" i="19"/>
  <c r="H178" i="19"/>
  <c r="I178" i="19"/>
  <c r="J178" i="19"/>
  <c r="K178" i="19"/>
  <c r="L178" i="19"/>
  <c r="A179" i="19"/>
  <c r="B179" i="19"/>
  <c r="C179" i="19"/>
  <c r="D179" i="19"/>
  <c r="E179" i="19"/>
  <c r="G179" i="19"/>
  <c r="H179" i="19"/>
  <c r="I179" i="19"/>
  <c r="J179" i="19"/>
  <c r="K179" i="19"/>
  <c r="L179" i="19"/>
  <c r="A180" i="19"/>
  <c r="B180" i="19"/>
  <c r="C180" i="19"/>
  <c r="D180" i="19"/>
  <c r="E180" i="19"/>
  <c r="F180" i="19"/>
  <c r="G180" i="19"/>
  <c r="I180" i="19"/>
  <c r="J180" i="19"/>
  <c r="K180" i="19"/>
  <c r="L180" i="19"/>
  <c r="A181" i="19"/>
  <c r="B181" i="19"/>
  <c r="C181" i="19"/>
  <c r="D181" i="19"/>
  <c r="E181" i="19"/>
  <c r="F181" i="19"/>
  <c r="G181" i="19"/>
  <c r="H181" i="19"/>
  <c r="I181" i="19"/>
  <c r="K181" i="19"/>
  <c r="L181" i="19"/>
  <c r="A182" i="19"/>
  <c r="B182" i="19"/>
  <c r="C182" i="19"/>
  <c r="D182" i="19"/>
  <c r="E182" i="19"/>
  <c r="F182" i="19"/>
  <c r="G182" i="19"/>
  <c r="H182" i="19"/>
  <c r="I182" i="19"/>
  <c r="J182" i="19"/>
  <c r="L182" i="19"/>
  <c r="A183" i="19"/>
  <c r="B183" i="19"/>
  <c r="C183" i="19"/>
  <c r="D183" i="19"/>
  <c r="E183" i="19"/>
  <c r="F183" i="19"/>
  <c r="G183" i="19"/>
  <c r="H183" i="19"/>
  <c r="I183" i="19"/>
  <c r="J183" i="19"/>
  <c r="K183" i="19"/>
  <c r="L183" i="19"/>
  <c r="A184" i="19"/>
  <c r="B184" i="19"/>
  <c r="D184" i="19"/>
  <c r="E184" i="19"/>
  <c r="F184" i="19"/>
  <c r="G184" i="19"/>
  <c r="H184" i="19"/>
  <c r="I184" i="19"/>
  <c r="J184" i="19"/>
  <c r="K184" i="19"/>
  <c r="A185" i="19"/>
  <c r="B185" i="19"/>
  <c r="C185" i="19"/>
  <c r="E185" i="19"/>
  <c r="F185" i="19"/>
  <c r="G185" i="19"/>
  <c r="H185" i="19"/>
  <c r="I185" i="19"/>
  <c r="J185" i="19"/>
  <c r="K185" i="19"/>
  <c r="A186" i="19"/>
  <c r="B186" i="19"/>
  <c r="C186" i="19"/>
  <c r="D186" i="19"/>
  <c r="F186" i="19"/>
  <c r="G186" i="19"/>
  <c r="H186" i="19"/>
  <c r="I186" i="19"/>
  <c r="J186" i="19"/>
  <c r="K186" i="19"/>
  <c r="L186" i="19"/>
  <c r="A187" i="19"/>
  <c r="B187" i="19"/>
  <c r="C187" i="19"/>
  <c r="D187" i="19"/>
  <c r="E187" i="19"/>
  <c r="F187" i="19"/>
  <c r="H187" i="19"/>
  <c r="I187" i="19"/>
  <c r="J187" i="19"/>
  <c r="K187" i="19"/>
  <c r="L187" i="19"/>
  <c r="A188" i="19"/>
  <c r="B188" i="19"/>
  <c r="D188" i="19"/>
  <c r="E188" i="19"/>
  <c r="F188" i="19"/>
  <c r="G188" i="19"/>
  <c r="H188" i="19"/>
  <c r="J188" i="19"/>
  <c r="K188" i="19"/>
  <c r="L188" i="19"/>
  <c r="A189" i="19"/>
  <c r="B189" i="19"/>
  <c r="C189" i="19"/>
  <c r="D189" i="19"/>
  <c r="F189" i="19"/>
  <c r="G189" i="19"/>
  <c r="H189" i="19"/>
  <c r="I189" i="19"/>
  <c r="J189" i="19"/>
  <c r="L189" i="19"/>
  <c r="A190" i="19"/>
  <c r="B190" i="19"/>
  <c r="C190" i="19"/>
  <c r="D190" i="19"/>
  <c r="E190" i="19"/>
  <c r="F190" i="19"/>
  <c r="G190" i="19"/>
  <c r="H190" i="19"/>
  <c r="I190" i="19"/>
  <c r="J190" i="19"/>
  <c r="K190" i="19"/>
  <c r="L190" i="19"/>
  <c r="A191" i="19"/>
  <c r="C191" i="19"/>
  <c r="D191" i="19"/>
  <c r="E191" i="19"/>
  <c r="F191" i="19"/>
  <c r="G191" i="19"/>
  <c r="H191" i="19"/>
  <c r="I191" i="19"/>
  <c r="J191" i="19"/>
  <c r="K191" i="19"/>
  <c r="A192" i="19"/>
  <c r="B192" i="19"/>
  <c r="C192" i="19"/>
  <c r="D192" i="19"/>
  <c r="E192" i="19"/>
  <c r="F192" i="19"/>
  <c r="G192" i="19"/>
  <c r="H192" i="19"/>
  <c r="I192" i="19"/>
  <c r="J192" i="19"/>
  <c r="K192" i="19"/>
  <c r="L192" i="19"/>
  <c r="A193" i="19"/>
  <c r="B193" i="19"/>
  <c r="C193" i="19"/>
  <c r="D193" i="19"/>
  <c r="E193" i="19"/>
  <c r="G193" i="19"/>
  <c r="H193" i="19"/>
  <c r="I193" i="19"/>
  <c r="J193" i="19"/>
  <c r="K193" i="19"/>
  <c r="L193" i="19"/>
  <c r="A194" i="19"/>
  <c r="B194" i="19"/>
  <c r="C194" i="19"/>
  <c r="D194" i="19"/>
  <c r="E194" i="19"/>
  <c r="F194" i="19"/>
  <c r="H194" i="19"/>
  <c r="I194" i="19"/>
  <c r="J194" i="19"/>
  <c r="K194" i="19"/>
  <c r="L194" i="19"/>
  <c r="A195" i="19"/>
  <c r="B195" i="19"/>
  <c r="C195" i="19"/>
  <c r="D195" i="19"/>
  <c r="E195" i="19"/>
  <c r="F195" i="19"/>
  <c r="G195" i="19"/>
  <c r="H195" i="19"/>
  <c r="J195" i="19"/>
  <c r="K195" i="19"/>
  <c r="L195" i="19"/>
  <c r="A196" i="19"/>
  <c r="B196" i="19"/>
  <c r="C196" i="19"/>
  <c r="D196" i="19"/>
  <c r="E196" i="19"/>
  <c r="F196" i="19"/>
  <c r="G196" i="19"/>
  <c r="H196" i="19"/>
  <c r="I196" i="19"/>
  <c r="J196" i="19"/>
  <c r="L196" i="19"/>
  <c r="A197" i="19"/>
  <c r="B197" i="19"/>
  <c r="C197" i="19"/>
  <c r="D197" i="19"/>
  <c r="E197" i="19"/>
  <c r="F197" i="19"/>
  <c r="G197" i="19"/>
  <c r="H197" i="19"/>
  <c r="I197" i="19"/>
  <c r="J197" i="19"/>
  <c r="K197" i="19"/>
  <c r="A198" i="19"/>
  <c r="B198" i="19"/>
  <c r="C198" i="19"/>
  <c r="D198" i="19"/>
  <c r="E198" i="19"/>
  <c r="F198" i="19"/>
  <c r="G198" i="19"/>
  <c r="H198" i="19"/>
  <c r="I198" i="19"/>
  <c r="J198" i="19"/>
  <c r="K198" i="19"/>
  <c r="L198" i="19"/>
  <c r="A199" i="19"/>
  <c r="B199" i="19"/>
  <c r="D199" i="19"/>
  <c r="E199" i="19"/>
  <c r="F199" i="19"/>
  <c r="G199" i="19"/>
  <c r="H199" i="19"/>
  <c r="I199" i="19"/>
  <c r="J199" i="19"/>
  <c r="K199" i="19"/>
  <c r="A200" i="19"/>
  <c r="B200" i="19"/>
  <c r="C200" i="19"/>
  <c r="D200" i="19"/>
  <c r="F200" i="19"/>
  <c r="G200" i="19"/>
  <c r="H200" i="19"/>
  <c r="I200" i="19"/>
  <c r="J200" i="19"/>
  <c r="K200" i="19"/>
  <c r="A3" i="19"/>
  <c r="C3" i="19"/>
  <c r="H3" i="19"/>
  <c r="I3" i="19"/>
  <c r="A4" i="19"/>
  <c r="B4" i="19"/>
  <c r="C4" i="19"/>
  <c r="D4" i="19"/>
  <c r="E4" i="19"/>
  <c r="F4" i="19"/>
  <c r="G4" i="19"/>
  <c r="H4" i="19"/>
  <c r="I4" i="19"/>
  <c r="J4" i="19"/>
  <c r="A5" i="19"/>
  <c r="B5" i="19"/>
  <c r="C5" i="19"/>
  <c r="D5" i="19"/>
  <c r="E5" i="19"/>
  <c r="F5" i="19"/>
  <c r="G5" i="19"/>
  <c r="H5" i="19"/>
  <c r="I5" i="19"/>
  <c r="J5" i="19"/>
  <c r="K5" i="19"/>
  <c r="A6" i="19"/>
  <c r="B6" i="19"/>
  <c r="C6" i="19"/>
  <c r="D6" i="19"/>
  <c r="E6" i="19"/>
  <c r="F6" i="19"/>
  <c r="G6" i="19"/>
  <c r="H6" i="19"/>
  <c r="I6" i="19"/>
  <c r="J6" i="19"/>
  <c r="K6" i="19"/>
  <c r="A7" i="19"/>
  <c r="B7" i="19"/>
  <c r="D7" i="19"/>
  <c r="E7" i="19"/>
  <c r="F7" i="19"/>
  <c r="G7" i="19"/>
  <c r="H7" i="19"/>
  <c r="I7" i="19"/>
  <c r="J7" i="19"/>
  <c r="K7" i="19"/>
  <c r="A8" i="19"/>
  <c r="B8" i="19"/>
  <c r="D8" i="19"/>
  <c r="F8" i="19"/>
  <c r="G8" i="19"/>
  <c r="H8" i="19"/>
  <c r="I8" i="19"/>
  <c r="J8" i="19"/>
  <c r="K8" i="19"/>
  <c r="A9" i="19"/>
  <c r="B9" i="19"/>
  <c r="C9" i="19"/>
  <c r="D9" i="19"/>
  <c r="E9" i="19"/>
  <c r="F9" i="19"/>
  <c r="H9" i="19"/>
  <c r="I9" i="19"/>
  <c r="J9" i="19"/>
  <c r="K9" i="19"/>
  <c r="A10" i="19"/>
  <c r="B10" i="19"/>
  <c r="C10" i="19"/>
  <c r="D10" i="19"/>
  <c r="E10" i="19"/>
  <c r="F10" i="19"/>
  <c r="G10" i="19"/>
  <c r="H10" i="19"/>
  <c r="J10" i="19"/>
  <c r="K10" i="19"/>
  <c r="A11" i="19"/>
  <c r="B11" i="19"/>
  <c r="C11" i="19"/>
  <c r="D11" i="19"/>
  <c r="E11" i="19"/>
  <c r="F11" i="19"/>
  <c r="G11" i="19"/>
  <c r="H11" i="19"/>
  <c r="I11" i="19"/>
  <c r="J11" i="19"/>
  <c r="A12" i="19"/>
  <c r="B12" i="19"/>
  <c r="C12" i="19"/>
  <c r="D12" i="19"/>
  <c r="E12" i="19"/>
  <c r="F12" i="19"/>
  <c r="G12" i="19"/>
  <c r="H12" i="19"/>
  <c r="I12" i="19"/>
  <c r="J12" i="19"/>
  <c r="K12" i="19"/>
  <c r="A13" i="19"/>
  <c r="B13" i="19"/>
  <c r="D13" i="19"/>
  <c r="E13" i="19"/>
  <c r="F13" i="19"/>
  <c r="G13" i="19"/>
  <c r="H13" i="19"/>
  <c r="I13" i="19"/>
  <c r="J13" i="19"/>
  <c r="K13" i="19"/>
  <c r="A14" i="19"/>
  <c r="B14" i="19"/>
  <c r="C14" i="19"/>
  <c r="D14" i="19"/>
  <c r="F14" i="19"/>
  <c r="G14" i="19"/>
  <c r="H14" i="19"/>
  <c r="I14" i="19"/>
  <c r="J14" i="19"/>
  <c r="K14" i="19"/>
  <c r="A15" i="19"/>
  <c r="B15" i="19"/>
  <c r="C15" i="19"/>
  <c r="D15" i="19"/>
  <c r="E15" i="19"/>
  <c r="F15" i="19"/>
  <c r="H15" i="19"/>
  <c r="I15" i="19"/>
  <c r="J15" i="19"/>
  <c r="K15" i="19"/>
  <c r="A16" i="19"/>
  <c r="B16" i="19"/>
  <c r="C16" i="19"/>
  <c r="D16" i="19"/>
  <c r="E16" i="19"/>
  <c r="F16" i="19"/>
  <c r="G16" i="19"/>
  <c r="H16" i="19"/>
  <c r="J16" i="19"/>
  <c r="K16" i="19"/>
  <c r="A17" i="19"/>
  <c r="B17" i="19"/>
  <c r="C17" i="19"/>
  <c r="D17" i="19"/>
  <c r="E17" i="19"/>
  <c r="F17" i="19"/>
  <c r="G17" i="19"/>
  <c r="H17" i="19"/>
  <c r="I17" i="19"/>
  <c r="J17" i="19"/>
  <c r="A18" i="19"/>
  <c r="B18" i="19"/>
  <c r="C18" i="19"/>
  <c r="D18" i="19"/>
  <c r="E18" i="19"/>
  <c r="F18" i="19"/>
  <c r="G18" i="19"/>
  <c r="H18" i="19"/>
  <c r="I18" i="19"/>
  <c r="J18" i="19"/>
  <c r="K18" i="19"/>
  <c r="A19" i="19"/>
  <c r="C19" i="19"/>
  <c r="D19" i="19"/>
  <c r="E19" i="19"/>
  <c r="F19" i="19"/>
  <c r="G19" i="19"/>
  <c r="H19" i="19"/>
  <c r="I19" i="19"/>
  <c r="J19" i="19"/>
  <c r="K19" i="19"/>
  <c r="A20" i="19"/>
  <c r="B20" i="19"/>
  <c r="C20" i="19"/>
  <c r="E20" i="19"/>
  <c r="F20" i="19"/>
  <c r="G20" i="19"/>
  <c r="H20" i="19"/>
  <c r="I20" i="19"/>
  <c r="J20" i="19"/>
  <c r="K20" i="19"/>
  <c r="A21" i="19"/>
  <c r="B21" i="19"/>
  <c r="C21" i="19"/>
  <c r="D21" i="19"/>
  <c r="E21" i="19"/>
  <c r="G21" i="19"/>
  <c r="H21" i="19"/>
  <c r="I21" i="19"/>
  <c r="J21" i="19"/>
  <c r="K21" i="19"/>
  <c r="A22" i="19"/>
  <c r="B22" i="19"/>
  <c r="C22" i="19"/>
  <c r="D22" i="19"/>
  <c r="E22" i="19"/>
  <c r="F22" i="19"/>
  <c r="G22" i="19"/>
  <c r="I22" i="19"/>
  <c r="J22" i="19"/>
  <c r="K22" i="19"/>
  <c r="A23" i="19"/>
  <c r="B23" i="19"/>
  <c r="C23" i="19"/>
  <c r="D23" i="19"/>
  <c r="E23" i="19"/>
  <c r="F23" i="19"/>
  <c r="G23" i="19"/>
  <c r="H23" i="19"/>
  <c r="I23" i="19"/>
  <c r="K23" i="19"/>
  <c r="A24" i="19"/>
  <c r="B24" i="19"/>
  <c r="C24" i="19"/>
  <c r="D24" i="19"/>
  <c r="E24" i="19"/>
  <c r="F24" i="19"/>
  <c r="G24" i="19"/>
  <c r="H24" i="19"/>
  <c r="I24" i="19"/>
  <c r="J24" i="19"/>
  <c r="K24" i="19"/>
  <c r="A25" i="19"/>
  <c r="B25" i="19"/>
  <c r="C25" i="19"/>
  <c r="D25" i="19"/>
  <c r="E25" i="19"/>
  <c r="F25" i="19"/>
  <c r="G25" i="19"/>
  <c r="H25" i="19"/>
  <c r="I25" i="19"/>
  <c r="J25" i="19"/>
  <c r="K25" i="19"/>
  <c r="A26" i="19"/>
  <c r="B26" i="19"/>
  <c r="C26" i="19"/>
  <c r="E26" i="19"/>
  <c r="F26" i="19"/>
  <c r="G26" i="19"/>
  <c r="H26" i="19"/>
  <c r="I26" i="19"/>
  <c r="J26" i="19"/>
  <c r="K26" i="19"/>
  <c r="A27" i="19"/>
  <c r="B27" i="19"/>
  <c r="C27" i="19"/>
  <c r="D27" i="19"/>
  <c r="E27" i="19"/>
  <c r="G27" i="19"/>
  <c r="H27" i="19"/>
  <c r="I27" i="19"/>
  <c r="J27" i="19"/>
  <c r="K27" i="19"/>
  <c r="A28" i="19"/>
  <c r="B28" i="19"/>
  <c r="C28" i="19"/>
  <c r="D28" i="19"/>
  <c r="E28" i="19"/>
  <c r="F28" i="19"/>
  <c r="G28" i="19"/>
  <c r="I28" i="19"/>
  <c r="J28" i="19"/>
  <c r="K28" i="19"/>
  <c r="A29" i="19"/>
  <c r="B29" i="19"/>
  <c r="C29" i="19"/>
  <c r="D29" i="19"/>
  <c r="E29" i="19"/>
  <c r="F29" i="19"/>
  <c r="G29" i="19"/>
  <c r="H29" i="19"/>
  <c r="J29" i="19"/>
  <c r="K29" i="19"/>
  <c r="A30" i="19"/>
  <c r="B30" i="19"/>
  <c r="C30" i="19"/>
  <c r="D30" i="19"/>
  <c r="E30" i="19"/>
  <c r="F30" i="19"/>
  <c r="G30" i="19"/>
  <c r="H30" i="19"/>
  <c r="I30" i="19"/>
  <c r="K30" i="19"/>
  <c r="A31" i="19"/>
  <c r="B31" i="19"/>
  <c r="C31" i="19"/>
  <c r="D31" i="19"/>
  <c r="E31" i="19"/>
  <c r="F31" i="19"/>
  <c r="G31" i="19"/>
  <c r="H31" i="19"/>
  <c r="I31" i="19"/>
  <c r="J31" i="19"/>
  <c r="K31" i="19"/>
  <c r="A32" i="19"/>
  <c r="B32" i="19"/>
  <c r="C32" i="19"/>
  <c r="D32" i="19"/>
  <c r="E32" i="19"/>
  <c r="F32" i="19"/>
  <c r="G32" i="19"/>
  <c r="H32" i="19"/>
  <c r="I32" i="19"/>
  <c r="J32" i="19"/>
  <c r="K32" i="19"/>
  <c r="A33" i="19"/>
  <c r="B33" i="19"/>
  <c r="C33" i="19"/>
  <c r="E33" i="19"/>
  <c r="F33" i="19"/>
  <c r="G33" i="19"/>
  <c r="H33" i="19"/>
  <c r="I33" i="19"/>
  <c r="J33" i="19"/>
  <c r="K33" i="19"/>
  <c r="A34" i="19"/>
  <c r="B34" i="19"/>
  <c r="C34" i="19"/>
  <c r="D34" i="19"/>
  <c r="E34" i="19"/>
  <c r="G34" i="19"/>
  <c r="H34" i="19"/>
  <c r="I34" i="19"/>
  <c r="J34" i="19"/>
  <c r="K34" i="19"/>
  <c r="A35" i="19"/>
  <c r="B35" i="19"/>
  <c r="C35" i="19"/>
  <c r="D35" i="19"/>
  <c r="E35" i="19"/>
  <c r="F35" i="19"/>
  <c r="G35" i="19"/>
  <c r="I35" i="19"/>
  <c r="J35" i="19"/>
  <c r="K35" i="19"/>
  <c r="A36" i="19"/>
  <c r="B36" i="19"/>
  <c r="C36" i="19"/>
  <c r="D36" i="19"/>
  <c r="E36" i="19"/>
  <c r="F36" i="19"/>
  <c r="G36" i="19"/>
  <c r="H36" i="19"/>
  <c r="I36" i="19"/>
  <c r="K36" i="19"/>
  <c r="A37" i="19"/>
  <c r="B37" i="19"/>
  <c r="C37" i="19"/>
  <c r="D37" i="19"/>
  <c r="E37" i="19"/>
  <c r="F37" i="19"/>
  <c r="G37" i="19"/>
  <c r="H37" i="19"/>
  <c r="I37" i="19"/>
  <c r="J37" i="19"/>
  <c r="K37" i="19"/>
  <c r="B2" i="19"/>
  <c r="C2" i="19"/>
  <c r="D2" i="19"/>
  <c r="E2" i="19"/>
  <c r="F2" i="19"/>
  <c r="G2" i="19"/>
  <c r="H2" i="19"/>
  <c r="I2" i="19"/>
  <c r="J2" i="19"/>
  <c r="K2" i="19"/>
  <c r="L2" i="19"/>
  <c r="A2" i="19"/>
  <c r="A1" i="19"/>
  <c r="N1" i="19"/>
  <c r="K3" i="16"/>
  <c r="K3" i="19" s="1"/>
  <c r="J3" i="16"/>
  <c r="J3" i="19" s="1"/>
  <c r="I3" i="16"/>
  <c r="H3" i="16"/>
  <c r="G3" i="16"/>
  <c r="G3" i="19" s="1"/>
  <c r="F3" i="16"/>
  <c r="F3" i="19" s="1"/>
  <c r="E3" i="16"/>
  <c r="E3" i="19" s="1"/>
  <c r="D3" i="16"/>
  <c r="D3" i="19" s="1"/>
  <c r="C3" i="16"/>
  <c r="B3" i="16"/>
  <c r="F209" i="16" s="1"/>
  <c r="F211" i="16" s="1"/>
  <c r="F212" i="16" s="1"/>
  <c r="B4" i="14"/>
  <c r="C4" i="14"/>
  <c r="D4" i="14"/>
  <c r="E4" i="14"/>
  <c r="F4" i="14"/>
  <c r="G4" i="14"/>
  <c r="H4" i="14"/>
  <c r="I4" i="14"/>
  <c r="J4" i="14"/>
  <c r="K4" i="14"/>
  <c r="B5" i="14"/>
  <c r="C5" i="14"/>
  <c r="D5" i="14"/>
  <c r="E5" i="14"/>
  <c r="F5" i="14"/>
  <c r="G5" i="14"/>
  <c r="H5" i="14"/>
  <c r="I5" i="14"/>
  <c r="J5" i="14"/>
  <c r="K5" i="14"/>
  <c r="B6" i="14"/>
  <c r="C6" i="14"/>
  <c r="D6" i="14"/>
  <c r="E6" i="14"/>
  <c r="F6" i="14"/>
  <c r="G6" i="14"/>
  <c r="H6" i="14"/>
  <c r="I6" i="14"/>
  <c r="J6" i="14"/>
  <c r="K6" i="14"/>
  <c r="B7" i="14"/>
  <c r="C7" i="14"/>
  <c r="D7" i="14"/>
  <c r="E7" i="14"/>
  <c r="F7" i="14"/>
  <c r="G7" i="14"/>
  <c r="H7" i="14"/>
  <c r="I7" i="14"/>
  <c r="J7" i="14"/>
  <c r="K7" i="14"/>
  <c r="B8" i="14"/>
  <c r="C8" i="14"/>
  <c r="D8" i="14"/>
  <c r="E8" i="14"/>
  <c r="F8" i="14"/>
  <c r="G8" i="14"/>
  <c r="H8" i="14"/>
  <c r="I8" i="14"/>
  <c r="J8" i="14"/>
  <c r="K8" i="14"/>
  <c r="B9" i="14"/>
  <c r="C9" i="14"/>
  <c r="D9" i="14"/>
  <c r="E9" i="14"/>
  <c r="F9" i="14"/>
  <c r="G9" i="14"/>
  <c r="H9" i="14"/>
  <c r="I9" i="14"/>
  <c r="J9" i="14"/>
  <c r="K9" i="14"/>
  <c r="B10" i="14"/>
  <c r="C10" i="14"/>
  <c r="D10" i="14"/>
  <c r="E10" i="14"/>
  <c r="F10" i="14"/>
  <c r="G10" i="14"/>
  <c r="H10" i="14"/>
  <c r="I10" i="14"/>
  <c r="J10" i="14"/>
  <c r="K10" i="14"/>
  <c r="B11" i="14"/>
  <c r="C11" i="14"/>
  <c r="D11" i="14"/>
  <c r="E11" i="14"/>
  <c r="F11" i="14"/>
  <c r="G11" i="14"/>
  <c r="H11" i="14"/>
  <c r="I11" i="14"/>
  <c r="J11" i="14"/>
  <c r="K11" i="14"/>
  <c r="B12" i="14"/>
  <c r="C12" i="14"/>
  <c r="D12" i="14"/>
  <c r="E12" i="14"/>
  <c r="F12" i="14"/>
  <c r="G12" i="14"/>
  <c r="H12" i="14"/>
  <c r="I12" i="14"/>
  <c r="J12" i="14"/>
  <c r="K12" i="14"/>
  <c r="B13" i="14"/>
  <c r="C13" i="14"/>
  <c r="D13" i="14"/>
  <c r="E13" i="14"/>
  <c r="F13" i="14"/>
  <c r="G13" i="14"/>
  <c r="H13" i="14"/>
  <c r="I13" i="14"/>
  <c r="J13" i="14"/>
  <c r="K13" i="14"/>
  <c r="B14" i="14"/>
  <c r="C14" i="14"/>
  <c r="D14" i="14"/>
  <c r="E14" i="14"/>
  <c r="F14" i="14"/>
  <c r="G14" i="14"/>
  <c r="H14" i="14"/>
  <c r="I14" i="14"/>
  <c r="J14" i="14"/>
  <c r="K14" i="14"/>
  <c r="B15" i="14"/>
  <c r="C15" i="14"/>
  <c r="D15" i="14"/>
  <c r="E15" i="14"/>
  <c r="F15" i="14"/>
  <c r="G15" i="14"/>
  <c r="H15" i="14"/>
  <c r="I15" i="14"/>
  <c r="J15" i="14"/>
  <c r="K15" i="14"/>
  <c r="B16" i="14"/>
  <c r="C16" i="14"/>
  <c r="D16" i="14"/>
  <c r="E16" i="14"/>
  <c r="F16" i="14"/>
  <c r="G16" i="14"/>
  <c r="H16" i="14"/>
  <c r="I16" i="14"/>
  <c r="J16" i="14"/>
  <c r="K16" i="14"/>
  <c r="B17" i="14"/>
  <c r="C17" i="14"/>
  <c r="D17" i="14"/>
  <c r="E17" i="14"/>
  <c r="F17" i="14"/>
  <c r="G17" i="14"/>
  <c r="H17" i="14"/>
  <c r="I17" i="14"/>
  <c r="J17" i="14"/>
  <c r="K17" i="14"/>
  <c r="B18" i="14"/>
  <c r="C18" i="14"/>
  <c r="D18" i="14"/>
  <c r="E18" i="14"/>
  <c r="F18" i="14"/>
  <c r="G18" i="14"/>
  <c r="H18" i="14"/>
  <c r="I18" i="14"/>
  <c r="J18" i="14"/>
  <c r="K18" i="14"/>
  <c r="B19" i="14"/>
  <c r="C19" i="14"/>
  <c r="D19" i="14"/>
  <c r="E19" i="14"/>
  <c r="F19" i="14"/>
  <c r="G19" i="14"/>
  <c r="H19" i="14"/>
  <c r="I19" i="14"/>
  <c r="J19" i="14"/>
  <c r="K19" i="14"/>
  <c r="B20" i="14"/>
  <c r="C20" i="14"/>
  <c r="D20" i="14"/>
  <c r="E20" i="14"/>
  <c r="F20" i="14"/>
  <c r="G20" i="14"/>
  <c r="H20" i="14"/>
  <c r="I20" i="14"/>
  <c r="J20" i="14"/>
  <c r="K20" i="14"/>
  <c r="B21" i="14"/>
  <c r="C21" i="14"/>
  <c r="D21" i="14"/>
  <c r="E21" i="14"/>
  <c r="F21" i="14"/>
  <c r="G21" i="14"/>
  <c r="H21" i="14"/>
  <c r="I21" i="14"/>
  <c r="J21" i="14"/>
  <c r="K21" i="14"/>
  <c r="B22" i="14"/>
  <c r="C22" i="14"/>
  <c r="D22" i="14"/>
  <c r="E22" i="14"/>
  <c r="F22" i="14"/>
  <c r="G22" i="14"/>
  <c r="H22" i="14"/>
  <c r="I22" i="14"/>
  <c r="J22" i="14"/>
  <c r="K22" i="14"/>
  <c r="B23" i="14"/>
  <c r="C23" i="14"/>
  <c r="D23" i="14"/>
  <c r="E23" i="14"/>
  <c r="F23" i="14"/>
  <c r="G23" i="14"/>
  <c r="H23" i="14"/>
  <c r="I23" i="14"/>
  <c r="J23" i="14"/>
  <c r="K23" i="14"/>
  <c r="B24" i="14"/>
  <c r="C24" i="14"/>
  <c r="D24" i="14"/>
  <c r="E24" i="14"/>
  <c r="F24" i="14"/>
  <c r="G24" i="14"/>
  <c r="H24" i="14"/>
  <c r="I24" i="14"/>
  <c r="J24" i="14"/>
  <c r="K24" i="14"/>
  <c r="B25" i="14"/>
  <c r="C25" i="14"/>
  <c r="D25" i="14"/>
  <c r="E25" i="14"/>
  <c r="F25" i="14"/>
  <c r="G25" i="14"/>
  <c r="H25" i="14"/>
  <c r="I25" i="14"/>
  <c r="J25" i="14"/>
  <c r="K25" i="14"/>
  <c r="B26" i="14"/>
  <c r="C26" i="14"/>
  <c r="D26" i="14"/>
  <c r="E26" i="14"/>
  <c r="F26" i="14"/>
  <c r="G26" i="14"/>
  <c r="H26" i="14"/>
  <c r="I26" i="14"/>
  <c r="J26" i="14"/>
  <c r="K26" i="14"/>
  <c r="B27" i="14"/>
  <c r="C27" i="14"/>
  <c r="D27" i="14"/>
  <c r="E27" i="14"/>
  <c r="F27" i="14"/>
  <c r="G27" i="14"/>
  <c r="H27" i="14"/>
  <c r="I27" i="14"/>
  <c r="J27" i="14"/>
  <c r="K27" i="14"/>
  <c r="B28" i="14"/>
  <c r="C28" i="14"/>
  <c r="D28" i="14"/>
  <c r="E28" i="14"/>
  <c r="F28" i="14"/>
  <c r="G28" i="14"/>
  <c r="H28" i="14"/>
  <c r="I28" i="14"/>
  <c r="J28" i="14"/>
  <c r="K28" i="14"/>
  <c r="B29" i="14"/>
  <c r="C29" i="14"/>
  <c r="D29" i="14"/>
  <c r="E29" i="14"/>
  <c r="F29" i="14"/>
  <c r="G29" i="14"/>
  <c r="H29" i="14"/>
  <c r="I29" i="14"/>
  <c r="J29" i="14"/>
  <c r="K29" i="14"/>
  <c r="B30" i="14"/>
  <c r="C30" i="14"/>
  <c r="D30" i="14"/>
  <c r="E30" i="14"/>
  <c r="F30" i="14"/>
  <c r="G30" i="14"/>
  <c r="H30" i="14"/>
  <c r="I30" i="14"/>
  <c r="J30" i="14"/>
  <c r="K30" i="14"/>
  <c r="B31" i="14"/>
  <c r="C31" i="14"/>
  <c r="D31" i="14"/>
  <c r="E31" i="14"/>
  <c r="F31" i="14"/>
  <c r="G31" i="14"/>
  <c r="H31" i="14"/>
  <c r="I31" i="14"/>
  <c r="J31" i="14"/>
  <c r="K31" i="14"/>
  <c r="B32" i="14"/>
  <c r="C32" i="14"/>
  <c r="D32" i="14"/>
  <c r="E32" i="14"/>
  <c r="F32" i="14"/>
  <c r="G32" i="14"/>
  <c r="H32" i="14"/>
  <c r="I32" i="14"/>
  <c r="J32" i="14"/>
  <c r="K32" i="14"/>
  <c r="B33" i="14"/>
  <c r="C33" i="14"/>
  <c r="D33" i="14"/>
  <c r="E33" i="14"/>
  <c r="F33" i="14"/>
  <c r="G33" i="14"/>
  <c r="H33" i="14"/>
  <c r="I33" i="14"/>
  <c r="J33" i="14"/>
  <c r="K33" i="14"/>
  <c r="B34" i="14"/>
  <c r="C34" i="14"/>
  <c r="D34" i="14"/>
  <c r="E34" i="14"/>
  <c r="F34" i="14"/>
  <c r="G34" i="14"/>
  <c r="H34" i="14"/>
  <c r="I34" i="14"/>
  <c r="J34" i="14"/>
  <c r="K34" i="14"/>
  <c r="B35" i="14"/>
  <c r="C35" i="14"/>
  <c r="D35" i="14"/>
  <c r="E35" i="14"/>
  <c r="F35" i="14"/>
  <c r="G35" i="14"/>
  <c r="H35" i="14"/>
  <c r="I35" i="14"/>
  <c r="J35" i="14"/>
  <c r="K35" i="14"/>
  <c r="B36" i="14"/>
  <c r="C36" i="14"/>
  <c r="D36" i="14"/>
  <c r="E36" i="14"/>
  <c r="F36" i="14"/>
  <c r="G36" i="14"/>
  <c r="H36" i="14"/>
  <c r="I36" i="14"/>
  <c r="J36" i="14"/>
  <c r="K36" i="14"/>
  <c r="B37" i="14"/>
  <c r="C37" i="14"/>
  <c r="D37" i="14"/>
  <c r="E37" i="14"/>
  <c r="F37" i="14"/>
  <c r="G37" i="14"/>
  <c r="H37" i="14"/>
  <c r="I37" i="14"/>
  <c r="J37" i="14"/>
  <c r="K37" i="14"/>
  <c r="K3" i="14"/>
  <c r="J3" i="14"/>
  <c r="I3" i="14"/>
  <c r="H3" i="14"/>
  <c r="G3" i="14"/>
  <c r="F3" i="14"/>
  <c r="E3" i="14"/>
  <c r="D3" i="14"/>
  <c r="C3" i="14"/>
  <c r="B3" i="14"/>
  <c r="B4" i="13"/>
  <c r="C4" i="13"/>
  <c r="D4" i="13"/>
  <c r="E4" i="13"/>
  <c r="F4" i="13"/>
  <c r="G4" i="13"/>
  <c r="H4" i="13"/>
  <c r="I4" i="13"/>
  <c r="J4" i="13"/>
  <c r="K4" i="13"/>
  <c r="B5" i="13"/>
  <c r="C5" i="13"/>
  <c r="D5" i="13"/>
  <c r="E5" i="13"/>
  <c r="F5" i="13"/>
  <c r="G5" i="13"/>
  <c r="H5" i="13"/>
  <c r="I5" i="13"/>
  <c r="J5" i="13"/>
  <c r="K5" i="13"/>
  <c r="B6" i="13"/>
  <c r="C6" i="13"/>
  <c r="D6" i="13"/>
  <c r="E6" i="13"/>
  <c r="F6" i="13"/>
  <c r="G6" i="13"/>
  <c r="H6" i="13"/>
  <c r="I6" i="13"/>
  <c r="J6" i="13"/>
  <c r="K6" i="13"/>
  <c r="B7" i="13"/>
  <c r="C7" i="13"/>
  <c r="D7" i="13"/>
  <c r="E7" i="13"/>
  <c r="F7" i="13"/>
  <c r="G7" i="13"/>
  <c r="H7" i="13"/>
  <c r="I7" i="13"/>
  <c r="J7" i="13"/>
  <c r="K7" i="13"/>
  <c r="B8" i="13"/>
  <c r="C8" i="13"/>
  <c r="D8" i="13"/>
  <c r="E8" i="13"/>
  <c r="F8" i="13"/>
  <c r="G8" i="13"/>
  <c r="H8" i="13"/>
  <c r="I8" i="13"/>
  <c r="J8" i="13"/>
  <c r="K8" i="13"/>
  <c r="B9" i="13"/>
  <c r="C9" i="13"/>
  <c r="D9" i="13"/>
  <c r="E9" i="13"/>
  <c r="F9" i="13"/>
  <c r="G9" i="13"/>
  <c r="H9" i="13"/>
  <c r="I9" i="13"/>
  <c r="J9" i="13"/>
  <c r="K9" i="13"/>
  <c r="B10" i="13"/>
  <c r="C10" i="13"/>
  <c r="D10" i="13"/>
  <c r="E10" i="13"/>
  <c r="F10" i="13"/>
  <c r="G10" i="13"/>
  <c r="H10" i="13"/>
  <c r="I10" i="13"/>
  <c r="J10" i="13"/>
  <c r="K10" i="13"/>
  <c r="B11" i="13"/>
  <c r="C11" i="13"/>
  <c r="D11" i="13"/>
  <c r="E11" i="13"/>
  <c r="F11" i="13"/>
  <c r="G11" i="13"/>
  <c r="H11" i="13"/>
  <c r="I11" i="13"/>
  <c r="J11" i="13"/>
  <c r="K11" i="13"/>
  <c r="B12" i="13"/>
  <c r="C12" i="13"/>
  <c r="D12" i="13"/>
  <c r="E12" i="13"/>
  <c r="F12" i="13"/>
  <c r="G12" i="13"/>
  <c r="H12" i="13"/>
  <c r="I12" i="13"/>
  <c r="J12" i="13"/>
  <c r="K12" i="13"/>
  <c r="B13" i="13"/>
  <c r="C13" i="13"/>
  <c r="D13" i="13"/>
  <c r="E13" i="13"/>
  <c r="F13" i="13"/>
  <c r="G13" i="13"/>
  <c r="H13" i="13"/>
  <c r="I13" i="13"/>
  <c r="J13" i="13"/>
  <c r="K13" i="13"/>
  <c r="B14" i="13"/>
  <c r="C14" i="13"/>
  <c r="D14" i="13"/>
  <c r="E14" i="13"/>
  <c r="F14" i="13"/>
  <c r="G14" i="13"/>
  <c r="H14" i="13"/>
  <c r="I14" i="13"/>
  <c r="J14" i="13"/>
  <c r="K14" i="13"/>
  <c r="B15" i="13"/>
  <c r="C15" i="13"/>
  <c r="D15" i="13"/>
  <c r="E15" i="13"/>
  <c r="F15" i="13"/>
  <c r="G15" i="13"/>
  <c r="H15" i="13"/>
  <c r="I15" i="13"/>
  <c r="J15" i="13"/>
  <c r="K15" i="13"/>
  <c r="B16" i="13"/>
  <c r="C16" i="13"/>
  <c r="D16" i="13"/>
  <c r="E16" i="13"/>
  <c r="F16" i="13"/>
  <c r="G16" i="13"/>
  <c r="H16" i="13"/>
  <c r="I16" i="13"/>
  <c r="J16" i="13"/>
  <c r="K16" i="13"/>
  <c r="B17" i="13"/>
  <c r="C17" i="13"/>
  <c r="D17" i="13"/>
  <c r="E17" i="13"/>
  <c r="F17" i="13"/>
  <c r="G17" i="13"/>
  <c r="H17" i="13"/>
  <c r="I17" i="13"/>
  <c r="J17" i="13"/>
  <c r="K17" i="13"/>
  <c r="B18" i="13"/>
  <c r="C18" i="13"/>
  <c r="D18" i="13"/>
  <c r="E18" i="13"/>
  <c r="F18" i="13"/>
  <c r="G18" i="13"/>
  <c r="H18" i="13"/>
  <c r="I18" i="13"/>
  <c r="J18" i="13"/>
  <c r="K18" i="13"/>
  <c r="B19" i="13"/>
  <c r="C19" i="13"/>
  <c r="D19" i="13"/>
  <c r="E19" i="13"/>
  <c r="F19" i="13"/>
  <c r="G19" i="13"/>
  <c r="H19" i="13"/>
  <c r="I19" i="13"/>
  <c r="J19" i="13"/>
  <c r="K19" i="13"/>
  <c r="B20" i="13"/>
  <c r="C20" i="13"/>
  <c r="D20" i="13"/>
  <c r="E20" i="13"/>
  <c r="F20" i="13"/>
  <c r="G20" i="13"/>
  <c r="H20" i="13"/>
  <c r="I20" i="13"/>
  <c r="J20" i="13"/>
  <c r="K20" i="13"/>
  <c r="B21" i="13"/>
  <c r="C21" i="13"/>
  <c r="D21" i="13"/>
  <c r="E21" i="13"/>
  <c r="F21" i="13"/>
  <c r="G21" i="13"/>
  <c r="H21" i="13"/>
  <c r="I21" i="13"/>
  <c r="J21" i="13"/>
  <c r="K21" i="13"/>
  <c r="B22" i="13"/>
  <c r="C22" i="13"/>
  <c r="D22" i="13"/>
  <c r="E22" i="13"/>
  <c r="F22" i="13"/>
  <c r="G22" i="13"/>
  <c r="H22" i="13"/>
  <c r="I22" i="13"/>
  <c r="J22" i="13"/>
  <c r="K22" i="13"/>
  <c r="B23" i="13"/>
  <c r="C23" i="13"/>
  <c r="D23" i="13"/>
  <c r="E23" i="13"/>
  <c r="F23" i="13"/>
  <c r="G23" i="13"/>
  <c r="H23" i="13"/>
  <c r="I23" i="13"/>
  <c r="J23" i="13"/>
  <c r="K23" i="13"/>
  <c r="B24" i="13"/>
  <c r="C24" i="13"/>
  <c r="D24" i="13"/>
  <c r="E24" i="13"/>
  <c r="F24" i="13"/>
  <c r="G24" i="13"/>
  <c r="H24" i="13"/>
  <c r="I24" i="13"/>
  <c r="J24" i="13"/>
  <c r="K24" i="13"/>
  <c r="B25" i="13"/>
  <c r="C25" i="13"/>
  <c r="D25" i="13"/>
  <c r="E25" i="13"/>
  <c r="F25" i="13"/>
  <c r="G25" i="13"/>
  <c r="H25" i="13"/>
  <c r="I25" i="13"/>
  <c r="J25" i="13"/>
  <c r="K25" i="13"/>
  <c r="B26" i="13"/>
  <c r="C26" i="13"/>
  <c r="D26" i="13"/>
  <c r="E26" i="13"/>
  <c r="F26" i="13"/>
  <c r="G26" i="13"/>
  <c r="H26" i="13"/>
  <c r="I26" i="13"/>
  <c r="J26" i="13"/>
  <c r="K26" i="13"/>
  <c r="B27" i="13"/>
  <c r="C27" i="13"/>
  <c r="D27" i="13"/>
  <c r="E27" i="13"/>
  <c r="F27" i="13"/>
  <c r="G27" i="13"/>
  <c r="H27" i="13"/>
  <c r="I27" i="13"/>
  <c r="J27" i="13"/>
  <c r="K27" i="13"/>
  <c r="B28" i="13"/>
  <c r="C28" i="13"/>
  <c r="D28" i="13"/>
  <c r="E28" i="13"/>
  <c r="F28" i="13"/>
  <c r="G28" i="13"/>
  <c r="H28" i="13"/>
  <c r="I28" i="13"/>
  <c r="J28" i="13"/>
  <c r="K28" i="13"/>
  <c r="B29" i="13"/>
  <c r="C29" i="13"/>
  <c r="D29" i="13"/>
  <c r="E29" i="13"/>
  <c r="F29" i="13"/>
  <c r="G29" i="13"/>
  <c r="H29" i="13"/>
  <c r="I29" i="13"/>
  <c r="J29" i="13"/>
  <c r="K29" i="13"/>
  <c r="K3" i="13"/>
  <c r="J3" i="13"/>
  <c r="I3" i="13"/>
  <c r="H3" i="13"/>
  <c r="G3" i="13"/>
  <c r="F3" i="13"/>
  <c r="E3" i="13"/>
  <c r="D3" i="13"/>
  <c r="C3" i="13"/>
  <c r="B3" i="13"/>
  <c r="L34" i="14"/>
  <c r="B4" i="10"/>
  <c r="C4" i="10"/>
  <c r="D4" i="10"/>
  <c r="E4" i="10"/>
  <c r="F4" i="10"/>
  <c r="G4" i="10"/>
  <c r="H4" i="10"/>
  <c r="I4" i="10"/>
  <c r="J4" i="10"/>
  <c r="K4" i="10"/>
  <c r="B5" i="10"/>
  <c r="C5" i="10"/>
  <c r="D5" i="10"/>
  <c r="E5" i="10"/>
  <c r="F5" i="10"/>
  <c r="G5" i="10"/>
  <c r="H5" i="10"/>
  <c r="I5" i="10"/>
  <c r="J5" i="10"/>
  <c r="K5" i="10"/>
  <c r="B6" i="10"/>
  <c r="C6" i="10"/>
  <c r="D6" i="10"/>
  <c r="E6" i="10"/>
  <c r="F6" i="10"/>
  <c r="G6" i="10"/>
  <c r="H6" i="10"/>
  <c r="I6" i="10"/>
  <c r="J6" i="10"/>
  <c r="K6" i="10"/>
  <c r="B7" i="10"/>
  <c r="C7" i="10"/>
  <c r="D7" i="10"/>
  <c r="E7" i="10"/>
  <c r="F7" i="10"/>
  <c r="G7" i="10"/>
  <c r="H7" i="10"/>
  <c r="I7" i="10"/>
  <c r="J7" i="10"/>
  <c r="K7" i="10"/>
  <c r="B8" i="10"/>
  <c r="C8" i="10"/>
  <c r="D8" i="10"/>
  <c r="E8" i="10"/>
  <c r="F8" i="10"/>
  <c r="G8" i="10"/>
  <c r="H8" i="10"/>
  <c r="L8" i="10" s="1"/>
  <c r="I8" i="10"/>
  <c r="J8" i="10"/>
  <c r="K8" i="10"/>
  <c r="B9" i="10"/>
  <c r="C9" i="10"/>
  <c r="D9" i="10"/>
  <c r="E9" i="10"/>
  <c r="F9" i="10"/>
  <c r="G9" i="10"/>
  <c r="H9" i="10"/>
  <c r="I9" i="10"/>
  <c r="J9" i="10"/>
  <c r="K9" i="10"/>
  <c r="B10" i="10"/>
  <c r="C10" i="10"/>
  <c r="D10" i="10"/>
  <c r="E10" i="10"/>
  <c r="F10" i="10"/>
  <c r="G10" i="10"/>
  <c r="H10" i="10"/>
  <c r="I10" i="10"/>
  <c r="J10" i="10"/>
  <c r="K10" i="10"/>
  <c r="B11" i="10"/>
  <c r="C11" i="10"/>
  <c r="D11" i="10"/>
  <c r="E11" i="10"/>
  <c r="F11" i="10"/>
  <c r="G11" i="10"/>
  <c r="H11" i="10"/>
  <c r="I11" i="10"/>
  <c r="J11" i="10"/>
  <c r="K11" i="10"/>
  <c r="B12" i="10"/>
  <c r="C12" i="10"/>
  <c r="D12" i="10"/>
  <c r="E12" i="10"/>
  <c r="F12" i="10"/>
  <c r="G12" i="10"/>
  <c r="H12" i="10"/>
  <c r="I12" i="10"/>
  <c r="J12" i="10"/>
  <c r="K12" i="10"/>
  <c r="B13" i="10"/>
  <c r="C13" i="10"/>
  <c r="D13" i="10"/>
  <c r="E13" i="10"/>
  <c r="F13" i="10"/>
  <c r="G13" i="10"/>
  <c r="H13" i="10"/>
  <c r="I13" i="10"/>
  <c r="J13" i="10"/>
  <c r="K13" i="10"/>
  <c r="B14" i="10"/>
  <c r="C14" i="10"/>
  <c r="D14" i="10"/>
  <c r="E14" i="10"/>
  <c r="F14" i="10"/>
  <c r="G14" i="10"/>
  <c r="H14" i="10"/>
  <c r="I14" i="10"/>
  <c r="J14" i="10"/>
  <c r="K14" i="10"/>
  <c r="B15" i="10"/>
  <c r="C15" i="10"/>
  <c r="D15" i="10"/>
  <c r="E15" i="10"/>
  <c r="F15" i="10"/>
  <c r="G15" i="10"/>
  <c r="H15" i="10"/>
  <c r="I15" i="10"/>
  <c r="J15" i="10"/>
  <c r="K15" i="10"/>
  <c r="B16" i="10"/>
  <c r="C16" i="10"/>
  <c r="D16" i="10"/>
  <c r="E16" i="10"/>
  <c r="F16" i="10"/>
  <c r="G16" i="10"/>
  <c r="H16" i="10"/>
  <c r="I16" i="10"/>
  <c r="J16" i="10"/>
  <c r="K16" i="10"/>
  <c r="B17" i="10"/>
  <c r="C17" i="10"/>
  <c r="D17" i="10"/>
  <c r="E17" i="10"/>
  <c r="F17" i="10"/>
  <c r="G17" i="10"/>
  <c r="H17" i="10"/>
  <c r="I17" i="10"/>
  <c r="J17" i="10"/>
  <c r="K17" i="10"/>
  <c r="B18" i="10"/>
  <c r="C18" i="10"/>
  <c r="D18" i="10"/>
  <c r="E18" i="10"/>
  <c r="F18" i="10"/>
  <c r="G18" i="10"/>
  <c r="H18" i="10"/>
  <c r="I18" i="10"/>
  <c r="J18" i="10"/>
  <c r="K18" i="10"/>
  <c r="B19" i="10"/>
  <c r="C19" i="10"/>
  <c r="D19" i="10"/>
  <c r="E19" i="10"/>
  <c r="F19" i="10"/>
  <c r="G19" i="10"/>
  <c r="H19" i="10"/>
  <c r="I19" i="10"/>
  <c r="J19" i="10"/>
  <c r="K19" i="10"/>
  <c r="B20" i="10"/>
  <c r="C20" i="10"/>
  <c r="D20" i="10"/>
  <c r="E20" i="10"/>
  <c r="F20" i="10"/>
  <c r="G20" i="10"/>
  <c r="H20" i="10"/>
  <c r="I20" i="10"/>
  <c r="J20" i="10"/>
  <c r="K20" i="10"/>
  <c r="B21" i="10"/>
  <c r="C21" i="10"/>
  <c r="D21" i="10"/>
  <c r="E21" i="10"/>
  <c r="F21" i="10"/>
  <c r="G21" i="10"/>
  <c r="H21" i="10"/>
  <c r="I21" i="10"/>
  <c r="J21" i="10"/>
  <c r="K21" i="10"/>
  <c r="B22" i="10"/>
  <c r="C22" i="10"/>
  <c r="D22" i="10"/>
  <c r="E22" i="10"/>
  <c r="F22" i="10"/>
  <c r="G22" i="10"/>
  <c r="H22" i="10"/>
  <c r="I22" i="10"/>
  <c r="J22" i="10"/>
  <c r="K22" i="10"/>
  <c r="B23" i="10"/>
  <c r="C23" i="10"/>
  <c r="D23" i="10"/>
  <c r="E23" i="10"/>
  <c r="F23" i="10"/>
  <c r="G23" i="10"/>
  <c r="H23" i="10"/>
  <c r="I23" i="10"/>
  <c r="J23" i="10"/>
  <c r="K23" i="10"/>
  <c r="B24" i="10"/>
  <c r="C24" i="10"/>
  <c r="D24" i="10"/>
  <c r="E24" i="10"/>
  <c r="F24" i="10"/>
  <c r="G24" i="10"/>
  <c r="H24" i="10"/>
  <c r="I24" i="10"/>
  <c r="J24" i="10"/>
  <c r="K24" i="10"/>
  <c r="B25" i="10"/>
  <c r="C25" i="10"/>
  <c r="D25" i="10"/>
  <c r="E25" i="10"/>
  <c r="F25" i="10"/>
  <c r="G25" i="10"/>
  <c r="H25" i="10"/>
  <c r="I25" i="10"/>
  <c r="J25" i="10"/>
  <c r="K25" i="10"/>
  <c r="B26" i="10"/>
  <c r="C26" i="10"/>
  <c r="D26" i="10"/>
  <c r="E26" i="10"/>
  <c r="F26" i="10"/>
  <c r="G26" i="10"/>
  <c r="H26" i="10"/>
  <c r="L26" i="10" s="1"/>
  <c r="I26" i="10"/>
  <c r="J26" i="10"/>
  <c r="K26" i="10"/>
  <c r="B27" i="10"/>
  <c r="C27" i="10"/>
  <c r="D27" i="10"/>
  <c r="E27" i="10"/>
  <c r="F27" i="10"/>
  <c r="G27" i="10"/>
  <c r="H27" i="10"/>
  <c r="I27" i="10"/>
  <c r="J27" i="10"/>
  <c r="K27" i="10"/>
  <c r="B28" i="10"/>
  <c r="C28" i="10"/>
  <c r="D28" i="10"/>
  <c r="E28" i="10"/>
  <c r="F28" i="10"/>
  <c r="G28" i="10"/>
  <c r="H28" i="10"/>
  <c r="I28" i="10"/>
  <c r="J28" i="10"/>
  <c r="K28" i="10"/>
  <c r="B29" i="10"/>
  <c r="C29" i="10"/>
  <c r="D29" i="10"/>
  <c r="E29" i="10"/>
  <c r="F29" i="10"/>
  <c r="G29" i="10"/>
  <c r="H29" i="10"/>
  <c r="I29" i="10"/>
  <c r="J29" i="10"/>
  <c r="K29" i="10"/>
  <c r="C3" i="10"/>
  <c r="D3" i="10"/>
  <c r="E3" i="10"/>
  <c r="F3" i="10"/>
  <c r="G3" i="10"/>
  <c r="H3" i="10"/>
  <c r="I3" i="10"/>
  <c r="J3" i="10"/>
  <c r="K3" i="10"/>
  <c r="B3" i="10"/>
  <c r="B4" i="11"/>
  <c r="C4" i="11"/>
  <c r="D4" i="11"/>
  <c r="E4" i="11"/>
  <c r="F4" i="11"/>
  <c r="G4" i="11"/>
  <c r="H4" i="11"/>
  <c r="I4" i="11"/>
  <c r="J4" i="11"/>
  <c r="K4" i="11"/>
  <c r="B5" i="11"/>
  <c r="C5" i="11"/>
  <c r="D5" i="11"/>
  <c r="E5" i="11"/>
  <c r="F5" i="11"/>
  <c r="G5" i="11"/>
  <c r="H5" i="11"/>
  <c r="I5" i="11"/>
  <c r="J5" i="11"/>
  <c r="K5" i="11"/>
  <c r="B6" i="11"/>
  <c r="C6" i="11"/>
  <c r="D6" i="11"/>
  <c r="E6" i="11"/>
  <c r="F6" i="11"/>
  <c r="G6" i="11"/>
  <c r="H6" i="11"/>
  <c r="I6" i="11"/>
  <c r="J6" i="11"/>
  <c r="K6" i="11"/>
  <c r="B7" i="11"/>
  <c r="C7" i="11"/>
  <c r="D7" i="11"/>
  <c r="E7" i="11"/>
  <c r="F7" i="11"/>
  <c r="G7" i="11"/>
  <c r="H7" i="11"/>
  <c r="I7" i="11"/>
  <c r="J7" i="11"/>
  <c r="K7" i="11"/>
  <c r="B8" i="11"/>
  <c r="C8" i="11"/>
  <c r="D8" i="11"/>
  <c r="E8" i="11"/>
  <c r="F8" i="11"/>
  <c r="G8" i="11"/>
  <c r="H8" i="11"/>
  <c r="I8" i="11"/>
  <c r="J8" i="11"/>
  <c r="K8" i="11"/>
  <c r="B9" i="11"/>
  <c r="C9" i="11"/>
  <c r="D9" i="11"/>
  <c r="E9" i="11"/>
  <c r="F9" i="11"/>
  <c r="G9" i="11"/>
  <c r="H9" i="11"/>
  <c r="I9" i="11"/>
  <c r="J9" i="11"/>
  <c r="K9" i="11"/>
  <c r="B10" i="11"/>
  <c r="C10" i="11"/>
  <c r="D10" i="11"/>
  <c r="E10" i="11"/>
  <c r="F10" i="11"/>
  <c r="G10" i="11"/>
  <c r="H10" i="11"/>
  <c r="I10" i="11"/>
  <c r="J10" i="11"/>
  <c r="K10" i="11"/>
  <c r="B11" i="11"/>
  <c r="C11" i="11"/>
  <c r="D11" i="11"/>
  <c r="E11" i="11"/>
  <c r="F11" i="11"/>
  <c r="G11" i="11"/>
  <c r="H11" i="11"/>
  <c r="I11" i="11"/>
  <c r="J11" i="11"/>
  <c r="K11" i="11"/>
  <c r="B12" i="11"/>
  <c r="C12" i="11"/>
  <c r="D12" i="11"/>
  <c r="E12" i="11"/>
  <c r="F12" i="11"/>
  <c r="G12" i="11"/>
  <c r="H12" i="11"/>
  <c r="I12" i="11"/>
  <c r="J12" i="11"/>
  <c r="K12" i="11"/>
  <c r="B13" i="11"/>
  <c r="C13" i="11"/>
  <c r="D13" i="11"/>
  <c r="E13" i="11"/>
  <c r="F13" i="11"/>
  <c r="G13" i="11"/>
  <c r="H13" i="11"/>
  <c r="I13" i="11"/>
  <c r="J13" i="11"/>
  <c r="K13" i="11"/>
  <c r="B14" i="11"/>
  <c r="C14" i="11"/>
  <c r="D14" i="11"/>
  <c r="E14" i="11"/>
  <c r="F14" i="11"/>
  <c r="G14" i="11"/>
  <c r="H14" i="11"/>
  <c r="I14" i="11"/>
  <c r="J14" i="11"/>
  <c r="K14" i="11"/>
  <c r="B15" i="11"/>
  <c r="C15" i="11"/>
  <c r="D15" i="11"/>
  <c r="E15" i="11"/>
  <c r="F15" i="11"/>
  <c r="G15" i="11"/>
  <c r="H15" i="11"/>
  <c r="I15" i="11"/>
  <c r="J15" i="11"/>
  <c r="K15" i="11"/>
  <c r="B16" i="11"/>
  <c r="C16" i="11"/>
  <c r="D16" i="11"/>
  <c r="E16" i="11"/>
  <c r="F16" i="11"/>
  <c r="G16" i="11"/>
  <c r="H16" i="11"/>
  <c r="I16" i="11"/>
  <c r="J16" i="11"/>
  <c r="K16" i="11"/>
  <c r="B17" i="11"/>
  <c r="C17" i="11"/>
  <c r="D17" i="11"/>
  <c r="E17" i="11"/>
  <c r="F17" i="11"/>
  <c r="G17" i="11"/>
  <c r="H17" i="11"/>
  <c r="I17" i="11"/>
  <c r="J17" i="11"/>
  <c r="K17" i="11"/>
  <c r="B18" i="11"/>
  <c r="C18" i="11"/>
  <c r="D18" i="11"/>
  <c r="E18" i="11"/>
  <c r="F18" i="11"/>
  <c r="G18" i="11"/>
  <c r="H18" i="11"/>
  <c r="I18" i="11"/>
  <c r="J18" i="11"/>
  <c r="K18" i="11"/>
  <c r="B19" i="11"/>
  <c r="C19" i="11"/>
  <c r="D19" i="11"/>
  <c r="E19" i="11"/>
  <c r="F19" i="11"/>
  <c r="G19" i="11"/>
  <c r="H19" i="11"/>
  <c r="I19" i="11"/>
  <c r="J19" i="11"/>
  <c r="K19" i="11"/>
  <c r="B20" i="11"/>
  <c r="C20" i="11"/>
  <c r="D20" i="11"/>
  <c r="E20" i="11"/>
  <c r="F20" i="11"/>
  <c r="G20" i="11"/>
  <c r="H20" i="11"/>
  <c r="I20" i="11"/>
  <c r="J20" i="11"/>
  <c r="K20" i="11"/>
  <c r="B21" i="11"/>
  <c r="C21" i="11"/>
  <c r="D21" i="11"/>
  <c r="E21" i="11"/>
  <c r="F21" i="11"/>
  <c r="G21" i="11"/>
  <c r="H21" i="11"/>
  <c r="I21" i="11"/>
  <c r="J21" i="11"/>
  <c r="K21" i="11"/>
  <c r="B22" i="11"/>
  <c r="C22" i="11"/>
  <c r="D22" i="11"/>
  <c r="E22" i="11"/>
  <c r="F22" i="11"/>
  <c r="G22" i="11"/>
  <c r="H22" i="11"/>
  <c r="I22" i="11"/>
  <c r="J22" i="11"/>
  <c r="K22" i="11"/>
  <c r="B23" i="11"/>
  <c r="C23" i="11"/>
  <c r="D23" i="11"/>
  <c r="E23" i="11"/>
  <c r="F23" i="11"/>
  <c r="G23" i="11"/>
  <c r="H23" i="11"/>
  <c r="I23" i="11"/>
  <c r="J23" i="11"/>
  <c r="K23" i="11"/>
  <c r="B24" i="11"/>
  <c r="C24" i="11"/>
  <c r="D24" i="11"/>
  <c r="E24" i="11"/>
  <c r="F24" i="11"/>
  <c r="G24" i="11"/>
  <c r="H24" i="11"/>
  <c r="I24" i="11"/>
  <c r="J24" i="11"/>
  <c r="K24" i="11"/>
  <c r="B25" i="11"/>
  <c r="C25" i="11"/>
  <c r="D25" i="11"/>
  <c r="E25" i="11"/>
  <c r="F25" i="11"/>
  <c r="G25" i="11"/>
  <c r="H25" i="11"/>
  <c r="I25" i="11"/>
  <c r="J25" i="11"/>
  <c r="K25" i="11"/>
  <c r="B26" i="11"/>
  <c r="C26" i="11"/>
  <c r="D26" i="11"/>
  <c r="E26" i="11"/>
  <c r="F26" i="11"/>
  <c r="G26" i="11"/>
  <c r="H26" i="11"/>
  <c r="I26" i="11"/>
  <c r="J26" i="11"/>
  <c r="K26" i="11"/>
  <c r="B27" i="11"/>
  <c r="C27" i="11"/>
  <c r="D27" i="11"/>
  <c r="E27" i="11"/>
  <c r="F27" i="11"/>
  <c r="G27" i="11"/>
  <c r="H27" i="11"/>
  <c r="I27" i="11"/>
  <c r="J27" i="11"/>
  <c r="K27" i="11"/>
  <c r="B28" i="11"/>
  <c r="C28" i="11"/>
  <c r="D28" i="11"/>
  <c r="E28" i="11"/>
  <c r="F28" i="11"/>
  <c r="G28" i="11"/>
  <c r="H28" i="11"/>
  <c r="I28" i="11"/>
  <c r="J28" i="11"/>
  <c r="K28" i="11"/>
  <c r="B29" i="11"/>
  <c r="C29" i="11"/>
  <c r="D29" i="11"/>
  <c r="E29" i="11"/>
  <c r="F29" i="11"/>
  <c r="G29" i="11"/>
  <c r="H29" i="11"/>
  <c r="I29" i="11"/>
  <c r="J29" i="11"/>
  <c r="K29" i="11"/>
  <c r="B30" i="11"/>
  <c r="C30" i="11"/>
  <c r="D30" i="11"/>
  <c r="E30" i="11"/>
  <c r="F30" i="11"/>
  <c r="G30" i="11"/>
  <c r="H30" i="11"/>
  <c r="I30" i="11"/>
  <c r="J30" i="11"/>
  <c r="K30" i="11"/>
  <c r="B31" i="11"/>
  <c r="C31" i="11"/>
  <c r="D31" i="11"/>
  <c r="E31" i="11"/>
  <c r="F31" i="11"/>
  <c r="G31" i="11"/>
  <c r="H31" i="11"/>
  <c r="I31" i="11"/>
  <c r="J31" i="11"/>
  <c r="K31" i="11"/>
  <c r="B32" i="11"/>
  <c r="C32" i="11"/>
  <c r="D32" i="11"/>
  <c r="E32" i="11"/>
  <c r="F32" i="11"/>
  <c r="G32" i="11"/>
  <c r="H32" i="11"/>
  <c r="I32" i="11"/>
  <c r="J32" i="11"/>
  <c r="K32" i="11"/>
  <c r="B33" i="11"/>
  <c r="C33" i="11"/>
  <c r="D33" i="11"/>
  <c r="E33" i="11"/>
  <c r="F33" i="11"/>
  <c r="G33" i="11"/>
  <c r="H33" i="11"/>
  <c r="I33" i="11"/>
  <c r="J33" i="11"/>
  <c r="K33" i="11"/>
  <c r="B34" i="11"/>
  <c r="C34" i="11"/>
  <c r="D34" i="11"/>
  <c r="E34" i="11"/>
  <c r="F34" i="11"/>
  <c r="G34" i="11"/>
  <c r="H34" i="11"/>
  <c r="I34" i="11"/>
  <c r="J34" i="11"/>
  <c r="K34" i="11"/>
  <c r="B35" i="11"/>
  <c r="C35" i="11"/>
  <c r="D35" i="11"/>
  <c r="E35" i="11"/>
  <c r="F35" i="11"/>
  <c r="G35" i="11"/>
  <c r="H35" i="11"/>
  <c r="I35" i="11"/>
  <c r="J35" i="11"/>
  <c r="K35" i="11"/>
  <c r="B36" i="11"/>
  <c r="C36" i="11"/>
  <c r="D36" i="11"/>
  <c r="E36" i="11"/>
  <c r="F36" i="11"/>
  <c r="G36" i="11"/>
  <c r="H36" i="11"/>
  <c r="I36" i="11"/>
  <c r="J36" i="11"/>
  <c r="K36" i="11"/>
  <c r="B37" i="11"/>
  <c r="C37" i="11"/>
  <c r="D37" i="11"/>
  <c r="E37" i="11"/>
  <c r="F37" i="11"/>
  <c r="G37" i="11"/>
  <c r="H37" i="11"/>
  <c r="I37" i="11"/>
  <c r="J37" i="11"/>
  <c r="K37" i="11"/>
  <c r="K3" i="11"/>
  <c r="J3" i="11"/>
  <c r="I3" i="11"/>
  <c r="H3" i="11"/>
  <c r="G3" i="11"/>
  <c r="F3" i="11"/>
  <c r="E3" i="11"/>
  <c r="D3" i="11"/>
  <c r="C3" i="11"/>
  <c r="B3" i="11"/>
  <c r="B4" i="12"/>
  <c r="C4" i="12"/>
  <c r="D4" i="12"/>
  <c r="E4" i="12"/>
  <c r="F4" i="12"/>
  <c r="G4" i="12"/>
  <c r="H4" i="12"/>
  <c r="I4" i="12"/>
  <c r="J4" i="12"/>
  <c r="K4" i="12"/>
  <c r="B5" i="12"/>
  <c r="L5" i="12" s="1"/>
  <c r="C5" i="12"/>
  <c r="D5" i="12"/>
  <c r="E5" i="12"/>
  <c r="F5" i="12"/>
  <c r="G5" i="12"/>
  <c r="H5" i="12"/>
  <c r="I5" i="12"/>
  <c r="J5" i="12"/>
  <c r="K5" i="12"/>
  <c r="B6" i="12"/>
  <c r="L6" i="12" s="1"/>
  <c r="C6" i="12"/>
  <c r="D6" i="12"/>
  <c r="E6" i="12"/>
  <c r="F6" i="12"/>
  <c r="G6" i="12"/>
  <c r="H6" i="12"/>
  <c r="I6" i="12"/>
  <c r="J6" i="12"/>
  <c r="K6" i="12"/>
  <c r="B7" i="12"/>
  <c r="L7" i="12" s="1"/>
  <c r="C7" i="12"/>
  <c r="D7" i="12"/>
  <c r="E7" i="12"/>
  <c r="F7" i="12"/>
  <c r="G7" i="12"/>
  <c r="H7" i="12"/>
  <c r="I7" i="12"/>
  <c r="J7" i="12"/>
  <c r="K7" i="12"/>
  <c r="B8" i="12"/>
  <c r="C8" i="12"/>
  <c r="D8" i="12"/>
  <c r="E8" i="12"/>
  <c r="F8" i="12"/>
  <c r="G8" i="12"/>
  <c r="H8" i="12"/>
  <c r="I8" i="12"/>
  <c r="J8" i="12"/>
  <c r="K8" i="12"/>
  <c r="B9" i="12"/>
  <c r="C9" i="12"/>
  <c r="D9" i="12"/>
  <c r="E9" i="12"/>
  <c r="F9" i="12"/>
  <c r="G9" i="12"/>
  <c r="H9" i="12"/>
  <c r="I9" i="12"/>
  <c r="J9" i="12"/>
  <c r="K9" i="12"/>
  <c r="B10" i="12"/>
  <c r="C10" i="12"/>
  <c r="D10" i="12"/>
  <c r="E10" i="12"/>
  <c r="F10" i="12"/>
  <c r="G10" i="12"/>
  <c r="H10" i="12"/>
  <c r="I10" i="12"/>
  <c r="J10" i="12"/>
  <c r="K10" i="12"/>
  <c r="B11" i="12"/>
  <c r="L11" i="12" s="1"/>
  <c r="C11" i="12"/>
  <c r="D11" i="12"/>
  <c r="E11" i="12"/>
  <c r="F11" i="12"/>
  <c r="G11" i="12"/>
  <c r="H11" i="12"/>
  <c r="I11" i="12"/>
  <c r="J11" i="12"/>
  <c r="K11" i="12"/>
  <c r="B12" i="12"/>
  <c r="C12" i="12"/>
  <c r="D12" i="12"/>
  <c r="E12" i="12"/>
  <c r="F12" i="12"/>
  <c r="G12" i="12"/>
  <c r="H12" i="12"/>
  <c r="I12" i="12"/>
  <c r="J12" i="12"/>
  <c r="K12" i="12"/>
  <c r="B13" i="12"/>
  <c r="L13" i="12" s="1"/>
  <c r="C13" i="12"/>
  <c r="D13" i="12"/>
  <c r="E13" i="12"/>
  <c r="F13" i="12"/>
  <c r="G13" i="12"/>
  <c r="H13" i="12"/>
  <c r="I13" i="12"/>
  <c r="J13" i="12"/>
  <c r="K13" i="12"/>
  <c r="B14" i="12"/>
  <c r="C14" i="12"/>
  <c r="D14" i="12"/>
  <c r="E14" i="12"/>
  <c r="F14" i="12"/>
  <c r="G14" i="12"/>
  <c r="H14" i="12"/>
  <c r="I14" i="12"/>
  <c r="J14" i="12"/>
  <c r="K14" i="12"/>
  <c r="B15" i="12"/>
  <c r="C15" i="12"/>
  <c r="D15" i="12"/>
  <c r="E15" i="12"/>
  <c r="F15" i="12"/>
  <c r="G15" i="12"/>
  <c r="H15" i="12"/>
  <c r="I15" i="12"/>
  <c r="J15" i="12"/>
  <c r="K15" i="12"/>
  <c r="B16" i="12"/>
  <c r="C16" i="12"/>
  <c r="D16" i="12"/>
  <c r="E16" i="12"/>
  <c r="F16" i="12"/>
  <c r="G16" i="12"/>
  <c r="H16" i="12"/>
  <c r="I16" i="12"/>
  <c r="J16" i="12"/>
  <c r="K16" i="12"/>
  <c r="B17" i="12"/>
  <c r="L17" i="12" s="1"/>
  <c r="C17" i="12"/>
  <c r="D17" i="12"/>
  <c r="E17" i="12"/>
  <c r="F17" i="12"/>
  <c r="G17" i="12"/>
  <c r="H17" i="12"/>
  <c r="I17" i="12"/>
  <c r="J17" i="12"/>
  <c r="K17" i="12"/>
  <c r="B18" i="12"/>
  <c r="L18" i="12" s="1"/>
  <c r="C18" i="12"/>
  <c r="D18" i="12"/>
  <c r="E18" i="12"/>
  <c r="F18" i="12"/>
  <c r="G18" i="12"/>
  <c r="H18" i="12"/>
  <c r="I18" i="12"/>
  <c r="J18" i="12"/>
  <c r="K18" i="12"/>
  <c r="B19" i="12"/>
  <c r="L19" i="12" s="1"/>
  <c r="C19" i="12"/>
  <c r="D19" i="12"/>
  <c r="E19" i="12"/>
  <c r="F19" i="12"/>
  <c r="G19" i="12"/>
  <c r="H19" i="12"/>
  <c r="I19" i="12"/>
  <c r="J19" i="12"/>
  <c r="K19" i="12"/>
  <c r="B20" i="12"/>
  <c r="L20" i="12" s="1"/>
  <c r="C20" i="12"/>
  <c r="D20" i="12"/>
  <c r="E20" i="12"/>
  <c r="F20" i="12"/>
  <c r="G20" i="12"/>
  <c r="H20" i="12"/>
  <c r="I20" i="12"/>
  <c r="J20" i="12"/>
  <c r="K20" i="12"/>
  <c r="B21" i="12"/>
  <c r="C21" i="12"/>
  <c r="D21" i="12"/>
  <c r="E21" i="12"/>
  <c r="F21" i="12"/>
  <c r="G21" i="12"/>
  <c r="H21" i="12"/>
  <c r="I21" i="12"/>
  <c r="J21" i="12"/>
  <c r="K21" i="12"/>
  <c r="B22" i="12"/>
  <c r="C22" i="12"/>
  <c r="D22" i="12"/>
  <c r="E22" i="12"/>
  <c r="F22" i="12"/>
  <c r="G22" i="12"/>
  <c r="H22" i="12"/>
  <c r="I22" i="12"/>
  <c r="J22" i="12"/>
  <c r="K22" i="12"/>
  <c r="B23" i="12"/>
  <c r="L23" i="12" s="1"/>
  <c r="C23" i="12"/>
  <c r="D23" i="12"/>
  <c r="E23" i="12"/>
  <c r="F23" i="12"/>
  <c r="G23" i="12"/>
  <c r="H23" i="12"/>
  <c r="I23" i="12"/>
  <c r="J23" i="12"/>
  <c r="K23" i="12"/>
  <c r="B24" i="12"/>
  <c r="L24" i="12" s="1"/>
  <c r="C24" i="12"/>
  <c r="D24" i="12"/>
  <c r="E24" i="12"/>
  <c r="F24" i="12"/>
  <c r="G24" i="12"/>
  <c r="H24" i="12"/>
  <c r="I24" i="12"/>
  <c r="J24" i="12"/>
  <c r="K24" i="12"/>
  <c r="B25" i="12"/>
  <c r="L25" i="12" s="1"/>
  <c r="C25" i="12"/>
  <c r="D25" i="12"/>
  <c r="E25" i="12"/>
  <c r="F25" i="12"/>
  <c r="G25" i="12"/>
  <c r="H25" i="12"/>
  <c r="I25" i="12"/>
  <c r="J25" i="12"/>
  <c r="K25" i="12"/>
  <c r="B26" i="12"/>
  <c r="L26" i="12" s="1"/>
  <c r="C26" i="12"/>
  <c r="D26" i="12"/>
  <c r="E26" i="12"/>
  <c r="F26" i="12"/>
  <c r="G26" i="12"/>
  <c r="H26" i="12"/>
  <c r="I26" i="12"/>
  <c r="J26" i="12"/>
  <c r="K26" i="12"/>
  <c r="B27" i="12"/>
  <c r="C27" i="12"/>
  <c r="D27" i="12"/>
  <c r="E27" i="12"/>
  <c r="F27" i="12"/>
  <c r="G27" i="12"/>
  <c r="H27" i="12"/>
  <c r="I27" i="12"/>
  <c r="J27" i="12"/>
  <c r="K27" i="12"/>
  <c r="B28" i="12"/>
  <c r="C28" i="12"/>
  <c r="D28" i="12"/>
  <c r="E28" i="12"/>
  <c r="F28" i="12"/>
  <c r="G28" i="12"/>
  <c r="H28" i="12"/>
  <c r="I28" i="12"/>
  <c r="J28" i="12"/>
  <c r="K28" i="12"/>
  <c r="B29" i="12"/>
  <c r="L29" i="12" s="1"/>
  <c r="C29" i="12"/>
  <c r="D29" i="12"/>
  <c r="E29" i="12"/>
  <c r="F29" i="12"/>
  <c r="G29" i="12"/>
  <c r="H29" i="12"/>
  <c r="I29" i="12"/>
  <c r="J29" i="12"/>
  <c r="K29" i="12"/>
  <c r="B30" i="12"/>
  <c r="L30" i="12" s="1"/>
  <c r="C30" i="12"/>
  <c r="D30" i="12"/>
  <c r="E30" i="12"/>
  <c r="F30" i="12"/>
  <c r="G30" i="12"/>
  <c r="H30" i="12"/>
  <c r="I30" i="12"/>
  <c r="J30" i="12"/>
  <c r="K30" i="12"/>
  <c r="B31" i="12"/>
  <c r="L31" i="12" s="1"/>
  <c r="C31" i="12"/>
  <c r="D31" i="12"/>
  <c r="E31" i="12"/>
  <c r="F31" i="12"/>
  <c r="G31" i="12"/>
  <c r="H31" i="12"/>
  <c r="I31" i="12"/>
  <c r="J31" i="12"/>
  <c r="K31" i="12"/>
  <c r="B32" i="12"/>
  <c r="C32" i="12"/>
  <c r="D32" i="12"/>
  <c r="E32" i="12"/>
  <c r="F32" i="12"/>
  <c r="G32" i="12"/>
  <c r="H32" i="12"/>
  <c r="I32" i="12"/>
  <c r="J32" i="12"/>
  <c r="K32" i="12"/>
  <c r="B33" i="12"/>
  <c r="C33" i="12"/>
  <c r="D33" i="12"/>
  <c r="E33" i="12"/>
  <c r="F33" i="12"/>
  <c r="G33" i="12"/>
  <c r="H33" i="12"/>
  <c r="I33" i="12"/>
  <c r="J33" i="12"/>
  <c r="K33" i="12"/>
  <c r="B34" i="12"/>
  <c r="C34" i="12"/>
  <c r="D34" i="12"/>
  <c r="E34" i="12"/>
  <c r="F34" i="12"/>
  <c r="G34" i="12"/>
  <c r="H34" i="12"/>
  <c r="I34" i="12"/>
  <c r="J34" i="12"/>
  <c r="K34" i="12"/>
  <c r="B35" i="12"/>
  <c r="L35" i="12" s="1"/>
  <c r="C35" i="12"/>
  <c r="D35" i="12"/>
  <c r="E35" i="12"/>
  <c r="F35" i="12"/>
  <c r="G35" i="12"/>
  <c r="H35" i="12"/>
  <c r="I35" i="12"/>
  <c r="J35" i="12"/>
  <c r="K35" i="12"/>
  <c r="B36" i="12"/>
  <c r="L36" i="12" s="1"/>
  <c r="C36" i="12"/>
  <c r="D36" i="12"/>
  <c r="E36" i="12"/>
  <c r="F36" i="12"/>
  <c r="G36" i="12"/>
  <c r="H36" i="12"/>
  <c r="I36" i="12"/>
  <c r="J36" i="12"/>
  <c r="K36" i="12"/>
  <c r="B37" i="12"/>
  <c r="L37" i="12" s="1"/>
  <c r="C37" i="12"/>
  <c r="D37" i="12"/>
  <c r="E37" i="12"/>
  <c r="F37" i="12"/>
  <c r="G37" i="12"/>
  <c r="H37" i="12"/>
  <c r="I37" i="12"/>
  <c r="J37" i="12"/>
  <c r="K37" i="12"/>
  <c r="B38" i="12"/>
  <c r="L38" i="12" s="1"/>
  <c r="C38" i="12"/>
  <c r="D38" i="12"/>
  <c r="E38" i="12"/>
  <c r="F38" i="12"/>
  <c r="G38" i="12"/>
  <c r="H38" i="12"/>
  <c r="I38" i="12"/>
  <c r="J38" i="12"/>
  <c r="K38" i="12"/>
  <c r="B39" i="12"/>
  <c r="C39" i="12"/>
  <c r="D39" i="12"/>
  <c r="E39" i="12"/>
  <c r="F39" i="12"/>
  <c r="G39" i="12"/>
  <c r="H39" i="12"/>
  <c r="I39" i="12"/>
  <c r="J39" i="12"/>
  <c r="K39" i="12"/>
  <c r="B40" i="12"/>
  <c r="C40" i="12"/>
  <c r="D40" i="12"/>
  <c r="E40" i="12"/>
  <c r="F40" i="12"/>
  <c r="G40" i="12"/>
  <c r="H40" i="12"/>
  <c r="I40" i="12"/>
  <c r="J40" i="12"/>
  <c r="K40" i="12"/>
  <c r="B41" i="12"/>
  <c r="L41" i="12" s="1"/>
  <c r="C41" i="12"/>
  <c r="D41" i="12"/>
  <c r="E41" i="12"/>
  <c r="F41" i="12"/>
  <c r="G41" i="12"/>
  <c r="H41" i="12"/>
  <c r="I41" i="12"/>
  <c r="J41" i="12"/>
  <c r="K41" i="12"/>
  <c r="B42" i="12"/>
  <c r="L42" i="12" s="1"/>
  <c r="C42" i="12"/>
  <c r="D42" i="12"/>
  <c r="E42" i="12"/>
  <c r="F42" i="12"/>
  <c r="G42" i="12"/>
  <c r="H42" i="12"/>
  <c r="I42" i="12"/>
  <c r="J42" i="12"/>
  <c r="K42" i="12"/>
  <c r="B43" i="12"/>
  <c r="L43" i="12" s="1"/>
  <c r="C43" i="12"/>
  <c r="D43" i="12"/>
  <c r="E43" i="12"/>
  <c r="F43" i="12"/>
  <c r="G43" i="12"/>
  <c r="H43" i="12"/>
  <c r="I43" i="12"/>
  <c r="J43" i="12"/>
  <c r="K43" i="12"/>
  <c r="B44" i="12"/>
  <c r="L44" i="12" s="1"/>
  <c r="C44" i="12"/>
  <c r="D44" i="12"/>
  <c r="E44" i="12"/>
  <c r="F44" i="12"/>
  <c r="G44" i="12"/>
  <c r="H44" i="12"/>
  <c r="I44" i="12"/>
  <c r="J44" i="12"/>
  <c r="K44" i="12"/>
  <c r="B45" i="12"/>
  <c r="C45" i="12"/>
  <c r="D45" i="12"/>
  <c r="E45" i="12"/>
  <c r="F45" i="12"/>
  <c r="G45" i="12"/>
  <c r="H45" i="12"/>
  <c r="I45" i="12"/>
  <c r="J45" i="12"/>
  <c r="K45" i="12"/>
  <c r="B46" i="12"/>
  <c r="C46" i="12"/>
  <c r="D46" i="12"/>
  <c r="E46" i="12"/>
  <c r="F46" i="12"/>
  <c r="G46" i="12"/>
  <c r="H46" i="12"/>
  <c r="I46" i="12"/>
  <c r="J46" i="12"/>
  <c r="K46" i="12"/>
  <c r="B47" i="12"/>
  <c r="L47" i="12" s="1"/>
  <c r="C47" i="12"/>
  <c r="D47" i="12"/>
  <c r="E47" i="12"/>
  <c r="F47" i="12"/>
  <c r="G47" i="12"/>
  <c r="H47" i="12"/>
  <c r="I47" i="12"/>
  <c r="J47" i="12"/>
  <c r="K47" i="12"/>
  <c r="B48" i="12"/>
  <c r="C48" i="12"/>
  <c r="D48" i="12"/>
  <c r="E48" i="12"/>
  <c r="F48" i="12"/>
  <c r="G48" i="12"/>
  <c r="H48" i="12"/>
  <c r="I48" i="12"/>
  <c r="J48" i="12"/>
  <c r="K48" i="12"/>
  <c r="B49" i="12"/>
  <c r="L49" i="12" s="1"/>
  <c r="C49" i="12"/>
  <c r="D49" i="12"/>
  <c r="E49" i="12"/>
  <c r="F49" i="12"/>
  <c r="G49" i="12"/>
  <c r="H49" i="12"/>
  <c r="I49" i="12"/>
  <c r="J49" i="12"/>
  <c r="K49" i="12"/>
  <c r="B50" i="12"/>
  <c r="L50" i="12" s="1"/>
  <c r="C50" i="12"/>
  <c r="D50" i="12"/>
  <c r="E50" i="12"/>
  <c r="F50" i="12"/>
  <c r="G50" i="12"/>
  <c r="H50" i="12"/>
  <c r="I50" i="12"/>
  <c r="J50" i="12"/>
  <c r="K50" i="12"/>
  <c r="B51" i="12"/>
  <c r="C51" i="12"/>
  <c r="D51" i="12"/>
  <c r="E51" i="12"/>
  <c r="F51" i="12"/>
  <c r="G51" i="12"/>
  <c r="H51" i="12"/>
  <c r="I51" i="12"/>
  <c r="J51" i="12"/>
  <c r="K51" i="12"/>
  <c r="B52" i="12"/>
  <c r="C52" i="12"/>
  <c r="D52" i="12"/>
  <c r="E52" i="12"/>
  <c r="F52" i="12"/>
  <c r="G52" i="12"/>
  <c r="H52" i="12"/>
  <c r="I52" i="12"/>
  <c r="J52" i="12"/>
  <c r="K52" i="12"/>
  <c r="B53" i="12"/>
  <c r="L53" i="12" s="1"/>
  <c r="C53" i="12"/>
  <c r="D53" i="12"/>
  <c r="E53" i="12"/>
  <c r="F53" i="12"/>
  <c r="G53" i="12"/>
  <c r="H53" i="12"/>
  <c r="I53" i="12"/>
  <c r="J53" i="12"/>
  <c r="K53" i="12"/>
  <c r="B54" i="12"/>
  <c r="L54" i="12" s="1"/>
  <c r="C54" i="12"/>
  <c r="D54" i="12"/>
  <c r="E54" i="12"/>
  <c r="F54" i="12"/>
  <c r="G54" i="12"/>
  <c r="H54" i="12"/>
  <c r="I54" i="12"/>
  <c r="J54" i="12"/>
  <c r="K54" i="12"/>
  <c r="B55" i="12"/>
  <c r="L55" i="12" s="1"/>
  <c r="C55" i="12"/>
  <c r="D55" i="12"/>
  <c r="E55" i="12"/>
  <c r="F55" i="12"/>
  <c r="G55" i="12"/>
  <c r="H55" i="12"/>
  <c r="I55" i="12"/>
  <c r="J55" i="12"/>
  <c r="K55" i="12"/>
  <c r="B56" i="12"/>
  <c r="C56" i="12"/>
  <c r="D56" i="12"/>
  <c r="E56" i="12"/>
  <c r="F56" i="12"/>
  <c r="G56" i="12"/>
  <c r="H56" i="12"/>
  <c r="I56" i="12"/>
  <c r="J56" i="12"/>
  <c r="K56" i="12"/>
  <c r="B57" i="12"/>
  <c r="C57" i="12"/>
  <c r="D57" i="12"/>
  <c r="E57" i="12"/>
  <c r="F57" i="12"/>
  <c r="G57" i="12"/>
  <c r="H57" i="12"/>
  <c r="I57" i="12"/>
  <c r="J57" i="12"/>
  <c r="K57" i="12"/>
  <c r="B58" i="12"/>
  <c r="C58" i="12"/>
  <c r="D58" i="12"/>
  <c r="E58" i="12"/>
  <c r="F58" i="12"/>
  <c r="G58" i="12"/>
  <c r="H58" i="12"/>
  <c r="I58" i="12"/>
  <c r="J58" i="12"/>
  <c r="K58" i="12"/>
  <c r="B59" i="12"/>
  <c r="L59" i="12" s="1"/>
  <c r="C59" i="12"/>
  <c r="D59" i="12"/>
  <c r="E59" i="12"/>
  <c r="F59" i="12"/>
  <c r="G59" i="12"/>
  <c r="H59" i="12"/>
  <c r="I59" i="12"/>
  <c r="J59" i="12"/>
  <c r="K59" i="12"/>
  <c r="B60" i="12"/>
  <c r="L60" i="12" s="1"/>
  <c r="C60" i="12"/>
  <c r="D60" i="12"/>
  <c r="E60" i="12"/>
  <c r="F60" i="12"/>
  <c r="G60" i="12"/>
  <c r="H60" i="12"/>
  <c r="I60" i="12"/>
  <c r="J60" i="12"/>
  <c r="K60" i="12"/>
  <c r="B61" i="12"/>
  <c r="L61" i="12" s="1"/>
  <c r="C61" i="12"/>
  <c r="D61" i="12"/>
  <c r="E61" i="12"/>
  <c r="F61" i="12"/>
  <c r="G61" i="12"/>
  <c r="H61" i="12"/>
  <c r="I61" i="12"/>
  <c r="J61" i="12"/>
  <c r="K61" i="12"/>
  <c r="B62" i="12"/>
  <c r="L62" i="12" s="1"/>
  <c r="C62" i="12"/>
  <c r="D62" i="12"/>
  <c r="E62" i="12"/>
  <c r="F62" i="12"/>
  <c r="G62" i="12"/>
  <c r="H62" i="12"/>
  <c r="I62" i="12"/>
  <c r="J62" i="12"/>
  <c r="K62" i="12"/>
  <c r="B63" i="12"/>
  <c r="C63" i="12"/>
  <c r="D63" i="12"/>
  <c r="E63" i="12"/>
  <c r="F63" i="12"/>
  <c r="G63" i="12"/>
  <c r="H63" i="12"/>
  <c r="I63" i="12"/>
  <c r="J63" i="12"/>
  <c r="K63" i="12"/>
  <c r="B64" i="12"/>
  <c r="C64" i="12"/>
  <c r="D64" i="12"/>
  <c r="E64" i="12"/>
  <c r="F64" i="12"/>
  <c r="G64" i="12"/>
  <c r="H64" i="12"/>
  <c r="I64" i="12"/>
  <c r="J64" i="12"/>
  <c r="K64" i="12"/>
  <c r="B65" i="12"/>
  <c r="L65" i="12" s="1"/>
  <c r="C65" i="12"/>
  <c r="D65" i="12"/>
  <c r="E65" i="12"/>
  <c r="F65" i="12"/>
  <c r="G65" i="12"/>
  <c r="H65" i="12"/>
  <c r="I65" i="12"/>
  <c r="J65" i="12"/>
  <c r="K65" i="12"/>
  <c r="B66" i="12"/>
  <c r="L66" i="12" s="1"/>
  <c r="C66" i="12"/>
  <c r="D66" i="12"/>
  <c r="E66" i="12"/>
  <c r="F66" i="12"/>
  <c r="G66" i="12"/>
  <c r="H66" i="12"/>
  <c r="I66" i="12"/>
  <c r="J66" i="12"/>
  <c r="K66" i="12"/>
  <c r="B67" i="12"/>
  <c r="L67" i="12" s="1"/>
  <c r="C67" i="12"/>
  <c r="D67" i="12"/>
  <c r="E67" i="12"/>
  <c r="F67" i="12"/>
  <c r="G67" i="12"/>
  <c r="H67" i="12"/>
  <c r="I67" i="12"/>
  <c r="J67" i="12"/>
  <c r="K67" i="12"/>
  <c r="B68" i="12"/>
  <c r="C68" i="12"/>
  <c r="D68" i="12"/>
  <c r="E68" i="12"/>
  <c r="F68" i="12"/>
  <c r="G68" i="12"/>
  <c r="H68" i="12"/>
  <c r="I68" i="12"/>
  <c r="J68" i="12"/>
  <c r="K68" i="12"/>
  <c r="B69" i="12"/>
  <c r="C69" i="12"/>
  <c r="D69" i="12"/>
  <c r="E69" i="12"/>
  <c r="F69" i="12"/>
  <c r="G69" i="12"/>
  <c r="H69" i="12"/>
  <c r="I69" i="12"/>
  <c r="J69" i="12"/>
  <c r="K69" i="12"/>
  <c r="B70" i="12"/>
  <c r="C70" i="12"/>
  <c r="D70" i="12"/>
  <c r="E70" i="12"/>
  <c r="F70" i="12"/>
  <c r="G70" i="12"/>
  <c r="H70" i="12"/>
  <c r="I70" i="12"/>
  <c r="J70" i="12"/>
  <c r="K70" i="12"/>
  <c r="B71" i="12"/>
  <c r="L71" i="12" s="1"/>
  <c r="C71" i="12"/>
  <c r="D71" i="12"/>
  <c r="E71" i="12"/>
  <c r="F71" i="12"/>
  <c r="G71" i="12"/>
  <c r="H71" i="12"/>
  <c r="I71" i="12"/>
  <c r="J71" i="12"/>
  <c r="K71" i="12"/>
  <c r="B72" i="12"/>
  <c r="C72" i="12"/>
  <c r="D72" i="12"/>
  <c r="E72" i="12"/>
  <c r="F72" i="12"/>
  <c r="G72" i="12"/>
  <c r="H72" i="12"/>
  <c r="I72" i="12"/>
  <c r="J72" i="12"/>
  <c r="K72" i="12"/>
  <c r="B73" i="12"/>
  <c r="L73" i="12" s="1"/>
  <c r="C73" i="12"/>
  <c r="D73" i="12"/>
  <c r="E73" i="12"/>
  <c r="F73" i="12"/>
  <c r="G73" i="12"/>
  <c r="H73" i="12"/>
  <c r="I73" i="12"/>
  <c r="J73" i="12"/>
  <c r="K73" i="12"/>
  <c r="B74" i="12"/>
  <c r="C74" i="12"/>
  <c r="D74" i="12"/>
  <c r="E74" i="12"/>
  <c r="F74" i="12"/>
  <c r="G74" i="12"/>
  <c r="H74" i="12"/>
  <c r="I74" i="12"/>
  <c r="J74" i="12"/>
  <c r="K74" i="12"/>
  <c r="B75" i="12"/>
  <c r="C75" i="12"/>
  <c r="D75" i="12"/>
  <c r="E75" i="12"/>
  <c r="F75" i="12"/>
  <c r="G75" i="12"/>
  <c r="H75" i="12"/>
  <c r="I75" i="12"/>
  <c r="J75" i="12"/>
  <c r="K75" i="12"/>
  <c r="B76" i="12"/>
  <c r="C76" i="12"/>
  <c r="D76" i="12"/>
  <c r="E76" i="12"/>
  <c r="F76" i="12"/>
  <c r="G76" i="12"/>
  <c r="H76" i="12"/>
  <c r="I76" i="12"/>
  <c r="J76" i="12"/>
  <c r="K76" i="12"/>
  <c r="B77" i="12"/>
  <c r="L77" i="12" s="1"/>
  <c r="C77" i="12"/>
  <c r="D77" i="12"/>
  <c r="E77" i="12"/>
  <c r="F77" i="12"/>
  <c r="G77" i="12"/>
  <c r="H77" i="12"/>
  <c r="I77" i="12"/>
  <c r="J77" i="12"/>
  <c r="K77" i="12"/>
  <c r="B78" i="12"/>
  <c r="L78" i="12" s="1"/>
  <c r="C78" i="12"/>
  <c r="D78" i="12"/>
  <c r="E78" i="12"/>
  <c r="F78" i="12"/>
  <c r="G78" i="12"/>
  <c r="H78" i="12"/>
  <c r="I78" i="12"/>
  <c r="J78" i="12"/>
  <c r="K78" i="12"/>
  <c r="B79" i="12"/>
  <c r="L79" i="12" s="1"/>
  <c r="C79" i="12"/>
  <c r="D79" i="12"/>
  <c r="E79" i="12"/>
  <c r="F79" i="12"/>
  <c r="G79" i="12"/>
  <c r="H79" i="12"/>
  <c r="I79" i="12"/>
  <c r="J79" i="12"/>
  <c r="K79" i="12"/>
  <c r="B80" i="12"/>
  <c r="L80" i="12" s="1"/>
  <c r="C80" i="12"/>
  <c r="D80" i="12"/>
  <c r="E80" i="12"/>
  <c r="F80" i="12"/>
  <c r="G80" i="12"/>
  <c r="H80" i="12"/>
  <c r="I80" i="12"/>
  <c r="J80" i="12"/>
  <c r="K80" i="12"/>
  <c r="B81" i="12"/>
  <c r="C81" i="12"/>
  <c r="D81" i="12"/>
  <c r="E81" i="12"/>
  <c r="F81" i="12"/>
  <c r="G81" i="12"/>
  <c r="H81" i="12"/>
  <c r="I81" i="12"/>
  <c r="J81" i="12"/>
  <c r="K81" i="12"/>
  <c r="B82" i="12"/>
  <c r="C82" i="12"/>
  <c r="D82" i="12"/>
  <c r="E82" i="12"/>
  <c r="F82" i="12"/>
  <c r="G82" i="12"/>
  <c r="H82" i="12"/>
  <c r="I82" i="12"/>
  <c r="J82" i="12"/>
  <c r="K82" i="12"/>
  <c r="B83" i="12"/>
  <c r="L83" i="12" s="1"/>
  <c r="C83" i="12"/>
  <c r="D83" i="12"/>
  <c r="E83" i="12"/>
  <c r="F83" i="12"/>
  <c r="G83" i="12"/>
  <c r="H83" i="12"/>
  <c r="I83" i="12"/>
  <c r="J83" i="12"/>
  <c r="K83" i="12"/>
  <c r="B84" i="12"/>
  <c r="L84" i="12" s="1"/>
  <c r="C84" i="12"/>
  <c r="D84" i="12"/>
  <c r="E84" i="12"/>
  <c r="F84" i="12"/>
  <c r="G84" i="12"/>
  <c r="H84" i="12"/>
  <c r="I84" i="12"/>
  <c r="J84" i="12"/>
  <c r="K84" i="12"/>
  <c r="B85" i="12"/>
  <c r="L85" i="12" s="1"/>
  <c r="C85" i="12"/>
  <c r="D85" i="12"/>
  <c r="E85" i="12"/>
  <c r="F85" i="12"/>
  <c r="G85" i="12"/>
  <c r="H85" i="12"/>
  <c r="I85" i="12"/>
  <c r="J85" i="12"/>
  <c r="K85" i="12"/>
  <c r="B86" i="12"/>
  <c r="C86" i="12"/>
  <c r="D86" i="12"/>
  <c r="E86" i="12"/>
  <c r="F86" i="12"/>
  <c r="G86" i="12"/>
  <c r="H86" i="12"/>
  <c r="I86" i="12"/>
  <c r="J86" i="12"/>
  <c r="K86" i="12"/>
  <c r="B87" i="12"/>
  <c r="C87" i="12"/>
  <c r="D87" i="12"/>
  <c r="E87" i="12"/>
  <c r="F87" i="12"/>
  <c r="G87" i="12"/>
  <c r="H87" i="12"/>
  <c r="I87" i="12"/>
  <c r="J87" i="12"/>
  <c r="K87" i="12"/>
  <c r="B88" i="12"/>
  <c r="C88" i="12"/>
  <c r="D88" i="12"/>
  <c r="E88" i="12"/>
  <c r="F88" i="12"/>
  <c r="G88" i="12"/>
  <c r="H88" i="12"/>
  <c r="I88" i="12"/>
  <c r="J88" i="12"/>
  <c r="K88" i="12"/>
  <c r="B89" i="12"/>
  <c r="L89" i="12" s="1"/>
  <c r="C89" i="12"/>
  <c r="D89" i="12"/>
  <c r="E89" i="12"/>
  <c r="F89" i="12"/>
  <c r="G89" i="12"/>
  <c r="H89" i="12"/>
  <c r="I89" i="12"/>
  <c r="J89" i="12"/>
  <c r="K89" i="12"/>
  <c r="B90" i="12"/>
  <c r="L90" i="12" s="1"/>
  <c r="C90" i="12"/>
  <c r="D90" i="12"/>
  <c r="E90" i="12"/>
  <c r="F90" i="12"/>
  <c r="G90" i="12"/>
  <c r="H90" i="12"/>
  <c r="I90" i="12"/>
  <c r="J90" i="12"/>
  <c r="K90" i="12"/>
  <c r="B91" i="12"/>
  <c r="L91" i="12" s="1"/>
  <c r="C91" i="12"/>
  <c r="D91" i="12"/>
  <c r="E91" i="12"/>
  <c r="F91" i="12"/>
  <c r="G91" i="12"/>
  <c r="H91" i="12"/>
  <c r="I91" i="12"/>
  <c r="J91" i="12"/>
  <c r="K91" i="12"/>
  <c r="B92" i="12"/>
  <c r="C92" i="12"/>
  <c r="D92" i="12"/>
  <c r="E92" i="12"/>
  <c r="F92" i="12"/>
  <c r="G92" i="12"/>
  <c r="H92" i="12"/>
  <c r="I92" i="12"/>
  <c r="J92" i="12"/>
  <c r="K92" i="12"/>
  <c r="B93" i="12"/>
  <c r="C93" i="12"/>
  <c r="D93" i="12"/>
  <c r="E93" i="12"/>
  <c r="F93" i="12"/>
  <c r="G93" i="12"/>
  <c r="H93" i="12"/>
  <c r="I93" i="12"/>
  <c r="J93" i="12"/>
  <c r="K93" i="12"/>
  <c r="B94" i="12"/>
  <c r="C94" i="12"/>
  <c r="D94" i="12"/>
  <c r="E94" i="12"/>
  <c r="F94" i="12"/>
  <c r="G94" i="12"/>
  <c r="H94" i="12"/>
  <c r="I94" i="12"/>
  <c r="J94" i="12"/>
  <c r="K94" i="12"/>
  <c r="B95" i="12"/>
  <c r="L95" i="12" s="1"/>
  <c r="C95" i="12"/>
  <c r="D95" i="12"/>
  <c r="E95" i="12"/>
  <c r="F95" i="12"/>
  <c r="G95" i="12"/>
  <c r="H95" i="12"/>
  <c r="I95" i="12"/>
  <c r="J95" i="12"/>
  <c r="K95" i="12"/>
  <c r="B96" i="12"/>
  <c r="L96" i="12" s="1"/>
  <c r="C96" i="12"/>
  <c r="D96" i="12"/>
  <c r="E96" i="12"/>
  <c r="F96" i="12"/>
  <c r="G96" i="12"/>
  <c r="H96" i="12"/>
  <c r="I96" i="12"/>
  <c r="J96" i="12"/>
  <c r="K96" i="12"/>
  <c r="B97" i="12"/>
  <c r="L97" i="12" s="1"/>
  <c r="C97" i="12"/>
  <c r="D97" i="12"/>
  <c r="E97" i="12"/>
  <c r="F97" i="12"/>
  <c r="G97" i="12"/>
  <c r="H97" i="12"/>
  <c r="I97" i="12"/>
  <c r="J97" i="12"/>
  <c r="K97" i="12"/>
  <c r="B98" i="12"/>
  <c r="L98" i="12" s="1"/>
  <c r="C98" i="12"/>
  <c r="D98" i="12"/>
  <c r="E98" i="12"/>
  <c r="F98" i="12"/>
  <c r="G98" i="12"/>
  <c r="H98" i="12"/>
  <c r="I98" i="12"/>
  <c r="J98" i="12"/>
  <c r="K98" i="12"/>
  <c r="B99" i="12"/>
  <c r="C99" i="12"/>
  <c r="D99" i="12"/>
  <c r="E99" i="12"/>
  <c r="F99" i="12"/>
  <c r="G99" i="12"/>
  <c r="H99" i="12"/>
  <c r="I99" i="12"/>
  <c r="J99" i="12"/>
  <c r="K99" i="12"/>
  <c r="B100" i="12"/>
  <c r="C100" i="12"/>
  <c r="D100" i="12"/>
  <c r="E100" i="12"/>
  <c r="F100" i="12"/>
  <c r="G100" i="12"/>
  <c r="H100" i="12"/>
  <c r="I100" i="12"/>
  <c r="J100" i="12"/>
  <c r="K100" i="12"/>
  <c r="B101" i="12"/>
  <c r="L101" i="12" s="1"/>
  <c r="C101" i="12"/>
  <c r="D101" i="12"/>
  <c r="E101" i="12"/>
  <c r="F101" i="12"/>
  <c r="G101" i="12"/>
  <c r="H101" i="12"/>
  <c r="I101" i="12"/>
  <c r="J101" i="12"/>
  <c r="K101" i="12"/>
  <c r="B102" i="12"/>
  <c r="L102" i="12" s="1"/>
  <c r="C102" i="12"/>
  <c r="D102" i="12"/>
  <c r="E102" i="12"/>
  <c r="F102" i="12"/>
  <c r="G102" i="12"/>
  <c r="H102" i="12"/>
  <c r="I102" i="12"/>
  <c r="J102" i="12"/>
  <c r="K102" i="12"/>
  <c r="B103" i="12"/>
  <c r="L103" i="12" s="1"/>
  <c r="C103" i="12"/>
  <c r="D103" i="12"/>
  <c r="E103" i="12"/>
  <c r="F103" i="12"/>
  <c r="G103" i="12"/>
  <c r="H103" i="12"/>
  <c r="I103" i="12"/>
  <c r="J103" i="12"/>
  <c r="K103" i="12"/>
  <c r="B104" i="12"/>
  <c r="L104" i="12" s="1"/>
  <c r="C104" i="12"/>
  <c r="D104" i="12"/>
  <c r="E104" i="12"/>
  <c r="F104" i="12"/>
  <c r="G104" i="12"/>
  <c r="H104" i="12"/>
  <c r="I104" i="12"/>
  <c r="J104" i="12"/>
  <c r="K104" i="12"/>
  <c r="B105" i="12"/>
  <c r="C105" i="12"/>
  <c r="D105" i="12"/>
  <c r="E105" i="12"/>
  <c r="F105" i="12"/>
  <c r="G105" i="12"/>
  <c r="H105" i="12"/>
  <c r="I105" i="12"/>
  <c r="J105" i="12"/>
  <c r="K105" i="12"/>
  <c r="B106" i="12"/>
  <c r="C106" i="12"/>
  <c r="D106" i="12"/>
  <c r="E106" i="12"/>
  <c r="F106" i="12"/>
  <c r="G106" i="12"/>
  <c r="H106" i="12"/>
  <c r="I106" i="12"/>
  <c r="J106" i="12"/>
  <c r="K106" i="12"/>
  <c r="B107" i="12"/>
  <c r="L107" i="12" s="1"/>
  <c r="C107" i="12"/>
  <c r="D107" i="12"/>
  <c r="E107" i="12"/>
  <c r="F107" i="12"/>
  <c r="G107" i="12"/>
  <c r="H107" i="12"/>
  <c r="I107" i="12"/>
  <c r="J107" i="12"/>
  <c r="K107" i="12"/>
  <c r="B108" i="12"/>
  <c r="L108" i="12" s="1"/>
  <c r="C108" i="12"/>
  <c r="D108" i="12"/>
  <c r="E108" i="12"/>
  <c r="F108" i="12"/>
  <c r="G108" i="12"/>
  <c r="H108" i="12"/>
  <c r="I108" i="12"/>
  <c r="J108" i="12"/>
  <c r="K108" i="12"/>
  <c r="B109" i="12"/>
  <c r="L109" i="12" s="1"/>
  <c r="C109" i="12"/>
  <c r="D109" i="12"/>
  <c r="E109" i="12"/>
  <c r="F109" i="12"/>
  <c r="G109" i="12"/>
  <c r="H109" i="12"/>
  <c r="I109" i="12"/>
  <c r="J109" i="12"/>
  <c r="K109" i="12"/>
  <c r="B110" i="12"/>
  <c r="C110" i="12"/>
  <c r="D110" i="12"/>
  <c r="E110" i="12"/>
  <c r="F110" i="12"/>
  <c r="G110" i="12"/>
  <c r="H110" i="12"/>
  <c r="I110" i="12"/>
  <c r="J110" i="12"/>
  <c r="K110" i="12"/>
  <c r="B111" i="12"/>
  <c r="C111" i="12"/>
  <c r="D111" i="12"/>
  <c r="E111" i="12"/>
  <c r="F111" i="12"/>
  <c r="G111" i="12"/>
  <c r="H111" i="12"/>
  <c r="I111" i="12"/>
  <c r="J111" i="12"/>
  <c r="K111" i="12"/>
  <c r="B112" i="12"/>
  <c r="C112" i="12"/>
  <c r="D112" i="12"/>
  <c r="E112" i="12"/>
  <c r="F112" i="12"/>
  <c r="G112" i="12"/>
  <c r="H112" i="12"/>
  <c r="I112" i="12"/>
  <c r="J112" i="12"/>
  <c r="K112" i="12"/>
  <c r="B113" i="12"/>
  <c r="L113" i="12" s="1"/>
  <c r="C113" i="12"/>
  <c r="D113" i="12"/>
  <c r="E113" i="12"/>
  <c r="F113" i="12"/>
  <c r="G113" i="12"/>
  <c r="H113" i="12"/>
  <c r="I113" i="12"/>
  <c r="J113" i="12"/>
  <c r="K113" i="12"/>
  <c r="B114" i="12"/>
  <c r="L114" i="12" s="1"/>
  <c r="C114" i="12"/>
  <c r="D114" i="12"/>
  <c r="E114" i="12"/>
  <c r="F114" i="12"/>
  <c r="G114" i="12"/>
  <c r="H114" i="12"/>
  <c r="I114" i="12"/>
  <c r="J114" i="12"/>
  <c r="K114" i="12"/>
  <c r="B115" i="12"/>
  <c r="L115" i="12" s="1"/>
  <c r="C115" i="12"/>
  <c r="D115" i="12"/>
  <c r="E115" i="12"/>
  <c r="F115" i="12"/>
  <c r="G115" i="12"/>
  <c r="H115" i="12"/>
  <c r="I115" i="12"/>
  <c r="J115" i="12"/>
  <c r="K115" i="12"/>
  <c r="B116" i="12"/>
  <c r="C116" i="12"/>
  <c r="D116" i="12"/>
  <c r="E116" i="12"/>
  <c r="F116" i="12"/>
  <c r="G116" i="12"/>
  <c r="H116" i="12"/>
  <c r="I116" i="12"/>
  <c r="J116" i="12"/>
  <c r="K116" i="12"/>
  <c r="B117" i="12"/>
  <c r="C117" i="12"/>
  <c r="D117" i="12"/>
  <c r="E117" i="12"/>
  <c r="F117" i="12"/>
  <c r="G117" i="12"/>
  <c r="H117" i="12"/>
  <c r="I117" i="12"/>
  <c r="J117" i="12"/>
  <c r="K117" i="12"/>
  <c r="B118" i="12"/>
  <c r="C118" i="12"/>
  <c r="D118" i="12"/>
  <c r="E118" i="12"/>
  <c r="F118" i="12"/>
  <c r="G118" i="12"/>
  <c r="H118" i="12"/>
  <c r="I118" i="12"/>
  <c r="J118" i="12"/>
  <c r="K118" i="12"/>
  <c r="B119" i="12"/>
  <c r="L119" i="12" s="1"/>
  <c r="C119" i="12"/>
  <c r="D119" i="12"/>
  <c r="E119" i="12"/>
  <c r="F119" i="12"/>
  <c r="G119" i="12"/>
  <c r="H119" i="12"/>
  <c r="I119" i="12"/>
  <c r="J119" i="12"/>
  <c r="K119" i="12"/>
  <c r="B120" i="12"/>
  <c r="L120" i="12" s="1"/>
  <c r="C120" i="12"/>
  <c r="D120" i="12"/>
  <c r="E120" i="12"/>
  <c r="F120" i="12"/>
  <c r="G120" i="12"/>
  <c r="H120" i="12"/>
  <c r="I120" i="12"/>
  <c r="J120" i="12"/>
  <c r="K120" i="12"/>
  <c r="B121" i="12"/>
  <c r="L121" i="12" s="1"/>
  <c r="C121" i="12"/>
  <c r="D121" i="12"/>
  <c r="E121" i="12"/>
  <c r="F121" i="12"/>
  <c r="G121" i="12"/>
  <c r="H121" i="12"/>
  <c r="I121" i="12"/>
  <c r="J121" i="12"/>
  <c r="K121" i="12"/>
  <c r="B122" i="12"/>
  <c r="L122" i="12" s="1"/>
  <c r="C122" i="12"/>
  <c r="D122" i="12"/>
  <c r="E122" i="12"/>
  <c r="F122" i="12"/>
  <c r="G122" i="12"/>
  <c r="H122" i="12"/>
  <c r="I122" i="12"/>
  <c r="J122" i="12"/>
  <c r="K122" i="12"/>
  <c r="B123" i="12"/>
  <c r="C123" i="12"/>
  <c r="D123" i="12"/>
  <c r="E123" i="12"/>
  <c r="F123" i="12"/>
  <c r="G123" i="12"/>
  <c r="H123" i="12"/>
  <c r="I123" i="12"/>
  <c r="J123" i="12"/>
  <c r="K123" i="12"/>
  <c r="B124" i="12"/>
  <c r="C124" i="12"/>
  <c r="D124" i="12"/>
  <c r="E124" i="12"/>
  <c r="F124" i="12"/>
  <c r="G124" i="12"/>
  <c r="H124" i="12"/>
  <c r="I124" i="12"/>
  <c r="J124" i="12"/>
  <c r="K124" i="12"/>
  <c r="B125" i="12"/>
  <c r="L125" i="12" s="1"/>
  <c r="C125" i="12"/>
  <c r="D125" i="12"/>
  <c r="E125" i="12"/>
  <c r="F125" i="12"/>
  <c r="G125" i="12"/>
  <c r="H125" i="12"/>
  <c r="I125" i="12"/>
  <c r="J125" i="12"/>
  <c r="K125" i="12"/>
  <c r="B126" i="12"/>
  <c r="L126" i="12" s="1"/>
  <c r="C126" i="12"/>
  <c r="D126" i="12"/>
  <c r="E126" i="12"/>
  <c r="F126" i="12"/>
  <c r="G126" i="12"/>
  <c r="H126" i="12"/>
  <c r="I126" i="12"/>
  <c r="J126" i="12"/>
  <c r="K126" i="12"/>
  <c r="B127" i="12"/>
  <c r="L127" i="12" s="1"/>
  <c r="C127" i="12"/>
  <c r="D127" i="12"/>
  <c r="E127" i="12"/>
  <c r="F127" i="12"/>
  <c r="G127" i="12"/>
  <c r="H127" i="12"/>
  <c r="I127" i="12"/>
  <c r="J127" i="12"/>
  <c r="K127" i="12"/>
  <c r="B128" i="12"/>
  <c r="C128" i="12"/>
  <c r="D128" i="12"/>
  <c r="E128" i="12"/>
  <c r="F128" i="12"/>
  <c r="G128" i="12"/>
  <c r="H128" i="12"/>
  <c r="I128" i="12"/>
  <c r="J128" i="12"/>
  <c r="K128" i="12"/>
  <c r="B129" i="12"/>
  <c r="C129" i="12"/>
  <c r="D129" i="12"/>
  <c r="E129" i="12"/>
  <c r="F129" i="12"/>
  <c r="G129" i="12"/>
  <c r="H129" i="12"/>
  <c r="I129" i="12"/>
  <c r="J129" i="12"/>
  <c r="K129" i="12"/>
  <c r="B130" i="12"/>
  <c r="C130" i="12"/>
  <c r="D130" i="12"/>
  <c r="E130" i="12"/>
  <c r="F130" i="12"/>
  <c r="G130" i="12"/>
  <c r="H130" i="12"/>
  <c r="I130" i="12"/>
  <c r="J130" i="12"/>
  <c r="K130" i="12"/>
  <c r="B131" i="12"/>
  <c r="L131" i="12" s="1"/>
  <c r="C131" i="12"/>
  <c r="D131" i="12"/>
  <c r="E131" i="12"/>
  <c r="F131" i="12"/>
  <c r="G131" i="12"/>
  <c r="H131" i="12"/>
  <c r="I131" i="12"/>
  <c r="J131" i="12"/>
  <c r="K131" i="12"/>
  <c r="B132" i="12"/>
  <c r="L132" i="12" s="1"/>
  <c r="C132" i="12"/>
  <c r="D132" i="12"/>
  <c r="E132" i="12"/>
  <c r="F132" i="12"/>
  <c r="G132" i="12"/>
  <c r="H132" i="12"/>
  <c r="I132" i="12"/>
  <c r="J132" i="12"/>
  <c r="K132" i="12"/>
  <c r="B133" i="12"/>
  <c r="L133" i="12" s="1"/>
  <c r="C133" i="12"/>
  <c r="D133" i="12"/>
  <c r="E133" i="12"/>
  <c r="F133" i="12"/>
  <c r="G133" i="12"/>
  <c r="H133" i="12"/>
  <c r="I133" i="12"/>
  <c r="J133" i="12"/>
  <c r="K133" i="12"/>
  <c r="B134" i="12"/>
  <c r="C134" i="12"/>
  <c r="D134" i="12"/>
  <c r="E134" i="12"/>
  <c r="F134" i="12"/>
  <c r="G134" i="12"/>
  <c r="H134" i="12"/>
  <c r="I134" i="12"/>
  <c r="J134" i="12"/>
  <c r="K134" i="12"/>
  <c r="B135" i="12"/>
  <c r="C135" i="12"/>
  <c r="D135" i="12"/>
  <c r="E135" i="12"/>
  <c r="F135" i="12"/>
  <c r="G135" i="12"/>
  <c r="H135" i="12"/>
  <c r="I135" i="12"/>
  <c r="J135" i="12"/>
  <c r="K135" i="12"/>
  <c r="B136" i="12"/>
  <c r="C136" i="12"/>
  <c r="D136" i="12"/>
  <c r="E136" i="12"/>
  <c r="F136" i="12"/>
  <c r="G136" i="12"/>
  <c r="H136" i="12"/>
  <c r="I136" i="12"/>
  <c r="J136" i="12"/>
  <c r="K136" i="12"/>
  <c r="B137" i="12"/>
  <c r="L137" i="12" s="1"/>
  <c r="C137" i="12"/>
  <c r="D137" i="12"/>
  <c r="E137" i="12"/>
  <c r="F137" i="12"/>
  <c r="G137" i="12"/>
  <c r="H137" i="12"/>
  <c r="I137" i="12"/>
  <c r="J137" i="12"/>
  <c r="K137" i="12"/>
  <c r="B138" i="12"/>
  <c r="L138" i="12" s="1"/>
  <c r="C138" i="12"/>
  <c r="D138" i="12"/>
  <c r="E138" i="12"/>
  <c r="F138" i="12"/>
  <c r="G138" i="12"/>
  <c r="H138" i="12"/>
  <c r="I138" i="12"/>
  <c r="J138" i="12"/>
  <c r="K138" i="12"/>
  <c r="B139" i="12"/>
  <c r="L139" i="12" s="1"/>
  <c r="C139" i="12"/>
  <c r="D139" i="12"/>
  <c r="E139" i="12"/>
  <c r="F139" i="12"/>
  <c r="G139" i="12"/>
  <c r="H139" i="12"/>
  <c r="I139" i="12"/>
  <c r="J139" i="12"/>
  <c r="K139" i="12"/>
  <c r="B140" i="12"/>
  <c r="L140" i="12" s="1"/>
  <c r="C140" i="12"/>
  <c r="D140" i="12"/>
  <c r="E140" i="12"/>
  <c r="F140" i="12"/>
  <c r="G140" i="12"/>
  <c r="H140" i="12"/>
  <c r="I140" i="12"/>
  <c r="J140" i="12"/>
  <c r="K140" i="12"/>
  <c r="B141" i="12"/>
  <c r="C141" i="12"/>
  <c r="D141" i="12"/>
  <c r="E141" i="12"/>
  <c r="F141" i="12"/>
  <c r="G141" i="12"/>
  <c r="H141" i="12"/>
  <c r="I141" i="12"/>
  <c r="J141" i="12"/>
  <c r="K141" i="12"/>
  <c r="B142" i="12"/>
  <c r="C142" i="12"/>
  <c r="D142" i="12"/>
  <c r="E142" i="12"/>
  <c r="F142" i="12"/>
  <c r="G142" i="12"/>
  <c r="H142" i="12"/>
  <c r="I142" i="12"/>
  <c r="J142" i="12"/>
  <c r="K142" i="12"/>
  <c r="B143" i="12"/>
  <c r="L143" i="12" s="1"/>
  <c r="C143" i="12"/>
  <c r="D143" i="12"/>
  <c r="E143" i="12"/>
  <c r="F143" i="12"/>
  <c r="G143" i="12"/>
  <c r="H143" i="12"/>
  <c r="I143" i="12"/>
  <c r="J143" i="12"/>
  <c r="K143" i="12"/>
  <c r="B144" i="12"/>
  <c r="L144" i="12" s="1"/>
  <c r="C144" i="12"/>
  <c r="D144" i="12"/>
  <c r="E144" i="12"/>
  <c r="F144" i="12"/>
  <c r="G144" i="12"/>
  <c r="H144" i="12"/>
  <c r="I144" i="12"/>
  <c r="J144" i="12"/>
  <c r="K144" i="12"/>
  <c r="B145" i="12"/>
  <c r="L145" i="12" s="1"/>
  <c r="C145" i="12"/>
  <c r="D145" i="12"/>
  <c r="E145" i="12"/>
  <c r="F145" i="12"/>
  <c r="G145" i="12"/>
  <c r="H145" i="12"/>
  <c r="I145" i="12"/>
  <c r="J145" i="12"/>
  <c r="K145" i="12"/>
  <c r="B146" i="12"/>
  <c r="L146" i="12" s="1"/>
  <c r="C146" i="12"/>
  <c r="D146" i="12"/>
  <c r="E146" i="12"/>
  <c r="F146" i="12"/>
  <c r="G146" i="12"/>
  <c r="H146" i="12"/>
  <c r="I146" i="12"/>
  <c r="J146" i="12"/>
  <c r="K146" i="12"/>
  <c r="B147" i="12"/>
  <c r="C147" i="12"/>
  <c r="D147" i="12"/>
  <c r="E147" i="12"/>
  <c r="F147" i="12"/>
  <c r="G147" i="12"/>
  <c r="H147" i="12"/>
  <c r="I147" i="12"/>
  <c r="J147" i="12"/>
  <c r="K147" i="12"/>
  <c r="B148" i="12"/>
  <c r="C148" i="12"/>
  <c r="D148" i="12"/>
  <c r="E148" i="12"/>
  <c r="F148" i="12"/>
  <c r="G148" i="12"/>
  <c r="H148" i="12"/>
  <c r="I148" i="12"/>
  <c r="J148" i="12"/>
  <c r="K148" i="12"/>
  <c r="B149" i="12"/>
  <c r="L149" i="12" s="1"/>
  <c r="C149" i="12"/>
  <c r="D149" i="12"/>
  <c r="E149" i="12"/>
  <c r="F149" i="12"/>
  <c r="G149" i="12"/>
  <c r="H149" i="12"/>
  <c r="I149" i="12"/>
  <c r="J149" i="12"/>
  <c r="K149" i="12"/>
  <c r="B150" i="12"/>
  <c r="L150" i="12" s="1"/>
  <c r="C150" i="12"/>
  <c r="D150" i="12"/>
  <c r="E150" i="12"/>
  <c r="F150" i="12"/>
  <c r="G150" i="12"/>
  <c r="H150" i="12"/>
  <c r="I150" i="12"/>
  <c r="J150" i="12"/>
  <c r="K150" i="12"/>
  <c r="B151" i="12"/>
  <c r="L151" i="12" s="1"/>
  <c r="C151" i="12"/>
  <c r="D151" i="12"/>
  <c r="E151" i="12"/>
  <c r="F151" i="12"/>
  <c r="G151" i="12"/>
  <c r="H151" i="12"/>
  <c r="I151" i="12"/>
  <c r="J151" i="12"/>
  <c r="K151" i="12"/>
  <c r="B152" i="12"/>
  <c r="C152" i="12"/>
  <c r="D152" i="12"/>
  <c r="E152" i="12"/>
  <c r="F152" i="12"/>
  <c r="G152" i="12"/>
  <c r="H152" i="12"/>
  <c r="I152" i="12"/>
  <c r="J152" i="12"/>
  <c r="K152" i="12"/>
  <c r="B153" i="12"/>
  <c r="C153" i="12"/>
  <c r="D153" i="12"/>
  <c r="E153" i="12"/>
  <c r="F153" i="12"/>
  <c r="G153" i="12"/>
  <c r="H153" i="12"/>
  <c r="I153" i="12"/>
  <c r="J153" i="12"/>
  <c r="K153" i="12"/>
  <c r="B154" i="12"/>
  <c r="C154" i="12"/>
  <c r="D154" i="12"/>
  <c r="E154" i="12"/>
  <c r="F154" i="12"/>
  <c r="G154" i="12"/>
  <c r="H154" i="12"/>
  <c r="I154" i="12"/>
  <c r="J154" i="12"/>
  <c r="K154" i="12"/>
  <c r="B155" i="12"/>
  <c r="L155" i="12" s="1"/>
  <c r="C155" i="12"/>
  <c r="D155" i="12"/>
  <c r="E155" i="12"/>
  <c r="F155" i="12"/>
  <c r="G155" i="12"/>
  <c r="H155" i="12"/>
  <c r="I155" i="12"/>
  <c r="J155" i="12"/>
  <c r="K155" i="12"/>
  <c r="B156" i="12"/>
  <c r="L156" i="12" s="1"/>
  <c r="C156" i="12"/>
  <c r="D156" i="12"/>
  <c r="E156" i="12"/>
  <c r="F156" i="12"/>
  <c r="G156" i="12"/>
  <c r="H156" i="12"/>
  <c r="I156" i="12"/>
  <c r="J156" i="12"/>
  <c r="K156" i="12"/>
  <c r="B157" i="12"/>
  <c r="L157" i="12" s="1"/>
  <c r="C157" i="12"/>
  <c r="D157" i="12"/>
  <c r="E157" i="12"/>
  <c r="F157" i="12"/>
  <c r="G157" i="12"/>
  <c r="H157" i="12"/>
  <c r="I157" i="12"/>
  <c r="J157" i="12"/>
  <c r="K157" i="12"/>
  <c r="B158" i="12"/>
  <c r="C158" i="12"/>
  <c r="D158" i="12"/>
  <c r="E158" i="12"/>
  <c r="F158" i="12"/>
  <c r="G158" i="12"/>
  <c r="H158" i="12"/>
  <c r="I158" i="12"/>
  <c r="J158" i="12"/>
  <c r="K158" i="12"/>
  <c r="B159" i="12"/>
  <c r="C159" i="12"/>
  <c r="D159" i="12"/>
  <c r="E159" i="12"/>
  <c r="F159" i="12"/>
  <c r="G159" i="12"/>
  <c r="H159" i="12"/>
  <c r="I159" i="12"/>
  <c r="J159" i="12"/>
  <c r="K159" i="12"/>
  <c r="B160" i="12"/>
  <c r="C160" i="12"/>
  <c r="D160" i="12"/>
  <c r="E160" i="12"/>
  <c r="F160" i="12"/>
  <c r="G160" i="12"/>
  <c r="H160" i="12"/>
  <c r="I160" i="12"/>
  <c r="J160" i="12"/>
  <c r="K160" i="12"/>
  <c r="B161" i="12"/>
  <c r="L161" i="12" s="1"/>
  <c r="C161" i="12"/>
  <c r="D161" i="12"/>
  <c r="E161" i="12"/>
  <c r="F161" i="12"/>
  <c r="G161" i="12"/>
  <c r="H161" i="12"/>
  <c r="I161" i="12"/>
  <c r="J161" i="12"/>
  <c r="K161" i="12"/>
  <c r="B162" i="12"/>
  <c r="L162" i="12" s="1"/>
  <c r="C162" i="12"/>
  <c r="D162" i="12"/>
  <c r="E162" i="12"/>
  <c r="F162" i="12"/>
  <c r="G162" i="12"/>
  <c r="H162" i="12"/>
  <c r="I162" i="12"/>
  <c r="J162" i="12"/>
  <c r="K162" i="12"/>
  <c r="B163" i="12"/>
  <c r="L163" i="12" s="1"/>
  <c r="C163" i="12"/>
  <c r="D163" i="12"/>
  <c r="E163" i="12"/>
  <c r="F163" i="12"/>
  <c r="G163" i="12"/>
  <c r="H163" i="12"/>
  <c r="I163" i="12"/>
  <c r="J163" i="12"/>
  <c r="K163" i="12"/>
  <c r="B164" i="12"/>
  <c r="L164" i="12" s="1"/>
  <c r="C164" i="12"/>
  <c r="D164" i="12"/>
  <c r="E164" i="12"/>
  <c r="F164" i="12"/>
  <c r="G164" i="12"/>
  <c r="H164" i="12"/>
  <c r="I164" i="12"/>
  <c r="J164" i="12"/>
  <c r="K164" i="12"/>
  <c r="B165" i="12"/>
  <c r="C165" i="12"/>
  <c r="D165" i="12"/>
  <c r="E165" i="12"/>
  <c r="F165" i="12"/>
  <c r="G165" i="12"/>
  <c r="H165" i="12"/>
  <c r="I165" i="12"/>
  <c r="J165" i="12"/>
  <c r="K165" i="12"/>
  <c r="B166" i="12"/>
  <c r="L166" i="12" s="1"/>
  <c r="C166" i="12"/>
  <c r="D166" i="12"/>
  <c r="E166" i="12"/>
  <c r="F166" i="12"/>
  <c r="G166" i="12"/>
  <c r="H166" i="12"/>
  <c r="I166" i="12"/>
  <c r="J166" i="12"/>
  <c r="K166" i="12"/>
  <c r="B167" i="12"/>
  <c r="L167" i="12" s="1"/>
  <c r="C167" i="12"/>
  <c r="D167" i="12"/>
  <c r="E167" i="12"/>
  <c r="F167" i="12"/>
  <c r="G167" i="12"/>
  <c r="H167" i="12"/>
  <c r="I167" i="12"/>
  <c r="J167" i="12"/>
  <c r="K167" i="12"/>
  <c r="B168" i="12"/>
  <c r="L168" i="12" s="1"/>
  <c r="C168" i="12"/>
  <c r="D168" i="12"/>
  <c r="E168" i="12"/>
  <c r="F168" i="12"/>
  <c r="G168" i="12"/>
  <c r="H168" i="12"/>
  <c r="I168" i="12"/>
  <c r="J168" i="12"/>
  <c r="K168" i="12"/>
  <c r="B169" i="12"/>
  <c r="L169" i="12" s="1"/>
  <c r="C169" i="12"/>
  <c r="D169" i="12"/>
  <c r="E169" i="12"/>
  <c r="F169" i="12"/>
  <c r="G169" i="12"/>
  <c r="H169" i="12"/>
  <c r="I169" i="12"/>
  <c r="J169" i="12"/>
  <c r="K169" i="12"/>
  <c r="B170" i="12"/>
  <c r="L170" i="12" s="1"/>
  <c r="C170" i="12"/>
  <c r="D170" i="12"/>
  <c r="E170" i="12"/>
  <c r="F170" i="12"/>
  <c r="G170" i="12"/>
  <c r="H170" i="12"/>
  <c r="I170" i="12"/>
  <c r="J170" i="12"/>
  <c r="K170" i="12"/>
  <c r="B171" i="12"/>
  <c r="C171" i="12"/>
  <c r="D171" i="12"/>
  <c r="E171" i="12"/>
  <c r="F171" i="12"/>
  <c r="G171" i="12"/>
  <c r="H171" i="12"/>
  <c r="I171" i="12"/>
  <c r="J171" i="12"/>
  <c r="K171" i="12"/>
  <c r="B172" i="12"/>
  <c r="C172" i="12"/>
  <c r="D172" i="12"/>
  <c r="E172" i="12"/>
  <c r="F172" i="12"/>
  <c r="G172" i="12"/>
  <c r="H172" i="12"/>
  <c r="I172" i="12"/>
  <c r="J172" i="12"/>
  <c r="K172" i="12"/>
  <c r="B173" i="12"/>
  <c r="L173" i="12" s="1"/>
  <c r="C173" i="12"/>
  <c r="D173" i="12"/>
  <c r="E173" i="12"/>
  <c r="F173" i="12"/>
  <c r="G173" i="12"/>
  <c r="H173" i="12"/>
  <c r="I173" i="12"/>
  <c r="J173" i="12"/>
  <c r="K173" i="12"/>
  <c r="B174" i="12"/>
  <c r="L174" i="12" s="1"/>
  <c r="C174" i="12"/>
  <c r="D174" i="12"/>
  <c r="E174" i="12"/>
  <c r="F174" i="12"/>
  <c r="G174" i="12"/>
  <c r="H174" i="12"/>
  <c r="I174" i="12"/>
  <c r="J174" i="12"/>
  <c r="K174" i="12"/>
  <c r="B175" i="12"/>
  <c r="C175" i="12"/>
  <c r="D175" i="12"/>
  <c r="E175" i="12"/>
  <c r="F175" i="12"/>
  <c r="G175" i="12"/>
  <c r="H175" i="12"/>
  <c r="I175" i="12"/>
  <c r="J175" i="12"/>
  <c r="K175" i="12"/>
  <c r="B176" i="12"/>
  <c r="C176" i="12"/>
  <c r="D176" i="12"/>
  <c r="E176" i="12"/>
  <c r="F176" i="12"/>
  <c r="G176" i="12"/>
  <c r="H176" i="12"/>
  <c r="I176" i="12"/>
  <c r="J176" i="12"/>
  <c r="K176" i="12"/>
  <c r="B177" i="12"/>
  <c r="C177" i="12"/>
  <c r="D177" i="12"/>
  <c r="E177" i="12"/>
  <c r="F177" i="12"/>
  <c r="G177" i="12"/>
  <c r="H177" i="12"/>
  <c r="I177" i="12"/>
  <c r="J177" i="12"/>
  <c r="K177" i="12"/>
  <c r="B178" i="12"/>
  <c r="C178" i="12"/>
  <c r="D178" i="12"/>
  <c r="E178" i="12"/>
  <c r="F178" i="12"/>
  <c r="G178" i="12"/>
  <c r="H178" i="12"/>
  <c r="I178" i="12"/>
  <c r="J178" i="12"/>
  <c r="K178" i="12"/>
  <c r="B179" i="12"/>
  <c r="L179" i="12" s="1"/>
  <c r="C179" i="12"/>
  <c r="D179" i="12"/>
  <c r="E179" i="12"/>
  <c r="F179" i="12"/>
  <c r="G179" i="12"/>
  <c r="H179" i="12"/>
  <c r="I179" i="12"/>
  <c r="J179" i="12"/>
  <c r="K179" i="12"/>
  <c r="B180" i="12"/>
  <c r="L180" i="12" s="1"/>
  <c r="C180" i="12"/>
  <c r="D180" i="12"/>
  <c r="E180" i="12"/>
  <c r="F180" i="12"/>
  <c r="G180" i="12"/>
  <c r="H180" i="12"/>
  <c r="I180" i="12"/>
  <c r="J180" i="12"/>
  <c r="K180" i="12"/>
  <c r="B181" i="12"/>
  <c r="L181" i="12" s="1"/>
  <c r="C181" i="12"/>
  <c r="D181" i="12"/>
  <c r="E181" i="12"/>
  <c r="F181" i="12"/>
  <c r="G181" i="12"/>
  <c r="H181" i="12"/>
  <c r="I181" i="12"/>
  <c r="J181" i="12"/>
  <c r="K181" i="12"/>
  <c r="B182" i="12"/>
  <c r="L182" i="12" s="1"/>
  <c r="C182" i="12"/>
  <c r="D182" i="12"/>
  <c r="E182" i="12"/>
  <c r="F182" i="12"/>
  <c r="G182" i="12"/>
  <c r="H182" i="12"/>
  <c r="I182" i="12"/>
  <c r="J182" i="12"/>
  <c r="K182" i="12"/>
  <c r="B183" i="12"/>
  <c r="C183" i="12"/>
  <c r="D183" i="12"/>
  <c r="E183" i="12"/>
  <c r="F183" i="12"/>
  <c r="G183" i="12"/>
  <c r="H183" i="12"/>
  <c r="I183" i="12"/>
  <c r="J183" i="12"/>
  <c r="K183" i="12"/>
  <c r="B184" i="12"/>
  <c r="L184" i="12" s="1"/>
  <c r="C184" i="12"/>
  <c r="D184" i="12"/>
  <c r="E184" i="12"/>
  <c r="F184" i="12"/>
  <c r="G184" i="12"/>
  <c r="H184" i="12"/>
  <c r="I184" i="12"/>
  <c r="J184" i="12"/>
  <c r="K184" i="12"/>
  <c r="B185" i="12"/>
  <c r="L185" i="12" s="1"/>
  <c r="C185" i="12"/>
  <c r="D185" i="12"/>
  <c r="E185" i="12"/>
  <c r="F185" i="12"/>
  <c r="G185" i="12"/>
  <c r="H185" i="12"/>
  <c r="I185" i="12"/>
  <c r="J185" i="12"/>
  <c r="K185" i="12"/>
  <c r="B186" i="12"/>
  <c r="L186" i="12" s="1"/>
  <c r="C186" i="12"/>
  <c r="D186" i="12"/>
  <c r="E186" i="12"/>
  <c r="F186" i="12"/>
  <c r="G186" i="12"/>
  <c r="H186" i="12"/>
  <c r="I186" i="12"/>
  <c r="J186" i="12"/>
  <c r="K186" i="12"/>
  <c r="B187" i="12"/>
  <c r="L187" i="12" s="1"/>
  <c r="C187" i="12"/>
  <c r="D187" i="12"/>
  <c r="E187" i="12"/>
  <c r="F187" i="12"/>
  <c r="G187" i="12"/>
  <c r="H187" i="12"/>
  <c r="I187" i="12"/>
  <c r="J187" i="12"/>
  <c r="K187" i="12"/>
  <c r="B188" i="12"/>
  <c r="L188" i="12" s="1"/>
  <c r="C188" i="12"/>
  <c r="D188" i="12"/>
  <c r="E188" i="12"/>
  <c r="F188" i="12"/>
  <c r="G188" i="12"/>
  <c r="H188" i="12"/>
  <c r="I188" i="12"/>
  <c r="J188" i="12"/>
  <c r="K188" i="12"/>
  <c r="B189" i="12"/>
  <c r="C189" i="12"/>
  <c r="D189" i="12"/>
  <c r="E189" i="12"/>
  <c r="F189" i="12"/>
  <c r="G189" i="12"/>
  <c r="H189" i="12"/>
  <c r="I189" i="12"/>
  <c r="J189" i="12"/>
  <c r="K189" i="12"/>
  <c r="B190" i="12"/>
  <c r="L190" i="12" s="1"/>
  <c r="C190" i="12"/>
  <c r="D190" i="12"/>
  <c r="E190" i="12"/>
  <c r="F190" i="12"/>
  <c r="G190" i="12"/>
  <c r="H190" i="12"/>
  <c r="I190" i="12"/>
  <c r="J190" i="12"/>
  <c r="K190" i="12"/>
  <c r="B191" i="12"/>
  <c r="L191" i="12" s="1"/>
  <c r="C191" i="12"/>
  <c r="D191" i="12"/>
  <c r="E191" i="12"/>
  <c r="F191" i="12"/>
  <c r="G191" i="12"/>
  <c r="H191" i="12"/>
  <c r="I191" i="12"/>
  <c r="J191" i="12"/>
  <c r="K191" i="12"/>
  <c r="B192" i="12"/>
  <c r="L192" i="12" s="1"/>
  <c r="C192" i="12"/>
  <c r="D192" i="12"/>
  <c r="E192" i="12"/>
  <c r="F192" i="12"/>
  <c r="G192" i="12"/>
  <c r="H192" i="12"/>
  <c r="I192" i="12"/>
  <c r="J192" i="12"/>
  <c r="K192" i="12"/>
  <c r="B193" i="12"/>
  <c r="L193" i="12" s="1"/>
  <c r="C193" i="12"/>
  <c r="D193" i="12"/>
  <c r="E193" i="12"/>
  <c r="F193" i="12"/>
  <c r="G193" i="12"/>
  <c r="H193" i="12"/>
  <c r="I193" i="12"/>
  <c r="J193" i="12"/>
  <c r="K193" i="12"/>
  <c r="B194" i="12"/>
  <c r="L194" i="12" s="1"/>
  <c r="C194" i="12"/>
  <c r="D194" i="12"/>
  <c r="E194" i="12"/>
  <c r="F194" i="12"/>
  <c r="G194" i="12"/>
  <c r="H194" i="12"/>
  <c r="I194" i="12"/>
  <c r="J194" i="12"/>
  <c r="K194" i="12"/>
  <c r="B195" i="12"/>
  <c r="L195" i="12" s="1"/>
  <c r="C195" i="12"/>
  <c r="D195" i="12"/>
  <c r="E195" i="12"/>
  <c r="F195" i="12"/>
  <c r="G195" i="12"/>
  <c r="H195" i="12"/>
  <c r="I195" i="12"/>
  <c r="J195" i="12"/>
  <c r="K195" i="12"/>
  <c r="B196" i="12"/>
  <c r="L196" i="12" s="1"/>
  <c r="C196" i="12"/>
  <c r="D196" i="12"/>
  <c r="E196" i="12"/>
  <c r="F196" i="12"/>
  <c r="G196" i="12"/>
  <c r="H196" i="12"/>
  <c r="I196" i="12"/>
  <c r="J196" i="12"/>
  <c r="K196" i="12"/>
  <c r="B197" i="12"/>
  <c r="L197" i="12" s="1"/>
  <c r="C197" i="12"/>
  <c r="D197" i="12"/>
  <c r="E197" i="12"/>
  <c r="F197" i="12"/>
  <c r="G197" i="12"/>
  <c r="H197" i="12"/>
  <c r="I197" i="12"/>
  <c r="J197" i="12"/>
  <c r="K197" i="12"/>
  <c r="B198" i="12"/>
  <c r="L198" i="12" s="1"/>
  <c r="C198" i="12"/>
  <c r="D198" i="12"/>
  <c r="E198" i="12"/>
  <c r="F198" i="12"/>
  <c r="G198" i="12"/>
  <c r="H198" i="12"/>
  <c r="I198" i="12"/>
  <c r="J198" i="12"/>
  <c r="K198" i="12"/>
  <c r="B199" i="12"/>
  <c r="L199" i="12" s="1"/>
  <c r="C199" i="12"/>
  <c r="D199" i="12"/>
  <c r="E199" i="12"/>
  <c r="F199" i="12"/>
  <c r="G199" i="12"/>
  <c r="H199" i="12"/>
  <c r="I199" i="12"/>
  <c r="J199" i="12"/>
  <c r="K199" i="12"/>
  <c r="B200" i="12"/>
  <c r="L200" i="12" s="1"/>
  <c r="C200" i="12"/>
  <c r="D200" i="12"/>
  <c r="E200" i="12"/>
  <c r="F200" i="12"/>
  <c r="G200" i="12"/>
  <c r="H200" i="12"/>
  <c r="I200" i="12"/>
  <c r="J200" i="12"/>
  <c r="K200" i="12"/>
  <c r="K3" i="12"/>
  <c r="J3" i="12"/>
  <c r="I3" i="12"/>
  <c r="H3" i="12"/>
  <c r="G3" i="12"/>
  <c r="F3" i="12"/>
  <c r="E3" i="12"/>
  <c r="D3" i="12"/>
  <c r="C3" i="12"/>
  <c r="B3" i="12"/>
  <c r="L189" i="12"/>
  <c r="L183" i="12"/>
  <c r="L178" i="12"/>
  <c r="L177" i="12"/>
  <c r="L176" i="12"/>
  <c r="L175" i="12"/>
  <c r="L172" i="12"/>
  <c r="L171" i="12"/>
  <c r="L165" i="12"/>
  <c r="L160" i="12"/>
  <c r="L159" i="12"/>
  <c r="L158" i="12"/>
  <c r="L154" i="12"/>
  <c r="L153" i="12"/>
  <c r="L152" i="12"/>
  <c r="L148" i="12"/>
  <c r="L147" i="12"/>
  <c r="L142" i="12"/>
  <c r="L141" i="12"/>
  <c r="L136" i="12"/>
  <c r="L135" i="12"/>
  <c r="L134" i="12"/>
  <c r="L130" i="12"/>
  <c r="L129" i="12"/>
  <c r="L128" i="12"/>
  <c r="L124" i="12"/>
  <c r="L123" i="12"/>
  <c r="L118" i="12"/>
  <c r="L117" i="12"/>
  <c r="L116" i="12"/>
  <c r="L112" i="12"/>
  <c r="L111" i="12"/>
  <c r="L110" i="12"/>
  <c r="L106" i="12"/>
  <c r="L105" i="12"/>
  <c r="L100" i="12"/>
  <c r="L99" i="12"/>
  <c r="L94" i="12"/>
  <c r="L93" i="12"/>
  <c r="L92" i="12"/>
  <c r="L88" i="12"/>
  <c r="L87" i="12"/>
  <c r="L86" i="12"/>
  <c r="L82" i="12"/>
  <c r="L81" i="12"/>
  <c r="L76" i="12"/>
  <c r="L75" i="12"/>
  <c r="L74" i="12"/>
  <c r="L72" i="12"/>
  <c r="L70" i="12"/>
  <c r="L69" i="12"/>
  <c r="L68" i="12"/>
  <c r="L64" i="12"/>
  <c r="L63" i="12"/>
  <c r="L58" i="12"/>
  <c r="L57" i="12"/>
  <c r="L56" i="12"/>
  <c r="L52" i="12"/>
  <c r="L51" i="12"/>
  <c r="L48" i="12"/>
  <c r="L46" i="12"/>
  <c r="L45" i="12"/>
  <c r="L40" i="12"/>
  <c r="L39" i="12"/>
  <c r="L34" i="12"/>
  <c r="L33" i="12"/>
  <c r="L32" i="12"/>
  <c r="L28" i="12"/>
  <c r="L27" i="12"/>
  <c r="L22" i="12"/>
  <c r="L21" i="12"/>
  <c r="L16" i="12"/>
  <c r="L15" i="12"/>
  <c r="L14" i="12"/>
  <c r="L12" i="12"/>
  <c r="L10" i="12"/>
  <c r="L9" i="12"/>
  <c r="L8" i="12"/>
  <c r="L4" i="12"/>
  <c r="L3" i="12"/>
  <c r="B4" i="9"/>
  <c r="C4" i="9"/>
  <c r="P4" i="9" s="1"/>
  <c r="D4" i="9"/>
  <c r="Q4" i="9" s="1"/>
  <c r="E4" i="9"/>
  <c r="F4" i="9"/>
  <c r="G4" i="9"/>
  <c r="T4" i="9" s="1"/>
  <c r="H4" i="9"/>
  <c r="I4" i="9"/>
  <c r="V4" i="9" s="1"/>
  <c r="J4" i="9"/>
  <c r="W4" i="9" s="1"/>
  <c r="K4" i="9"/>
  <c r="B5" i="9"/>
  <c r="C5" i="9"/>
  <c r="P5" i="9" s="1"/>
  <c r="D5" i="9"/>
  <c r="Q5" i="9" s="1"/>
  <c r="E5" i="9"/>
  <c r="F5" i="9"/>
  <c r="G5" i="9"/>
  <c r="T5" i="9" s="1"/>
  <c r="H5" i="9"/>
  <c r="I5" i="9"/>
  <c r="V5" i="9" s="1"/>
  <c r="J5" i="9"/>
  <c r="W5" i="9" s="1"/>
  <c r="K5" i="9"/>
  <c r="B6" i="9"/>
  <c r="C6" i="9"/>
  <c r="P6" i="9" s="1"/>
  <c r="D6" i="9"/>
  <c r="Q6" i="9" s="1"/>
  <c r="E6" i="9"/>
  <c r="R6" i="9" s="1"/>
  <c r="F6" i="9"/>
  <c r="G6" i="9"/>
  <c r="T6" i="9" s="1"/>
  <c r="H6" i="9"/>
  <c r="I6" i="9"/>
  <c r="V6" i="9" s="1"/>
  <c r="J6" i="9"/>
  <c r="W6" i="9" s="1"/>
  <c r="K6" i="9"/>
  <c r="B7" i="9"/>
  <c r="C7" i="9"/>
  <c r="P7" i="9" s="1"/>
  <c r="D7" i="9"/>
  <c r="Q7" i="9" s="1"/>
  <c r="E7" i="9"/>
  <c r="R7" i="9" s="1"/>
  <c r="F7" i="9"/>
  <c r="G7" i="9"/>
  <c r="T7" i="9" s="1"/>
  <c r="H7" i="9"/>
  <c r="I7" i="9"/>
  <c r="V7" i="9" s="1"/>
  <c r="J7" i="9"/>
  <c r="W7" i="9" s="1"/>
  <c r="K7" i="9"/>
  <c r="B8" i="9"/>
  <c r="C8" i="9"/>
  <c r="P8" i="9" s="1"/>
  <c r="D8" i="9"/>
  <c r="Q8" i="9" s="1"/>
  <c r="E8" i="9"/>
  <c r="R8" i="9" s="1"/>
  <c r="F8" i="9"/>
  <c r="G8" i="9"/>
  <c r="T8" i="9" s="1"/>
  <c r="H8" i="9"/>
  <c r="I8" i="9"/>
  <c r="V8" i="9" s="1"/>
  <c r="J8" i="9"/>
  <c r="W8" i="9" s="1"/>
  <c r="K8" i="9"/>
  <c r="B9" i="9"/>
  <c r="C9" i="9"/>
  <c r="P9" i="9" s="1"/>
  <c r="D9" i="9"/>
  <c r="Q9" i="9" s="1"/>
  <c r="E9" i="9"/>
  <c r="R9" i="9" s="1"/>
  <c r="F9" i="9"/>
  <c r="G9" i="9"/>
  <c r="T9" i="9" s="1"/>
  <c r="H9" i="9"/>
  <c r="I9" i="9"/>
  <c r="V9" i="9" s="1"/>
  <c r="J9" i="9"/>
  <c r="W9" i="9" s="1"/>
  <c r="K9" i="9"/>
  <c r="B10" i="9"/>
  <c r="C10" i="9"/>
  <c r="P10" i="9" s="1"/>
  <c r="D10" i="9"/>
  <c r="Q10" i="9" s="1"/>
  <c r="E10" i="9"/>
  <c r="R10" i="9" s="1"/>
  <c r="F10" i="9"/>
  <c r="G10" i="9"/>
  <c r="T10" i="9" s="1"/>
  <c r="H10" i="9"/>
  <c r="I10" i="9"/>
  <c r="V10" i="9" s="1"/>
  <c r="J10" i="9"/>
  <c r="W10" i="9" s="1"/>
  <c r="K10" i="9"/>
  <c r="B11" i="9"/>
  <c r="C11" i="9"/>
  <c r="P11" i="9" s="1"/>
  <c r="D11" i="9"/>
  <c r="Q11" i="9" s="1"/>
  <c r="E11" i="9"/>
  <c r="R11" i="9" s="1"/>
  <c r="F11" i="9"/>
  <c r="G11" i="9"/>
  <c r="T11" i="9" s="1"/>
  <c r="H11" i="9"/>
  <c r="I11" i="9"/>
  <c r="V11" i="9" s="1"/>
  <c r="J11" i="9"/>
  <c r="W11" i="9" s="1"/>
  <c r="K11" i="9"/>
  <c r="B12" i="9"/>
  <c r="C12" i="9"/>
  <c r="P12" i="9" s="1"/>
  <c r="D12" i="9"/>
  <c r="Q12" i="9" s="1"/>
  <c r="E12" i="9"/>
  <c r="R12" i="9" s="1"/>
  <c r="F12" i="9"/>
  <c r="G12" i="9"/>
  <c r="T12" i="9" s="1"/>
  <c r="H12" i="9"/>
  <c r="I12" i="9"/>
  <c r="V12" i="9" s="1"/>
  <c r="J12" i="9"/>
  <c r="W12" i="9" s="1"/>
  <c r="K12" i="9"/>
  <c r="B13" i="9"/>
  <c r="C13" i="9"/>
  <c r="P13" i="9" s="1"/>
  <c r="D13" i="9"/>
  <c r="Q13" i="9" s="1"/>
  <c r="E13" i="9"/>
  <c r="R13" i="9" s="1"/>
  <c r="F13" i="9"/>
  <c r="G13" i="9"/>
  <c r="T13" i="9" s="1"/>
  <c r="H13" i="9"/>
  <c r="I13" i="9"/>
  <c r="V13" i="9" s="1"/>
  <c r="J13" i="9"/>
  <c r="W13" i="9" s="1"/>
  <c r="K13" i="9"/>
  <c r="B14" i="9"/>
  <c r="C14" i="9"/>
  <c r="P14" i="9" s="1"/>
  <c r="D14" i="9"/>
  <c r="Q14" i="9" s="1"/>
  <c r="E14" i="9"/>
  <c r="R14" i="9" s="1"/>
  <c r="F14" i="9"/>
  <c r="G14" i="9"/>
  <c r="T14" i="9" s="1"/>
  <c r="H14" i="9"/>
  <c r="I14" i="9"/>
  <c r="V14" i="9" s="1"/>
  <c r="J14" i="9"/>
  <c r="W14" i="9" s="1"/>
  <c r="K14" i="9"/>
  <c r="B15" i="9"/>
  <c r="C15" i="9"/>
  <c r="P15" i="9" s="1"/>
  <c r="D15" i="9"/>
  <c r="Q15" i="9" s="1"/>
  <c r="E15" i="9"/>
  <c r="R15" i="9" s="1"/>
  <c r="F15" i="9"/>
  <c r="G15" i="9"/>
  <c r="T15" i="9" s="1"/>
  <c r="H15" i="9"/>
  <c r="I15" i="9"/>
  <c r="V15" i="9" s="1"/>
  <c r="J15" i="9"/>
  <c r="W15" i="9" s="1"/>
  <c r="K15" i="9"/>
  <c r="B16" i="9"/>
  <c r="C16" i="9"/>
  <c r="P16" i="9" s="1"/>
  <c r="D16" i="9"/>
  <c r="Q16" i="9" s="1"/>
  <c r="E16" i="9"/>
  <c r="R16" i="9" s="1"/>
  <c r="F16" i="9"/>
  <c r="G16" i="9"/>
  <c r="T16" i="9" s="1"/>
  <c r="H16" i="9"/>
  <c r="I16" i="9"/>
  <c r="V16" i="9" s="1"/>
  <c r="J16" i="9"/>
  <c r="W16" i="9" s="1"/>
  <c r="K16" i="9"/>
  <c r="B17" i="9"/>
  <c r="C17" i="9"/>
  <c r="P17" i="9" s="1"/>
  <c r="D17" i="9"/>
  <c r="Q17" i="9" s="1"/>
  <c r="E17" i="9"/>
  <c r="R17" i="9" s="1"/>
  <c r="F17" i="9"/>
  <c r="G17" i="9"/>
  <c r="T17" i="9" s="1"/>
  <c r="H17" i="9"/>
  <c r="I17" i="9"/>
  <c r="V17" i="9" s="1"/>
  <c r="J17" i="9"/>
  <c r="W17" i="9" s="1"/>
  <c r="K17" i="9"/>
  <c r="B18" i="9"/>
  <c r="C18" i="9"/>
  <c r="P18" i="9" s="1"/>
  <c r="D18" i="9"/>
  <c r="Q18" i="9" s="1"/>
  <c r="E18" i="9"/>
  <c r="R18" i="9" s="1"/>
  <c r="F18" i="9"/>
  <c r="G18" i="9"/>
  <c r="T18" i="9" s="1"/>
  <c r="H18" i="9"/>
  <c r="I18" i="9"/>
  <c r="V18" i="9" s="1"/>
  <c r="J18" i="9"/>
  <c r="W18" i="9" s="1"/>
  <c r="K18" i="9"/>
  <c r="B19" i="9"/>
  <c r="C19" i="9"/>
  <c r="P19" i="9" s="1"/>
  <c r="D19" i="9"/>
  <c r="Q19" i="9" s="1"/>
  <c r="E19" i="9"/>
  <c r="R19" i="9" s="1"/>
  <c r="F19" i="9"/>
  <c r="S19" i="9" s="1"/>
  <c r="G19" i="9"/>
  <c r="T19" i="9" s="1"/>
  <c r="H19" i="9"/>
  <c r="I19" i="9"/>
  <c r="V19" i="9" s="1"/>
  <c r="J19" i="9"/>
  <c r="W19" i="9" s="1"/>
  <c r="K19" i="9"/>
  <c r="X19" i="9" s="1"/>
  <c r="B20" i="9"/>
  <c r="C20" i="9"/>
  <c r="P20" i="9" s="1"/>
  <c r="D20" i="9"/>
  <c r="Q20" i="9" s="1"/>
  <c r="E20" i="9"/>
  <c r="R20" i="9" s="1"/>
  <c r="F20" i="9"/>
  <c r="S20" i="9" s="1"/>
  <c r="G20" i="9"/>
  <c r="T20" i="9" s="1"/>
  <c r="H20" i="9"/>
  <c r="I20" i="9"/>
  <c r="V20" i="9" s="1"/>
  <c r="J20" i="9"/>
  <c r="W20" i="9" s="1"/>
  <c r="K20" i="9"/>
  <c r="X20" i="9" s="1"/>
  <c r="B21" i="9"/>
  <c r="C21" i="9"/>
  <c r="P21" i="9" s="1"/>
  <c r="D21" i="9"/>
  <c r="Q21" i="9" s="1"/>
  <c r="E21" i="9"/>
  <c r="R21" i="9" s="1"/>
  <c r="F21" i="9"/>
  <c r="S21" i="9" s="1"/>
  <c r="G21" i="9"/>
  <c r="T21" i="9" s="1"/>
  <c r="H21" i="9"/>
  <c r="I21" i="9"/>
  <c r="V21" i="9" s="1"/>
  <c r="J21" i="9"/>
  <c r="W21" i="9" s="1"/>
  <c r="K21" i="9"/>
  <c r="X21" i="9" s="1"/>
  <c r="B22" i="9"/>
  <c r="C22" i="9"/>
  <c r="P22" i="9" s="1"/>
  <c r="D22" i="9"/>
  <c r="Q22" i="9" s="1"/>
  <c r="E22" i="9"/>
  <c r="R22" i="9" s="1"/>
  <c r="F22" i="9"/>
  <c r="S22" i="9" s="1"/>
  <c r="G22" i="9"/>
  <c r="T22" i="9" s="1"/>
  <c r="H22" i="9"/>
  <c r="I22" i="9"/>
  <c r="V22" i="9" s="1"/>
  <c r="J22" i="9"/>
  <c r="W22" i="9" s="1"/>
  <c r="K22" i="9"/>
  <c r="X22" i="9" s="1"/>
  <c r="B23" i="9"/>
  <c r="O23" i="19" s="1"/>
  <c r="C23" i="9"/>
  <c r="P23" i="9" s="1"/>
  <c r="D23" i="9"/>
  <c r="Q23" i="9" s="1"/>
  <c r="E23" i="9"/>
  <c r="R23" i="9" s="1"/>
  <c r="F23" i="9"/>
  <c r="S23" i="9" s="1"/>
  <c r="G23" i="9"/>
  <c r="T23" i="9" s="1"/>
  <c r="H23" i="9"/>
  <c r="I23" i="9"/>
  <c r="V23" i="9" s="1"/>
  <c r="J23" i="9"/>
  <c r="W23" i="9" s="1"/>
  <c r="K23" i="9"/>
  <c r="X23" i="9" s="1"/>
  <c r="B24" i="9"/>
  <c r="O24" i="9" s="1"/>
  <c r="C24" i="9"/>
  <c r="P24" i="9" s="1"/>
  <c r="D24" i="9"/>
  <c r="Q24" i="9" s="1"/>
  <c r="E24" i="9"/>
  <c r="R24" i="9" s="1"/>
  <c r="F24" i="9"/>
  <c r="S24" i="9" s="1"/>
  <c r="G24" i="9"/>
  <c r="T24" i="9" s="1"/>
  <c r="H24" i="9"/>
  <c r="U24" i="9" s="1"/>
  <c r="I24" i="9"/>
  <c r="V24" i="9" s="1"/>
  <c r="J24" i="9"/>
  <c r="W24" i="9" s="1"/>
  <c r="K24" i="9"/>
  <c r="X24" i="9" s="1"/>
  <c r="B25" i="9"/>
  <c r="C25" i="9"/>
  <c r="P25" i="9" s="1"/>
  <c r="D25" i="9"/>
  <c r="Q25" i="9" s="1"/>
  <c r="E25" i="9"/>
  <c r="R25" i="9" s="1"/>
  <c r="F25" i="9"/>
  <c r="S25" i="9" s="1"/>
  <c r="G25" i="9"/>
  <c r="T25" i="9" s="1"/>
  <c r="H25" i="9"/>
  <c r="U25" i="9" s="1"/>
  <c r="I25" i="9"/>
  <c r="V25" i="9" s="1"/>
  <c r="J25" i="9"/>
  <c r="W25" i="9" s="1"/>
  <c r="K25" i="9"/>
  <c r="X25" i="9" s="1"/>
  <c r="B26" i="9"/>
  <c r="O26" i="9" s="1"/>
  <c r="C26" i="9"/>
  <c r="P26" i="9" s="1"/>
  <c r="D26" i="9"/>
  <c r="Q26" i="9" s="1"/>
  <c r="E26" i="9"/>
  <c r="R26" i="9" s="1"/>
  <c r="F26" i="9"/>
  <c r="S26" i="9" s="1"/>
  <c r="G26" i="9"/>
  <c r="T26" i="9" s="1"/>
  <c r="H26" i="9"/>
  <c r="U26" i="9" s="1"/>
  <c r="I26" i="9"/>
  <c r="V26" i="9" s="1"/>
  <c r="J26" i="9"/>
  <c r="W26" i="9" s="1"/>
  <c r="K26" i="9"/>
  <c r="X26" i="9" s="1"/>
  <c r="B27" i="9"/>
  <c r="C27" i="9"/>
  <c r="P27" i="9" s="1"/>
  <c r="D27" i="9"/>
  <c r="Q27" i="9" s="1"/>
  <c r="E27" i="9"/>
  <c r="R27" i="9" s="1"/>
  <c r="F27" i="9"/>
  <c r="S27" i="9" s="1"/>
  <c r="G27" i="9"/>
  <c r="T27" i="9" s="1"/>
  <c r="H27" i="9"/>
  <c r="U27" i="9" s="1"/>
  <c r="I27" i="9"/>
  <c r="V27" i="9" s="1"/>
  <c r="J27" i="9"/>
  <c r="W27" i="9" s="1"/>
  <c r="K27" i="9"/>
  <c r="X27" i="9" s="1"/>
  <c r="B28" i="9"/>
  <c r="O28" i="19" s="1"/>
  <c r="C28" i="9"/>
  <c r="P28" i="9" s="1"/>
  <c r="D28" i="9"/>
  <c r="Q28" i="9" s="1"/>
  <c r="E28" i="9"/>
  <c r="R28" i="9" s="1"/>
  <c r="F28" i="9"/>
  <c r="S28" i="9" s="1"/>
  <c r="G28" i="9"/>
  <c r="T28" i="9" s="1"/>
  <c r="H28" i="9"/>
  <c r="U28" i="9" s="1"/>
  <c r="I28" i="9"/>
  <c r="V28" i="9" s="1"/>
  <c r="J28" i="9"/>
  <c r="W28" i="9" s="1"/>
  <c r="K28" i="9"/>
  <c r="X28" i="9" s="1"/>
  <c r="B29" i="9"/>
  <c r="O29" i="19" s="1"/>
  <c r="C29" i="9"/>
  <c r="P29" i="9" s="1"/>
  <c r="D29" i="9"/>
  <c r="Q29" i="9" s="1"/>
  <c r="E29" i="9"/>
  <c r="R29" i="9" s="1"/>
  <c r="F29" i="9"/>
  <c r="S29" i="9" s="1"/>
  <c r="G29" i="9"/>
  <c r="T29" i="9" s="1"/>
  <c r="H29" i="9"/>
  <c r="U29" i="9" s="1"/>
  <c r="I29" i="9"/>
  <c r="V29" i="9" s="1"/>
  <c r="J29" i="9"/>
  <c r="W29" i="9" s="1"/>
  <c r="K29" i="9"/>
  <c r="X29" i="9" s="1"/>
  <c r="B30" i="9"/>
  <c r="O30" i="9" s="1"/>
  <c r="C30" i="9"/>
  <c r="P30" i="9" s="1"/>
  <c r="D30" i="9"/>
  <c r="Q30" i="9" s="1"/>
  <c r="E30" i="9"/>
  <c r="R30" i="9" s="1"/>
  <c r="F30" i="9"/>
  <c r="S30" i="9" s="1"/>
  <c r="G30" i="9"/>
  <c r="T30" i="9" s="1"/>
  <c r="H30" i="9"/>
  <c r="U30" i="9" s="1"/>
  <c r="I30" i="9"/>
  <c r="V30" i="9" s="1"/>
  <c r="J30" i="9"/>
  <c r="W30" i="9" s="1"/>
  <c r="K30" i="9"/>
  <c r="X30" i="9" s="1"/>
  <c r="B31" i="9"/>
  <c r="O31" i="9" s="1"/>
  <c r="C31" i="9"/>
  <c r="P31" i="9" s="1"/>
  <c r="D31" i="9"/>
  <c r="Q31" i="9" s="1"/>
  <c r="E31" i="9"/>
  <c r="R31" i="9" s="1"/>
  <c r="F31" i="9"/>
  <c r="S31" i="9" s="1"/>
  <c r="G31" i="9"/>
  <c r="T31" i="9" s="1"/>
  <c r="H31" i="9"/>
  <c r="U31" i="9" s="1"/>
  <c r="I31" i="9"/>
  <c r="V31" i="9" s="1"/>
  <c r="J31" i="9"/>
  <c r="W31" i="9" s="1"/>
  <c r="K31" i="9"/>
  <c r="X31" i="9" s="1"/>
  <c r="B32" i="9"/>
  <c r="O32" i="9" s="1"/>
  <c r="C32" i="9"/>
  <c r="P32" i="9" s="1"/>
  <c r="D32" i="9"/>
  <c r="Q32" i="9" s="1"/>
  <c r="E32" i="9"/>
  <c r="R32" i="9" s="1"/>
  <c r="F32" i="9"/>
  <c r="S32" i="9" s="1"/>
  <c r="G32" i="9"/>
  <c r="T32" i="9" s="1"/>
  <c r="H32" i="9"/>
  <c r="U32" i="9" s="1"/>
  <c r="I32" i="9"/>
  <c r="V32" i="9" s="1"/>
  <c r="J32" i="9"/>
  <c r="W32" i="9" s="1"/>
  <c r="K32" i="9"/>
  <c r="X32" i="9" s="1"/>
  <c r="B33" i="9"/>
  <c r="C33" i="9"/>
  <c r="P33" i="9" s="1"/>
  <c r="D33" i="9"/>
  <c r="Q33" i="9" s="1"/>
  <c r="E33" i="9"/>
  <c r="R33" i="9" s="1"/>
  <c r="F33" i="9"/>
  <c r="S33" i="9" s="1"/>
  <c r="G33" i="9"/>
  <c r="T33" i="9" s="1"/>
  <c r="H33" i="9"/>
  <c r="U33" i="9" s="1"/>
  <c r="I33" i="9"/>
  <c r="V33" i="9" s="1"/>
  <c r="J33" i="9"/>
  <c r="W33" i="9" s="1"/>
  <c r="K33" i="9"/>
  <c r="X33" i="9" s="1"/>
  <c r="B34" i="9"/>
  <c r="O34" i="19" s="1"/>
  <c r="C34" i="9"/>
  <c r="P34" i="9" s="1"/>
  <c r="D34" i="9"/>
  <c r="Q34" i="9" s="1"/>
  <c r="E34" i="9"/>
  <c r="R34" i="9" s="1"/>
  <c r="F34" i="9"/>
  <c r="S34" i="9" s="1"/>
  <c r="G34" i="9"/>
  <c r="T34" i="9" s="1"/>
  <c r="H34" i="9"/>
  <c r="U34" i="9" s="1"/>
  <c r="I34" i="9"/>
  <c r="V34" i="9" s="1"/>
  <c r="J34" i="9"/>
  <c r="W34" i="9" s="1"/>
  <c r="K34" i="9"/>
  <c r="X34" i="9" s="1"/>
  <c r="B35" i="9"/>
  <c r="O35" i="19" s="1"/>
  <c r="C35" i="9"/>
  <c r="P35" i="9" s="1"/>
  <c r="D35" i="9"/>
  <c r="Q35" i="9" s="1"/>
  <c r="E35" i="9"/>
  <c r="R35" i="9" s="1"/>
  <c r="F35" i="9"/>
  <c r="S35" i="9" s="1"/>
  <c r="G35" i="9"/>
  <c r="T35" i="9" s="1"/>
  <c r="H35" i="9"/>
  <c r="U35" i="9" s="1"/>
  <c r="I35" i="9"/>
  <c r="V35" i="9" s="1"/>
  <c r="J35" i="9"/>
  <c r="W35" i="9" s="1"/>
  <c r="K35" i="9"/>
  <c r="X35" i="9" s="1"/>
  <c r="B36" i="9"/>
  <c r="O36" i="9" s="1"/>
  <c r="C36" i="9"/>
  <c r="P36" i="9" s="1"/>
  <c r="D36" i="9"/>
  <c r="Q36" i="9" s="1"/>
  <c r="E36" i="9"/>
  <c r="R36" i="9" s="1"/>
  <c r="F36" i="9"/>
  <c r="S36" i="9" s="1"/>
  <c r="G36" i="9"/>
  <c r="T36" i="9" s="1"/>
  <c r="H36" i="9"/>
  <c r="U36" i="9" s="1"/>
  <c r="I36" i="9"/>
  <c r="V36" i="9" s="1"/>
  <c r="J36" i="9"/>
  <c r="W36" i="9" s="1"/>
  <c r="K36" i="9"/>
  <c r="X36" i="9" s="1"/>
  <c r="B37" i="9"/>
  <c r="C37" i="9"/>
  <c r="P37" i="9" s="1"/>
  <c r="D37" i="9"/>
  <c r="Q37" i="9" s="1"/>
  <c r="E37" i="9"/>
  <c r="R37" i="9" s="1"/>
  <c r="F37" i="9"/>
  <c r="S37" i="9" s="1"/>
  <c r="G37" i="9"/>
  <c r="T37" i="9" s="1"/>
  <c r="H37" i="9"/>
  <c r="U37" i="9" s="1"/>
  <c r="I37" i="9"/>
  <c r="V37" i="9" s="1"/>
  <c r="J37" i="9"/>
  <c r="W37" i="9" s="1"/>
  <c r="K37" i="9"/>
  <c r="X37" i="9" s="1"/>
  <c r="B38" i="9"/>
  <c r="C38" i="9"/>
  <c r="D38" i="9"/>
  <c r="E38" i="9"/>
  <c r="F38" i="9"/>
  <c r="G38" i="9"/>
  <c r="H38" i="9"/>
  <c r="I38" i="9"/>
  <c r="J38" i="9"/>
  <c r="K38" i="9"/>
  <c r="B39" i="9"/>
  <c r="C39" i="9"/>
  <c r="D39" i="9"/>
  <c r="E39" i="9"/>
  <c r="F39" i="9"/>
  <c r="G39" i="9"/>
  <c r="H39" i="9"/>
  <c r="I39" i="9"/>
  <c r="J39" i="9"/>
  <c r="K39" i="9"/>
  <c r="B40" i="9"/>
  <c r="C40" i="9"/>
  <c r="D40" i="9"/>
  <c r="E40" i="9"/>
  <c r="F40" i="9"/>
  <c r="G40" i="9"/>
  <c r="H40" i="9"/>
  <c r="I40" i="9"/>
  <c r="J40" i="9"/>
  <c r="K40" i="9"/>
  <c r="B41" i="9"/>
  <c r="C41" i="9"/>
  <c r="D41" i="9"/>
  <c r="E41" i="9"/>
  <c r="F41" i="9"/>
  <c r="G41" i="9"/>
  <c r="H41" i="9"/>
  <c r="I41" i="9"/>
  <c r="J41" i="9"/>
  <c r="K41" i="9"/>
  <c r="B42" i="9"/>
  <c r="L42" i="9" s="1"/>
  <c r="C42" i="9"/>
  <c r="D42" i="9"/>
  <c r="E42" i="9"/>
  <c r="F42" i="9"/>
  <c r="G42" i="9"/>
  <c r="H42" i="9"/>
  <c r="I42" i="9"/>
  <c r="J42" i="9"/>
  <c r="K42" i="9"/>
  <c r="B43" i="9"/>
  <c r="C43" i="9"/>
  <c r="D43" i="9"/>
  <c r="E43" i="9"/>
  <c r="F43" i="9"/>
  <c r="G43" i="9"/>
  <c r="H43" i="9"/>
  <c r="I43" i="9"/>
  <c r="J43" i="9"/>
  <c r="K43" i="9"/>
  <c r="B44" i="9"/>
  <c r="C44" i="9"/>
  <c r="D44" i="9"/>
  <c r="E44" i="9"/>
  <c r="F44" i="9"/>
  <c r="G44" i="9"/>
  <c r="H44" i="9"/>
  <c r="I44" i="9"/>
  <c r="J44" i="9"/>
  <c r="K44" i="9"/>
  <c r="B45" i="9"/>
  <c r="C45" i="9"/>
  <c r="D45" i="9"/>
  <c r="E45" i="9"/>
  <c r="F45" i="9"/>
  <c r="G45" i="9"/>
  <c r="H45" i="9"/>
  <c r="I45" i="9"/>
  <c r="J45" i="9"/>
  <c r="K45" i="9"/>
  <c r="B46" i="9"/>
  <c r="C46" i="9"/>
  <c r="D46" i="9"/>
  <c r="E46" i="9"/>
  <c r="F46" i="9"/>
  <c r="G46" i="9"/>
  <c r="H46" i="9"/>
  <c r="I46" i="9"/>
  <c r="J46" i="9"/>
  <c r="K46" i="9"/>
  <c r="B47" i="9"/>
  <c r="C47" i="9"/>
  <c r="D47" i="9"/>
  <c r="E47" i="9"/>
  <c r="F47" i="9"/>
  <c r="G47" i="9"/>
  <c r="H47" i="9"/>
  <c r="I47" i="9"/>
  <c r="J47" i="9"/>
  <c r="K47" i="9"/>
  <c r="B48" i="9"/>
  <c r="C48" i="9"/>
  <c r="D48" i="9"/>
  <c r="E48" i="9"/>
  <c r="F48" i="9"/>
  <c r="G48" i="9"/>
  <c r="H48" i="9"/>
  <c r="I48" i="9"/>
  <c r="J48" i="9"/>
  <c r="K48" i="9"/>
  <c r="B49" i="9"/>
  <c r="C49" i="9"/>
  <c r="D49" i="9"/>
  <c r="L49" i="9" s="1"/>
  <c r="E49" i="9"/>
  <c r="F49" i="9"/>
  <c r="G49" i="9"/>
  <c r="H49" i="9"/>
  <c r="I49" i="9"/>
  <c r="J49" i="9"/>
  <c r="K49" i="9"/>
  <c r="B50" i="9"/>
  <c r="L50" i="9" s="1"/>
  <c r="C50" i="9"/>
  <c r="D50" i="9"/>
  <c r="E50" i="9"/>
  <c r="F50" i="9"/>
  <c r="G50" i="9"/>
  <c r="H50" i="9"/>
  <c r="I50" i="9"/>
  <c r="J50" i="9"/>
  <c r="K50" i="9"/>
  <c r="B51" i="9"/>
  <c r="C51" i="9"/>
  <c r="D51" i="9"/>
  <c r="E51" i="9"/>
  <c r="F51" i="9"/>
  <c r="G51" i="9"/>
  <c r="H51" i="9"/>
  <c r="I51" i="9"/>
  <c r="J51" i="9"/>
  <c r="K51" i="9"/>
  <c r="B52" i="9"/>
  <c r="C52" i="9"/>
  <c r="D52" i="9"/>
  <c r="E52" i="9"/>
  <c r="F52" i="9"/>
  <c r="G52" i="9"/>
  <c r="H52" i="9"/>
  <c r="I52" i="9"/>
  <c r="J52" i="9"/>
  <c r="K52" i="9"/>
  <c r="B53" i="9"/>
  <c r="C53" i="9"/>
  <c r="D53" i="9"/>
  <c r="E53" i="9"/>
  <c r="F53" i="9"/>
  <c r="G53" i="9"/>
  <c r="H53" i="9"/>
  <c r="I53" i="9"/>
  <c r="J53" i="9"/>
  <c r="K53" i="9"/>
  <c r="B54" i="9"/>
  <c r="C54" i="9"/>
  <c r="D54" i="9"/>
  <c r="E54" i="9"/>
  <c r="F54" i="9"/>
  <c r="G54" i="9"/>
  <c r="H54" i="9"/>
  <c r="I54" i="9"/>
  <c r="J54" i="9"/>
  <c r="K54" i="9"/>
  <c r="B55" i="9"/>
  <c r="C55" i="9"/>
  <c r="D55" i="9"/>
  <c r="E55" i="9"/>
  <c r="F55" i="9"/>
  <c r="G55" i="9"/>
  <c r="H55" i="9"/>
  <c r="I55" i="9"/>
  <c r="J55" i="9"/>
  <c r="K55" i="9"/>
  <c r="B56" i="9"/>
  <c r="C56" i="9"/>
  <c r="D56" i="9"/>
  <c r="E56" i="9"/>
  <c r="F56" i="9"/>
  <c r="G56" i="9"/>
  <c r="H56" i="9"/>
  <c r="I56" i="9"/>
  <c r="J56" i="9"/>
  <c r="K56" i="9"/>
  <c r="Y85" i="19"/>
  <c r="Y94" i="19"/>
  <c r="Y106" i="19"/>
  <c r="Y109" i="19"/>
  <c r="Y178" i="19"/>
  <c r="K3" i="9"/>
  <c r="J3" i="9"/>
  <c r="W3" i="9" s="1"/>
  <c r="I3" i="9"/>
  <c r="V3" i="9" s="1"/>
  <c r="H3" i="9"/>
  <c r="G3" i="9"/>
  <c r="T3" i="9" s="1"/>
  <c r="F3" i="9"/>
  <c r="E3" i="9"/>
  <c r="D3" i="9"/>
  <c r="Q3" i="9" s="1"/>
  <c r="C3" i="9"/>
  <c r="P3" i="9" s="1"/>
  <c r="B3" i="9"/>
  <c r="Y180" i="19"/>
  <c r="Y138" i="19"/>
  <c r="Y108" i="19"/>
  <c r="L54" i="9"/>
  <c r="Y54" i="9" s="1"/>
  <c r="L38" i="9"/>
  <c r="Y38" i="9" s="1"/>
  <c r="L36" i="9"/>
  <c r="Y36" i="9" s="1"/>
  <c r="L30" i="9"/>
  <c r="Y30" i="9" s="1"/>
  <c r="L24" i="9"/>
  <c r="Y24" i="9" s="1"/>
  <c r="L20" i="9"/>
  <c r="Y20" i="9" s="1"/>
  <c r="L18" i="9"/>
  <c r="Y18" i="9" s="1"/>
  <c r="L14" i="9"/>
  <c r="Y14" i="9" s="1"/>
  <c r="L13" i="9"/>
  <c r="Y13" i="9" s="1"/>
  <c r="L12" i="9"/>
  <c r="Y12" i="9" s="1"/>
  <c r="L8" i="9"/>
  <c r="Y8" i="9" s="1"/>
  <c r="L6" i="9"/>
  <c r="Y6" i="9" s="1"/>
  <c r="B4" i="8"/>
  <c r="C4" i="8"/>
  <c r="D4" i="8"/>
  <c r="E4" i="8"/>
  <c r="F4" i="8"/>
  <c r="G4" i="8"/>
  <c r="H4" i="8"/>
  <c r="I4" i="8"/>
  <c r="J4" i="8"/>
  <c r="K4" i="8"/>
  <c r="B5" i="8"/>
  <c r="C5" i="8"/>
  <c r="D5" i="8"/>
  <c r="E5" i="8"/>
  <c r="F5" i="8"/>
  <c r="G5" i="8"/>
  <c r="H5" i="8"/>
  <c r="I5" i="8"/>
  <c r="J5" i="8"/>
  <c r="K5" i="8"/>
  <c r="B6" i="8"/>
  <c r="C6" i="8"/>
  <c r="D6" i="8"/>
  <c r="E6" i="8"/>
  <c r="F6" i="8"/>
  <c r="G6" i="8"/>
  <c r="H6" i="8"/>
  <c r="I6" i="8"/>
  <c r="J6" i="8"/>
  <c r="K6" i="8"/>
  <c r="B7" i="8"/>
  <c r="C7" i="8"/>
  <c r="D7" i="8"/>
  <c r="E7" i="8"/>
  <c r="F7" i="8"/>
  <c r="G7" i="8"/>
  <c r="H7" i="8"/>
  <c r="I7" i="8"/>
  <c r="J7" i="8"/>
  <c r="K7" i="8"/>
  <c r="B8" i="8"/>
  <c r="C8" i="8"/>
  <c r="D8" i="8"/>
  <c r="E8" i="8"/>
  <c r="F8" i="8"/>
  <c r="G8" i="8"/>
  <c r="H8" i="8"/>
  <c r="I8" i="8"/>
  <c r="J8" i="8"/>
  <c r="K8" i="8"/>
  <c r="B9" i="8"/>
  <c r="C9" i="8"/>
  <c r="D9" i="8"/>
  <c r="E9" i="8"/>
  <c r="F9" i="8"/>
  <c r="G9" i="8"/>
  <c r="H9" i="8"/>
  <c r="I9" i="8"/>
  <c r="J9" i="8"/>
  <c r="K9" i="8"/>
  <c r="B10" i="8"/>
  <c r="C10" i="8"/>
  <c r="D10" i="8"/>
  <c r="F10" i="8"/>
  <c r="G10" i="8"/>
  <c r="H10" i="8"/>
  <c r="I10" i="8"/>
  <c r="J10" i="8"/>
  <c r="K10" i="8"/>
  <c r="B11" i="8"/>
  <c r="C11" i="8"/>
  <c r="D11" i="8"/>
  <c r="F11" i="8"/>
  <c r="G11" i="8"/>
  <c r="H11" i="8"/>
  <c r="I11" i="8"/>
  <c r="J11" i="8"/>
  <c r="K11" i="8"/>
  <c r="B12" i="8"/>
  <c r="C12" i="8"/>
  <c r="D12" i="8"/>
  <c r="F12" i="8"/>
  <c r="G12" i="8"/>
  <c r="H12" i="8"/>
  <c r="I12" i="8"/>
  <c r="J12" i="8"/>
  <c r="K12" i="8"/>
  <c r="B13" i="8"/>
  <c r="C13" i="8"/>
  <c r="D13" i="8"/>
  <c r="F13" i="8"/>
  <c r="G13" i="8"/>
  <c r="H13" i="8"/>
  <c r="I13" i="8"/>
  <c r="J13" i="8"/>
  <c r="K13" i="8"/>
  <c r="B14" i="8"/>
  <c r="C14" i="8"/>
  <c r="D14" i="8"/>
  <c r="F14" i="8"/>
  <c r="G14" i="8"/>
  <c r="H14" i="8"/>
  <c r="I14" i="8"/>
  <c r="J14" i="8"/>
  <c r="K14" i="8"/>
  <c r="B15" i="8"/>
  <c r="C15" i="8"/>
  <c r="D15" i="8"/>
  <c r="F15" i="8"/>
  <c r="G15" i="8"/>
  <c r="H15" i="8"/>
  <c r="I15" i="8"/>
  <c r="J15" i="8"/>
  <c r="K15" i="8"/>
  <c r="B16" i="8"/>
  <c r="C16" i="8"/>
  <c r="D16" i="8"/>
  <c r="F16" i="8"/>
  <c r="G16" i="8"/>
  <c r="H16" i="8"/>
  <c r="I16" i="8"/>
  <c r="J16" i="8"/>
  <c r="K16" i="8"/>
  <c r="B17" i="8"/>
  <c r="C17" i="8"/>
  <c r="D17" i="8"/>
  <c r="F17" i="8"/>
  <c r="G17" i="8"/>
  <c r="H17" i="8"/>
  <c r="I17" i="8"/>
  <c r="J17" i="8"/>
  <c r="K17" i="8"/>
  <c r="B18" i="8"/>
  <c r="C18" i="8"/>
  <c r="D18" i="8"/>
  <c r="F18" i="8"/>
  <c r="G18" i="8"/>
  <c r="H18" i="8"/>
  <c r="I18" i="8"/>
  <c r="J18" i="8"/>
  <c r="K18" i="8"/>
  <c r="B19" i="8"/>
  <c r="C19" i="8"/>
  <c r="D19" i="8"/>
  <c r="F19" i="8"/>
  <c r="G19" i="8"/>
  <c r="H19" i="8"/>
  <c r="I19" i="8"/>
  <c r="J19" i="8"/>
  <c r="K19" i="8"/>
  <c r="B20" i="8"/>
  <c r="C20" i="8"/>
  <c r="D20" i="8"/>
  <c r="F20" i="8"/>
  <c r="G20" i="8"/>
  <c r="H20" i="8"/>
  <c r="I20" i="8"/>
  <c r="J20" i="8"/>
  <c r="K20" i="8"/>
  <c r="B21" i="8"/>
  <c r="C21" i="8"/>
  <c r="D21" i="8"/>
  <c r="F21" i="8"/>
  <c r="G21" i="8"/>
  <c r="H21" i="8"/>
  <c r="I21" i="8"/>
  <c r="J21" i="8"/>
  <c r="K21" i="8"/>
  <c r="B22" i="8"/>
  <c r="C22" i="8"/>
  <c r="D22" i="8"/>
  <c r="F22" i="8"/>
  <c r="G22" i="8"/>
  <c r="H22" i="8"/>
  <c r="I22" i="8"/>
  <c r="J22" i="8"/>
  <c r="K22" i="8"/>
  <c r="B23" i="8"/>
  <c r="C23" i="8"/>
  <c r="D23" i="8"/>
  <c r="F23" i="8"/>
  <c r="G23" i="8"/>
  <c r="H23" i="8"/>
  <c r="I23" i="8"/>
  <c r="J23" i="8"/>
  <c r="K23" i="8"/>
  <c r="B24" i="8"/>
  <c r="C24" i="8"/>
  <c r="D24" i="8"/>
  <c r="F24" i="8"/>
  <c r="G24" i="8"/>
  <c r="H24" i="8"/>
  <c r="I24" i="8"/>
  <c r="J24" i="8"/>
  <c r="K24" i="8"/>
  <c r="B25" i="8"/>
  <c r="C25" i="8"/>
  <c r="D25" i="8"/>
  <c r="F25" i="8"/>
  <c r="G25" i="8"/>
  <c r="H25" i="8"/>
  <c r="I25" i="8"/>
  <c r="J25" i="8"/>
  <c r="K25" i="8"/>
  <c r="B26" i="8"/>
  <c r="C26" i="8"/>
  <c r="D26" i="8"/>
  <c r="F26" i="8"/>
  <c r="G26" i="8"/>
  <c r="H26" i="8"/>
  <c r="I26" i="8"/>
  <c r="J26" i="8"/>
  <c r="K26" i="8"/>
  <c r="B27" i="8"/>
  <c r="C27" i="8"/>
  <c r="D27" i="8"/>
  <c r="F27" i="8"/>
  <c r="G27" i="8"/>
  <c r="H27" i="8"/>
  <c r="I27" i="8"/>
  <c r="J27" i="8"/>
  <c r="K27" i="8"/>
  <c r="B28" i="8"/>
  <c r="C28" i="8"/>
  <c r="D28" i="8"/>
  <c r="F28" i="8"/>
  <c r="G28" i="8"/>
  <c r="H28" i="8"/>
  <c r="I28" i="8"/>
  <c r="J28" i="8"/>
  <c r="K28" i="8"/>
  <c r="B29" i="8"/>
  <c r="C29" i="8"/>
  <c r="D29" i="8"/>
  <c r="F29" i="8"/>
  <c r="G29" i="8"/>
  <c r="H29" i="8"/>
  <c r="I29" i="8"/>
  <c r="J29" i="8"/>
  <c r="K29" i="8"/>
  <c r="B30" i="8"/>
  <c r="C30" i="8"/>
  <c r="D30" i="8"/>
  <c r="F30" i="8"/>
  <c r="H30" i="8"/>
  <c r="I30" i="8"/>
  <c r="J30" i="8"/>
  <c r="K30" i="8"/>
  <c r="B31" i="8"/>
  <c r="C31" i="8"/>
  <c r="D31" i="8"/>
  <c r="F31" i="8"/>
  <c r="H31" i="8"/>
  <c r="I31" i="8"/>
  <c r="J31" i="8"/>
  <c r="K31" i="8"/>
  <c r="B32" i="8"/>
  <c r="C32" i="8"/>
  <c r="D32" i="8"/>
  <c r="F32" i="8"/>
  <c r="H32" i="8"/>
  <c r="I32" i="8"/>
  <c r="K32" i="8"/>
  <c r="B33" i="8"/>
  <c r="D33" i="8"/>
  <c r="F33" i="8"/>
  <c r="H33" i="8"/>
  <c r="I33" i="8"/>
  <c r="K33" i="8"/>
  <c r="B34" i="8"/>
  <c r="D34" i="8"/>
  <c r="H34" i="8"/>
  <c r="I34" i="8"/>
  <c r="K34" i="8"/>
  <c r="H35" i="8"/>
  <c r="I35" i="8"/>
  <c r="K35" i="8"/>
  <c r="H36" i="8"/>
  <c r="K36" i="8"/>
  <c r="K37" i="8"/>
  <c r="K3" i="8"/>
  <c r="J3" i="8"/>
  <c r="I3" i="8"/>
  <c r="H3" i="8"/>
  <c r="G3" i="8"/>
  <c r="F3" i="8"/>
  <c r="E3" i="8"/>
  <c r="D3" i="8"/>
  <c r="C3" i="8"/>
  <c r="B3" i="8"/>
  <c r="B4" i="7"/>
  <c r="C4" i="7"/>
  <c r="D4" i="7"/>
  <c r="E4" i="7"/>
  <c r="F4" i="7"/>
  <c r="G4" i="7"/>
  <c r="H4" i="7"/>
  <c r="I4" i="7"/>
  <c r="J4" i="7"/>
  <c r="K4" i="7"/>
  <c r="B5" i="7"/>
  <c r="C5" i="7"/>
  <c r="D5" i="7"/>
  <c r="E5" i="7"/>
  <c r="F5" i="7"/>
  <c r="G5" i="7"/>
  <c r="H5" i="7"/>
  <c r="I5" i="7"/>
  <c r="J5" i="7"/>
  <c r="K5" i="7"/>
  <c r="B6" i="7"/>
  <c r="C6" i="7"/>
  <c r="D6" i="7"/>
  <c r="E6" i="7"/>
  <c r="F6" i="7"/>
  <c r="G6" i="7"/>
  <c r="H6" i="7"/>
  <c r="I6" i="7"/>
  <c r="J6" i="7"/>
  <c r="K6" i="7"/>
  <c r="B7" i="7"/>
  <c r="C7" i="7"/>
  <c r="D7" i="7"/>
  <c r="E7" i="7"/>
  <c r="F7" i="7"/>
  <c r="G7" i="7"/>
  <c r="H7" i="7"/>
  <c r="I7" i="7"/>
  <c r="J7" i="7"/>
  <c r="K7" i="7"/>
  <c r="B8" i="7"/>
  <c r="C8" i="7"/>
  <c r="D8" i="7"/>
  <c r="E8" i="7"/>
  <c r="F8" i="7"/>
  <c r="G8" i="7"/>
  <c r="H8" i="7"/>
  <c r="I8" i="7"/>
  <c r="J8" i="7"/>
  <c r="K8" i="7"/>
  <c r="B9" i="7"/>
  <c r="C9" i="7"/>
  <c r="D9" i="7"/>
  <c r="E9" i="7"/>
  <c r="F9" i="7"/>
  <c r="G9" i="7"/>
  <c r="H9" i="7"/>
  <c r="I9" i="7"/>
  <c r="J9" i="7"/>
  <c r="K9" i="7"/>
  <c r="B10" i="7"/>
  <c r="C10" i="7"/>
  <c r="D10" i="7"/>
  <c r="E10" i="7"/>
  <c r="F10" i="7"/>
  <c r="G10" i="7"/>
  <c r="H10" i="7"/>
  <c r="I10" i="7"/>
  <c r="J10" i="7"/>
  <c r="K10" i="7"/>
  <c r="B11" i="7"/>
  <c r="C11" i="7"/>
  <c r="D11" i="7"/>
  <c r="E11" i="7"/>
  <c r="F11" i="7"/>
  <c r="G11" i="7"/>
  <c r="H11" i="7"/>
  <c r="I11" i="7"/>
  <c r="J11" i="7"/>
  <c r="K11" i="7"/>
  <c r="B12" i="7"/>
  <c r="C12" i="7"/>
  <c r="D12" i="7"/>
  <c r="E12" i="7"/>
  <c r="F12" i="7"/>
  <c r="G12" i="7"/>
  <c r="H12" i="7"/>
  <c r="I12" i="7"/>
  <c r="J12" i="7"/>
  <c r="K12" i="7"/>
  <c r="B13" i="7"/>
  <c r="C13" i="7"/>
  <c r="L13" i="7" s="1"/>
  <c r="D13" i="7"/>
  <c r="E13" i="7"/>
  <c r="F13" i="7"/>
  <c r="G13" i="7"/>
  <c r="H13" i="7"/>
  <c r="I13" i="7"/>
  <c r="J13" i="7"/>
  <c r="K13" i="7"/>
  <c r="B14" i="7"/>
  <c r="C14" i="7"/>
  <c r="L14" i="7" s="1"/>
  <c r="D14" i="7"/>
  <c r="E14" i="7"/>
  <c r="F14" i="7"/>
  <c r="G14" i="7"/>
  <c r="H14" i="7"/>
  <c r="I14" i="7"/>
  <c r="J14" i="7"/>
  <c r="K14" i="7"/>
  <c r="B15" i="7"/>
  <c r="C15" i="7"/>
  <c r="D15" i="7"/>
  <c r="E15" i="7"/>
  <c r="F15" i="7"/>
  <c r="G15" i="7"/>
  <c r="H15" i="7"/>
  <c r="I15" i="7"/>
  <c r="J15" i="7"/>
  <c r="K15" i="7"/>
  <c r="B16" i="7"/>
  <c r="C16" i="7"/>
  <c r="D16" i="7"/>
  <c r="E16" i="7"/>
  <c r="F16" i="7"/>
  <c r="G16" i="7"/>
  <c r="H16" i="7"/>
  <c r="I16" i="7"/>
  <c r="J16" i="7"/>
  <c r="K16" i="7"/>
  <c r="B17" i="7"/>
  <c r="C17" i="7"/>
  <c r="D17" i="7"/>
  <c r="E17" i="7"/>
  <c r="F17" i="7"/>
  <c r="G17" i="7"/>
  <c r="H17" i="7"/>
  <c r="I17" i="7"/>
  <c r="J17" i="7"/>
  <c r="K17" i="7"/>
  <c r="B18" i="7"/>
  <c r="C18" i="7"/>
  <c r="D18" i="7"/>
  <c r="E18" i="7"/>
  <c r="F18" i="7"/>
  <c r="G18" i="7"/>
  <c r="H18" i="7"/>
  <c r="I18" i="7"/>
  <c r="J18" i="7"/>
  <c r="K18" i="7"/>
  <c r="B19" i="7"/>
  <c r="C19" i="7"/>
  <c r="L19" i="7" s="1"/>
  <c r="D19" i="7"/>
  <c r="E19" i="7"/>
  <c r="F19" i="7"/>
  <c r="G19" i="7"/>
  <c r="H19" i="7"/>
  <c r="I19" i="7"/>
  <c r="J19" i="7"/>
  <c r="K19" i="7"/>
  <c r="B20" i="7"/>
  <c r="C20" i="7"/>
  <c r="D20" i="7"/>
  <c r="E20" i="7"/>
  <c r="F20" i="7"/>
  <c r="G20" i="7"/>
  <c r="H20" i="7"/>
  <c r="I20" i="7"/>
  <c r="J20" i="7"/>
  <c r="K20" i="7"/>
  <c r="B21" i="7"/>
  <c r="C21" i="7"/>
  <c r="D21" i="7"/>
  <c r="E21" i="7"/>
  <c r="F21" i="7"/>
  <c r="G21" i="7"/>
  <c r="H21" i="7"/>
  <c r="I21" i="7"/>
  <c r="J21" i="7"/>
  <c r="K21" i="7"/>
  <c r="B22" i="7"/>
  <c r="C22" i="7"/>
  <c r="D22" i="7"/>
  <c r="E22" i="7"/>
  <c r="F22" i="7"/>
  <c r="G22" i="7"/>
  <c r="H22" i="7"/>
  <c r="I22" i="7"/>
  <c r="J22" i="7"/>
  <c r="K22" i="7"/>
  <c r="B23" i="7"/>
  <c r="C23" i="7"/>
  <c r="D23" i="7"/>
  <c r="E23" i="7"/>
  <c r="F23" i="7"/>
  <c r="G23" i="7"/>
  <c r="H23" i="7"/>
  <c r="I23" i="7"/>
  <c r="J23" i="7"/>
  <c r="K23" i="7"/>
  <c r="B24" i="7"/>
  <c r="C24" i="7"/>
  <c r="D24" i="7"/>
  <c r="E24" i="7"/>
  <c r="F24" i="7"/>
  <c r="G24" i="7"/>
  <c r="H24" i="7"/>
  <c r="I24" i="7"/>
  <c r="J24" i="7"/>
  <c r="K24" i="7"/>
  <c r="B25" i="7"/>
  <c r="C25" i="7"/>
  <c r="L25" i="7" s="1"/>
  <c r="D25" i="7"/>
  <c r="E25" i="7"/>
  <c r="F25" i="7"/>
  <c r="G25" i="7"/>
  <c r="H25" i="7"/>
  <c r="I25" i="7"/>
  <c r="J25" i="7"/>
  <c r="K25" i="7"/>
  <c r="C26" i="7"/>
  <c r="D26" i="7"/>
  <c r="E26" i="7"/>
  <c r="F26" i="7"/>
  <c r="G26" i="7"/>
  <c r="H26" i="7"/>
  <c r="I26" i="7"/>
  <c r="J26" i="7"/>
  <c r="C27" i="7"/>
  <c r="D27" i="7"/>
  <c r="F27" i="7"/>
  <c r="H27" i="7"/>
  <c r="I27" i="7"/>
  <c r="L27" i="7" s="1"/>
  <c r="J27" i="7"/>
  <c r="D28" i="7"/>
  <c r="F28" i="7"/>
  <c r="H28" i="7"/>
  <c r="I28" i="7"/>
  <c r="F29" i="7"/>
  <c r="K3" i="7"/>
  <c r="I3" i="7"/>
  <c r="H3" i="7"/>
  <c r="G3" i="7"/>
  <c r="F3" i="7"/>
  <c r="E3" i="7"/>
  <c r="D3" i="7"/>
  <c r="C3" i="7"/>
  <c r="B3" i="7"/>
  <c r="L7" i="7"/>
  <c r="L3" i="6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4" i="6"/>
  <c r="C4" i="6"/>
  <c r="D4" i="6"/>
  <c r="E4" i="6"/>
  <c r="F4" i="6"/>
  <c r="G4" i="6"/>
  <c r="H4" i="6"/>
  <c r="I4" i="6"/>
  <c r="J4" i="6"/>
  <c r="K4" i="6"/>
  <c r="B5" i="6"/>
  <c r="C5" i="6"/>
  <c r="D5" i="6"/>
  <c r="E5" i="6"/>
  <c r="F5" i="6"/>
  <c r="G5" i="6"/>
  <c r="H5" i="6"/>
  <c r="I5" i="6"/>
  <c r="J5" i="6"/>
  <c r="K5" i="6"/>
  <c r="B6" i="6"/>
  <c r="C6" i="6"/>
  <c r="D6" i="6"/>
  <c r="E6" i="6"/>
  <c r="F6" i="6"/>
  <c r="G6" i="6"/>
  <c r="H6" i="6"/>
  <c r="I6" i="6"/>
  <c r="J6" i="6"/>
  <c r="K6" i="6"/>
  <c r="B7" i="6"/>
  <c r="C7" i="6"/>
  <c r="D7" i="6"/>
  <c r="E7" i="6"/>
  <c r="F7" i="6"/>
  <c r="G7" i="6"/>
  <c r="H7" i="6"/>
  <c r="I7" i="6"/>
  <c r="J7" i="6"/>
  <c r="K7" i="6"/>
  <c r="B8" i="6"/>
  <c r="C8" i="6"/>
  <c r="D8" i="6"/>
  <c r="E8" i="6"/>
  <c r="F8" i="6"/>
  <c r="G8" i="6"/>
  <c r="H8" i="6"/>
  <c r="I8" i="6"/>
  <c r="J8" i="6"/>
  <c r="K8" i="6"/>
  <c r="B9" i="6"/>
  <c r="C9" i="6"/>
  <c r="D9" i="6"/>
  <c r="E9" i="6"/>
  <c r="F9" i="6"/>
  <c r="G9" i="6"/>
  <c r="H9" i="6"/>
  <c r="I9" i="6"/>
  <c r="J9" i="6"/>
  <c r="K9" i="6"/>
  <c r="B10" i="6"/>
  <c r="C10" i="6"/>
  <c r="D10" i="6"/>
  <c r="E10" i="6"/>
  <c r="F10" i="6"/>
  <c r="G10" i="6"/>
  <c r="H10" i="6"/>
  <c r="I10" i="6"/>
  <c r="J10" i="6"/>
  <c r="K10" i="6"/>
  <c r="B11" i="6"/>
  <c r="C11" i="6"/>
  <c r="D11" i="6"/>
  <c r="E11" i="6"/>
  <c r="F11" i="6"/>
  <c r="G11" i="6"/>
  <c r="H11" i="6"/>
  <c r="I11" i="6"/>
  <c r="J11" i="6"/>
  <c r="K11" i="6"/>
  <c r="B12" i="6"/>
  <c r="C12" i="6"/>
  <c r="D12" i="6"/>
  <c r="E12" i="6"/>
  <c r="F12" i="6"/>
  <c r="G12" i="6"/>
  <c r="H12" i="6"/>
  <c r="I12" i="6"/>
  <c r="J12" i="6"/>
  <c r="K12" i="6"/>
  <c r="B13" i="6"/>
  <c r="C13" i="6"/>
  <c r="D13" i="6"/>
  <c r="E13" i="6"/>
  <c r="F13" i="6"/>
  <c r="G13" i="6"/>
  <c r="H13" i="6"/>
  <c r="I13" i="6"/>
  <c r="J13" i="6"/>
  <c r="K13" i="6"/>
  <c r="B14" i="6"/>
  <c r="C14" i="6"/>
  <c r="D14" i="6"/>
  <c r="E14" i="6"/>
  <c r="F14" i="6"/>
  <c r="G14" i="6"/>
  <c r="H14" i="6"/>
  <c r="I14" i="6"/>
  <c r="J14" i="6"/>
  <c r="K14" i="6"/>
  <c r="B15" i="6"/>
  <c r="C15" i="6"/>
  <c r="D15" i="6"/>
  <c r="E15" i="6"/>
  <c r="F15" i="6"/>
  <c r="G15" i="6"/>
  <c r="H15" i="6"/>
  <c r="I15" i="6"/>
  <c r="J15" i="6"/>
  <c r="K15" i="6"/>
  <c r="B16" i="6"/>
  <c r="C16" i="6"/>
  <c r="D16" i="6"/>
  <c r="E16" i="6"/>
  <c r="F16" i="6"/>
  <c r="G16" i="6"/>
  <c r="H16" i="6"/>
  <c r="I16" i="6"/>
  <c r="J16" i="6"/>
  <c r="K16" i="6"/>
  <c r="B17" i="6"/>
  <c r="C17" i="6"/>
  <c r="D17" i="6"/>
  <c r="E17" i="6"/>
  <c r="F17" i="6"/>
  <c r="G17" i="6"/>
  <c r="H17" i="6"/>
  <c r="I17" i="6"/>
  <c r="J17" i="6"/>
  <c r="K17" i="6"/>
  <c r="B18" i="6"/>
  <c r="C18" i="6"/>
  <c r="D18" i="6"/>
  <c r="E18" i="6"/>
  <c r="F18" i="6"/>
  <c r="G18" i="6"/>
  <c r="H18" i="6"/>
  <c r="I18" i="6"/>
  <c r="J18" i="6"/>
  <c r="K18" i="6"/>
  <c r="B19" i="6"/>
  <c r="C19" i="6"/>
  <c r="D19" i="6"/>
  <c r="E19" i="6"/>
  <c r="F19" i="6"/>
  <c r="G19" i="6"/>
  <c r="H19" i="6"/>
  <c r="I19" i="6"/>
  <c r="J19" i="6"/>
  <c r="K19" i="6"/>
  <c r="B20" i="6"/>
  <c r="C20" i="6"/>
  <c r="D20" i="6"/>
  <c r="E20" i="6"/>
  <c r="F20" i="6"/>
  <c r="G20" i="6"/>
  <c r="H20" i="6"/>
  <c r="I20" i="6"/>
  <c r="J20" i="6"/>
  <c r="K20" i="6"/>
  <c r="B21" i="6"/>
  <c r="C21" i="6"/>
  <c r="D21" i="6"/>
  <c r="E21" i="6"/>
  <c r="F21" i="6"/>
  <c r="G21" i="6"/>
  <c r="H21" i="6"/>
  <c r="I21" i="6"/>
  <c r="J21" i="6"/>
  <c r="K21" i="6"/>
  <c r="B22" i="6"/>
  <c r="C22" i="6"/>
  <c r="D22" i="6"/>
  <c r="E22" i="6"/>
  <c r="F22" i="6"/>
  <c r="G22" i="6"/>
  <c r="H22" i="6"/>
  <c r="I22" i="6"/>
  <c r="J22" i="6"/>
  <c r="K22" i="6"/>
  <c r="B23" i="6"/>
  <c r="C23" i="6"/>
  <c r="D23" i="6"/>
  <c r="E23" i="6"/>
  <c r="F23" i="6"/>
  <c r="G23" i="6"/>
  <c r="H23" i="6"/>
  <c r="I23" i="6"/>
  <c r="J23" i="6"/>
  <c r="K23" i="6"/>
  <c r="B24" i="6"/>
  <c r="C24" i="6"/>
  <c r="D24" i="6"/>
  <c r="E24" i="6"/>
  <c r="F24" i="6"/>
  <c r="G24" i="6"/>
  <c r="H24" i="6"/>
  <c r="I24" i="6"/>
  <c r="J24" i="6"/>
  <c r="K24" i="6"/>
  <c r="B25" i="6"/>
  <c r="C25" i="6"/>
  <c r="D25" i="6"/>
  <c r="E25" i="6"/>
  <c r="F25" i="6"/>
  <c r="G25" i="6"/>
  <c r="H25" i="6"/>
  <c r="I25" i="6"/>
  <c r="K25" i="6"/>
  <c r="B26" i="6"/>
  <c r="C26" i="6"/>
  <c r="D26" i="6"/>
  <c r="E26" i="6"/>
  <c r="F26" i="6"/>
  <c r="G26" i="6"/>
  <c r="H26" i="6"/>
  <c r="I26" i="6"/>
  <c r="J26" i="6"/>
  <c r="K26" i="6"/>
  <c r="B27" i="6"/>
  <c r="C27" i="6"/>
  <c r="D27" i="6"/>
  <c r="E27" i="6"/>
  <c r="F27" i="6"/>
  <c r="G27" i="6"/>
  <c r="H27" i="6"/>
  <c r="I27" i="6"/>
  <c r="J27" i="6"/>
  <c r="K27" i="6"/>
  <c r="B28" i="6"/>
  <c r="C28" i="6"/>
  <c r="D28" i="6"/>
  <c r="E28" i="6"/>
  <c r="F28" i="6"/>
  <c r="G28" i="6"/>
  <c r="H28" i="6"/>
  <c r="I28" i="6"/>
  <c r="J28" i="6"/>
  <c r="K28" i="6"/>
  <c r="B29" i="6"/>
  <c r="C29" i="6"/>
  <c r="D29" i="6"/>
  <c r="E29" i="6"/>
  <c r="F29" i="6"/>
  <c r="G29" i="6"/>
  <c r="H29" i="6"/>
  <c r="I29" i="6"/>
  <c r="J29" i="6"/>
  <c r="K29" i="6"/>
  <c r="B30" i="6"/>
  <c r="C30" i="6"/>
  <c r="D30" i="6"/>
  <c r="E30" i="6"/>
  <c r="F30" i="6"/>
  <c r="G30" i="6"/>
  <c r="H30" i="6"/>
  <c r="I30" i="6"/>
  <c r="J30" i="6"/>
  <c r="K30" i="6"/>
  <c r="B31" i="6"/>
  <c r="C31" i="6"/>
  <c r="D31" i="6"/>
  <c r="E31" i="6"/>
  <c r="F31" i="6"/>
  <c r="G31" i="6"/>
  <c r="H31" i="6"/>
  <c r="I31" i="6"/>
  <c r="J31" i="6"/>
  <c r="K31" i="6"/>
  <c r="B32" i="6"/>
  <c r="C32" i="6"/>
  <c r="D32" i="6"/>
  <c r="E32" i="6"/>
  <c r="F32" i="6"/>
  <c r="G32" i="6"/>
  <c r="H32" i="6"/>
  <c r="I32" i="6"/>
  <c r="J32" i="6"/>
  <c r="K32" i="6"/>
  <c r="B33" i="6"/>
  <c r="C33" i="6"/>
  <c r="D33" i="6"/>
  <c r="E33" i="6"/>
  <c r="F33" i="6"/>
  <c r="G33" i="6"/>
  <c r="H33" i="6"/>
  <c r="I33" i="6"/>
  <c r="J33" i="6"/>
  <c r="K33" i="6"/>
  <c r="B34" i="6"/>
  <c r="C34" i="6"/>
  <c r="D34" i="6"/>
  <c r="E34" i="6"/>
  <c r="F34" i="6"/>
  <c r="G34" i="6"/>
  <c r="H34" i="6"/>
  <c r="I34" i="6"/>
  <c r="J34" i="6"/>
  <c r="K34" i="6"/>
  <c r="B35" i="6"/>
  <c r="C35" i="6"/>
  <c r="D35" i="6"/>
  <c r="E35" i="6"/>
  <c r="F35" i="6"/>
  <c r="G35" i="6"/>
  <c r="H35" i="6"/>
  <c r="I35" i="6"/>
  <c r="J35" i="6"/>
  <c r="K35" i="6"/>
  <c r="B36" i="6"/>
  <c r="C36" i="6"/>
  <c r="D36" i="6"/>
  <c r="E36" i="6"/>
  <c r="F36" i="6"/>
  <c r="G36" i="6"/>
  <c r="H36" i="6"/>
  <c r="I36" i="6"/>
  <c r="J36" i="6"/>
  <c r="K36" i="6"/>
  <c r="B37" i="6"/>
  <c r="C37" i="6"/>
  <c r="D37" i="6"/>
  <c r="E37" i="6"/>
  <c r="F37" i="6"/>
  <c r="G37" i="6"/>
  <c r="H37" i="6"/>
  <c r="I37" i="6"/>
  <c r="J37" i="6"/>
  <c r="K37" i="6"/>
  <c r="B38" i="6"/>
  <c r="C38" i="6"/>
  <c r="D38" i="6"/>
  <c r="E38" i="6"/>
  <c r="F38" i="6"/>
  <c r="G38" i="6"/>
  <c r="H38" i="6"/>
  <c r="I38" i="6"/>
  <c r="J38" i="6"/>
  <c r="K38" i="6"/>
  <c r="B39" i="6"/>
  <c r="C39" i="6"/>
  <c r="D39" i="6"/>
  <c r="E39" i="6"/>
  <c r="F39" i="6"/>
  <c r="G39" i="6"/>
  <c r="H39" i="6"/>
  <c r="I39" i="6"/>
  <c r="J39" i="6"/>
  <c r="K39" i="6"/>
  <c r="B40" i="6"/>
  <c r="C40" i="6"/>
  <c r="D40" i="6"/>
  <c r="E40" i="6"/>
  <c r="F40" i="6"/>
  <c r="G40" i="6"/>
  <c r="H40" i="6"/>
  <c r="I40" i="6"/>
  <c r="J40" i="6"/>
  <c r="K40" i="6"/>
  <c r="B41" i="6"/>
  <c r="C41" i="6"/>
  <c r="D41" i="6"/>
  <c r="E41" i="6"/>
  <c r="F41" i="6"/>
  <c r="G41" i="6"/>
  <c r="H41" i="6"/>
  <c r="I41" i="6"/>
  <c r="J41" i="6"/>
  <c r="K41" i="6"/>
  <c r="B42" i="6"/>
  <c r="C42" i="6"/>
  <c r="D42" i="6"/>
  <c r="E42" i="6"/>
  <c r="F42" i="6"/>
  <c r="G42" i="6"/>
  <c r="H42" i="6"/>
  <c r="I42" i="6"/>
  <c r="J42" i="6"/>
  <c r="K42" i="6"/>
  <c r="B43" i="6"/>
  <c r="C43" i="6"/>
  <c r="D43" i="6"/>
  <c r="E43" i="6"/>
  <c r="F43" i="6"/>
  <c r="G43" i="6"/>
  <c r="H43" i="6"/>
  <c r="I43" i="6"/>
  <c r="J43" i="6"/>
  <c r="K43" i="6"/>
  <c r="B44" i="6"/>
  <c r="C44" i="6"/>
  <c r="D44" i="6"/>
  <c r="E44" i="6"/>
  <c r="F44" i="6"/>
  <c r="G44" i="6"/>
  <c r="H44" i="6"/>
  <c r="I44" i="6"/>
  <c r="J44" i="6"/>
  <c r="K44" i="6"/>
  <c r="B45" i="6"/>
  <c r="C45" i="6"/>
  <c r="D45" i="6"/>
  <c r="E45" i="6"/>
  <c r="F45" i="6"/>
  <c r="G45" i="6"/>
  <c r="H45" i="6"/>
  <c r="I45" i="6"/>
  <c r="J45" i="6"/>
  <c r="K45" i="6"/>
  <c r="B46" i="6"/>
  <c r="C46" i="6"/>
  <c r="D46" i="6"/>
  <c r="E46" i="6"/>
  <c r="F46" i="6"/>
  <c r="G46" i="6"/>
  <c r="H46" i="6"/>
  <c r="I46" i="6"/>
  <c r="J46" i="6"/>
  <c r="K46" i="6"/>
  <c r="B47" i="6"/>
  <c r="C47" i="6"/>
  <c r="D47" i="6"/>
  <c r="E47" i="6"/>
  <c r="F47" i="6"/>
  <c r="G47" i="6"/>
  <c r="H47" i="6"/>
  <c r="I47" i="6"/>
  <c r="J47" i="6"/>
  <c r="K47" i="6"/>
  <c r="B48" i="6"/>
  <c r="C48" i="6"/>
  <c r="D48" i="6"/>
  <c r="E48" i="6"/>
  <c r="F48" i="6"/>
  <c r="G48" i="6"/>
  <c r="H48" i="6"/>
  <c r="I48" i="6"/>
  <c r="J48" i="6"/>
  <c r="K48" i="6"/>
  <c r="B49" i="6"/>
  <c r="C49" i="6"/>
  <c r="D49" i="6"/>
  <c r="E49" i="6"/>
  <c r="F49" i="6"/>
  <c r="G49" i="6"/>
  <c r="H49" i="6"/>
  <c r="I49" i="6"/>
  <c r="J49" i="6"/>
  <c r="K49" i="6"/>
  <c r="B50" i="6"/>
  <c r="C50" i="6"/>
  <c r="D50" i="6"/>
  <c r="E50" i="6"/>
  <c r="F50" i="6"/>
  <c r="G50" i="6"/>
  <c r="H50" i="6"/>
  <c r="I50" i="6"/>
  <c r="J50" i="6"/>
  <c r="K50" i="6"/>
  <c r="B51" i="6"/>
  <c r="C51" i="6"/>
  <c r="D51" i="6"/>
  <c r="E51" i="6"/>
  <c r="F51" i="6"/>
  <c r="G51" i="6"/>
  <c r="H51" i="6"/>
  <c r="I51" i="6"/>
  <c r="J51" i="6"/>
  <c r="K51" i="6"/>
  <c r="B52" i="6"/>
  <c r="C52" i="6"/>
  <c r="D52" i="6"/>
  <c r="E52" i="6"/>
  <c r="F52" i="6"/>
  <c r="G52" i="6"/>
  <c r="H52" i="6"/>
  <c r="I52" i="6"/>
  <c r="J52" i="6"/>
  <c r="K52" i="6"/>
  <c r="B53" i="6"/>
  <c r="C53" i="6"/>
  <c r="D53" i="6"/>
  <c r="E53" i="6"/>
  <c r="F53" i="6"/>
  <c r="G53" i="6"/>
  <c r="H53" i="6"/>
  <c r="I53" i="6"/>
  <c r="J53" i="6"/>
  <c r="K53" i="6"/>
  <c r="B54" i="6"/>
  <c r="C54" i="6"/>
  <c r="D54" i="6"/>
  <c r="E54" i="6"/>
  <c r="F54" i="6"/>
  <c r="G54" i="6"/>
  <c r="H54" i="6"/>
  <c r="I54" i="6"/>
  <c r="J54" i="6"/>
  <c r="K54" i="6"/>
  <c r="B55" i="6"/>
  <c r="C55" i="6"/>
  <c r="D55" i="6"/>
  <c r="E55" i="6"/>
  <c r="F55" i="6"/>
  <c r="G55" i="6"/>
  <c r="H55" i="6"/>
  <c r="I55" i="6"/>
  <c r="J55" i="6"/>
  <c r="K55" i="6"/>
  <c r="B56" i="6"/>
  <c r="C56" i="6"/>
  <c r="D56" i="6"/>
  <c r="E56" i="6"/>
  <c r="F56" i="6"/>
  <c r="G56" i="6"/>
  <c r="H56" i="6"/>
  <c r="I56" i="6"/>
  <c r="J56" i="6"/>
  <c r="K56" i="6"/>
  <c r="B57" i="6"/>
  <c r="C57" i="6"/>
  <c r="E57" i="6"/>
  <c r="F57" i="6"/>
  <c r="G57" i="6"/>
  <c r="H57" i="6"/>
  <c r="I57" i="6"/>
  <c r="J57" i="6"/>
  <c r="K57" i="6"/>
  <c r="B58" i="6"/>
  <c r="C58" i="6"/>
  <c r="E58" i="6"/>
  <c r="F58" i="6"/>
  <c r="G58" i="6"/>
  <c r="H58" i="6"/>
  <c r="I58" i="6"/>
  <c r="J58" i="6"/>
  <c r="K58" i="6"/>
  <c r="B59" i="6"/>
  <c r="C59" i="6"/>
  <c r="E59" i="6"/>
  <c r="F59" i="6"/>
  <c r="G59" i="6"/>
  <c r="H59" i="6"/>
  <c r="I59" i="6"/>
  <c r="J59" i="6"/>
  <c r="K59" i="6"/>
  <c r="B60" i="6"/>
  <c r="C60" i="6"/>
  <c r="E60" i="6"/>
  <c r="F60" i="6"/>
  <c r="G60" i="6"/>
  <c r="H60" i="6"/>
  <c r="I60" i="6"/>
  <c r="J60" i="6"/>
  <c r="K60" i="6"/>
  <c r="B61" i="6"/>
  <c r="C61" i="6"/>
  <c r="E61" i="6"/>
  <c r="F61" i="6"/>
  <c r="G61" i="6"/>
  <c r="H61" i="6"/>
  <c r="I61" i="6"/>
  <c r="J61" i="6"/>
  <c r="K61" i="6"/>
  <c r="B62" i="6"/>
  <c r="C62" i="6"/>
  <c r="E62" i="6"/>
  <c r="F62" i="6"/>
  <c r="G62" i="6"/>
  <c r="H62" i="6"/>
  <c r="I62" i="6"/>
  <c r="J62" i="6"/>
  <c r="K62" i="6"/>
  <c r="B63" i="6"/>
  <c r="C63" i="6"/>
  <c r="E63" i="6"/>
  <c r="F63" i="6"/>
  <c r="G63" i="6"/>
  <c r="H63" i="6"/>
  <c r="I63" i="6"/>
  <c r="J63" i="6"/>
  <c r="K63" i="6"/>
  <c r="B64" i="6"/>
  <c r="C64" i="6"/>
  <c r="E64" i="6"/>
  <c r="F64" i="6"/>
  <c r="G64" i="6"/>
  <c r="H64" i="6"/>
  <c r="I64" i="6"/>
  <c r="J64" i="6"/>
  <c r="K64" i="6"/>
  <c r="B65" i="6"/>
  <c r="C65" i="6"/>
  <c r="E65" i="6"/>
  <c r="F65" i="6"/>
  <c r="G65" i="6"/>
  <c r="H65" i="6"/>
  <c r="I65" i="6"/>
  <c r="J65" i="6"/>
  <c r="K65" i="6"/>
  <c r="B66" i="6"/>
  <c r="C66" i="6"/>
  <c r="E66" i="6"/>
  <c r="F66" i="6"/>
  <c r="G66" i="6"/>
  <c r="H66" i="6"/>
  <c r="I66" i="6"/>
  <c r="J66" i="6"/>
  <c r="K66" i="6"/>
  <c r="B67" i="6"/>
  <c r="C67" i="6"/>
  <c r="E67" i="6"/>
  <c r="F67" i="6"/>
  <c r="G67" i="6"/>
  <c r="H67" i="6"/>
  <c r="I67" i="6"/>
  <c r="J67" i="6"/>
  <c r="K67" i="6"/>
  <c r="B68" i="6"/>
  <c r="C68" i="6"/>
  <c r="E68" i="6"/>
  <c r="F68" i="6"/>
  <c r="G68" i="6"/>
  <c r="H68" i="6"/>
  <c r="I68" i="6"/>
  <c r="J68" i="6"/>
  <c r="K68" i="6"/>
  <c r="B69" i="6"/>
  <c r="C69" i="6"/>
  <c r="E69" i="6"/>
  <c r="F69" i="6"/>
  <c r="G69" i="6"/>
  <c r="H69" i="6"/>
  <c r="I69" i="6"/>
  <c r="J69" i="6"/>
  <c r="K69" i="6"/>
  <c r="B70" i="6"/>
  <c r="C70" i="6"/>
  <c r="E70" i="6"/>
  <c r="F70" i="6"/>
  <c r="G70" i="6"/>
  <c r="H70" i="6"/>
  <c r="I70" i="6"/>
  <c r="J70" i="6"/>
  <c r="K70" i="6"/>
  <c r="B71" i="6"/>
  <c r="C71" i="6"/>
  <c r="E71" i="6"/>
  <c r="F71" i="6"/>
  <c r="G71" i="6"/>
  <c r="H71" i="6"/>
  <c r="I71" i="6"/>
  <c r="J71" i="6"/>
  <c r="K71" i="6"/>
  <c r="B72" i="6"/>
  <c r="C72" i="6"/>
  <c r="E72" i="6"/>
  <c r="F72" i="6"/>
  <c r="G72" i="6"/>
  <c r="H72" i="6"/>
  <c r="I72" i="6"/>
  <c r="J72" i="6"/>
  <c r="K72" i="6"/>
  <c r="B73" i="6"/>
  <c r="C73" i="6"/>
  <c r="E73" i="6"/>
  <c r="F73" i="6"/>
  <c r="G73" i="6"/>
  <c r="H73" i="6"/>
  <c r="I73" i="6"/>
  <c r="J73" i="6"/>
  <c r="K73" i="6"/>
  <c r="B74" i="6"/>
  <c r="C74" i="6"/>
  <c r="E74" i="6"/>
  <c r="F74" i="6"/>
  <c r="G74" i="6"/>
  <c r="H74" i="6"/>
  <c r="I74" i="6"/>
  <c r="J74" i="6"/>
  <c r="K74" i="6"/>
  <c r="B75" i="6"/>
  <c r="C75" i="6"/>
  <c r="E75" i="6"/>
  <c r="F75" i="6"/>
  <c r="G75" i="6"/>
  <c r="H75" i="6"/>
  <c r="I75" i="6"/>
  <c r="J75" i="6"/>
  <c r="K75" i="6"/>
  <c r="B76" i="6"/>
  <c r="C76" i="6"/>
  <c r="E76" i="6"/>
  <c r="F76" i="6"/>
  <c r="G76" i="6"/>
  <c r="H76" i="6"/>
  <c r="I76" i="6"/>
  <c r="J76" i="6"/>
  <c r="K76" i="6"/>
  <c r="B77" i="6"/>
  <c r="C77" i="6"/>
  <c r="E77" i="6"/>
  <c r="F77" i="6"/>
  <c r="G77" i="6"/>
  <c r="H77" i="6"/>
  <c r="I77" i="6"/>
  <c r="J77" i="6"/>
  <c r="K77" i="6"/>
  <c r="B78" i="6"/>
  <c r="C78" i="6"/>
  <c r="E78" i="6"/>
  <c r="F78" i="6"/>
  <c r="G78" i="6"/>
  <c r="H78" i="6"/>
  <c r="I78" i="6"/>
  <c r="J78" i="6"/>
  <c r="K78" i="6"/>
  <c r="B79" i="6"/>
  <c r="E79" i="6"/>
  <c r="F79" i="6"/>
  <c r="G79" i="6"/>
  <c r="H79" i="6"/>
  <c r="I79" i="6"/>
  <c r="J79" i="6"/>
  <c r="K79" i="6"/>
  <c r="F80" i="6"/>
  <c r="G80" i="6"/>
  <c r="H80" i="6"/>
  <c r="I80" i="6"/>
  <c r="J80" i="6"/>
  <c r="K80" i="6"/>
  <c r="F81" i="6"/>
  <c r="G81" i="6"/>
  <c r="H81" i="6"/>
  <c r="I81" i="6"/>
  <c r="J81" i="6"/>
  <c r="K81" i="6"/>
  <c r="F82" i="6"/>
  <c r="G82" i="6"/>
  <c r="H82" i="6"/>
  <c r="I82" i="6"/>
  <c r="J82" i="6"/>
  <c r="K82" i="6"/>
  <c r="F83" i="6"/>
  <c r="G83" i="6"/>
  <c r="H83" i="6"/>
  <c r="I83" i="6"/>
  <c r="J83" i="6"/>
  <c r="K83" i="6"/>
  <c r="F84" i="6"/>
  <c r="G84" i="6"/>
  <c r="H84" i="6"/>
  <c r="I84" i="6"/>
  <c r="J84" i="6"/>
  <c r="K84" i="6"/>
  <c r="F85" i="6"/>
  <c r="G85" i="6"/>
  <c r="H85" i="6"/>
  <c r="I85" i="6"/>
  <c r="J85" i="6"/>
  <c r="K85" i="6"/>
  <c r="F86" i="6"/>
  <c r="G86" i="6"/>
  <c r="H86" i="6"/>
  <c r="I86" i="6"/>
  <c r="J86" i="6"/>
  <c r="K86" i="6"/>
  <c r="F87" i="6"/>
  <c r="G87" i="6"/>
  <c r="H87" i="6"/>
  <c r="I87" i="6"/>
  <c r="J87" i="6"/>
  <c r="K87" i="6"/>
  <c r="F88" i="6"/>
  <c r="G88" i="6"/>
  <c r="H88" i="6"/>
  <c r="I88" i="6"/>
  <c r="J88" i="6"/>
  <c r="K88" i="6"/>
  <c r="G89" i="6"/>
  <c r="H89" i="6"/>
  <c r="I89" i="6"/>
  <c r="J89" i="6"/>
  <c r="K89" i="6"/>
  <c r="G90" i="6"/>
  <c r="H90" i="6"/>
  <c r="I90" i="6"/>
  <c r="J90" i="6"/>
  <c r="K90" i="6"/>
  <c r="G91" i="6"/>
  <c r="H91" i="6"/>
  <c r="I91" i="6"/>
  <c r="J91" i="6"/>
  <c r="K91" i="6"/>
  <c r="G92" i="6"/>
  <c r="H92" i="6"/>
  <c r="I92" i="6"/>
  <c r="J92" i="6"/>
  <c r="K92" i="6"/>
  <c r="G93" i="6"/>
  <c r="I93" i="6"/>
  <c r="J93" i="6"/>
  <c r="K93" i="6"/>
  <c r="G94" i="6"/>
  <c r="I94" i="6"/>
  <c r="J94" i="6"/>
  <c r="K94" i="6"/>
  <c r="G95" i="6"/>
  <c r="I95" i="6"/>
  <c r="J95" i="6"/>
  <c r="K95" i="6"/>
  <c r="G96" i="6"/>
  <c r="I96" i="6"/>
  <c r="J96" i="6"/>
  <c r="K96" i="6"/>
  <c r="G97" i="6"/>
  <c r="I97" i="6"/>
  <c r="J97" i="6"/>
  <c r="K97" i="6"/>
  <c r="G98" i="6"/>
  <c r="I98" i="6"/>
  <c r="J98" i="6"/>
  <c r="K98" i="6"/>
  <c r="G99" i="6"/>
  <c r="I99" i="6"/>
  <c r="J99" i="6"/>
  <c r="K99" i="6"/>
  <c r="G100" i="6"/>
  <c r="I100" i="6"/>
  <c r="J100" i="6"/>
  <c r="G101" i="6"/>
  <c r="I101" i="6"/>
  <c r="J101" i="6"/>
  <c r="G102" i="6"/>
  <c r="I102" i="6"/>
  <c r="J102" i="6"/>
  <c r="G103" i="6"/>
  <c r="I103" i="6"/>
  <c r="J103" i="6"/>
  <c r="G104" i="6"/>
  <c r="I104" i="6"/>
  <c r="J104" i="6"/>
  <c r="G105" i="6"/>
  <c r="I105" i="6"/>
  <c r="J105" i="6"/>
  <c r="G106" i="6"/>
  <c r="I106" i="6"/>
  <c r="J106" i="6"/>
  <c r="G107" i="6"/>
  <c r="I107" i="6"/>
  <c r="J107" i="6"/>
  <c r="G108" i="6"/>
  <c r="I108" i="6"/>
  <c r="J108" i="6"/>
  <c r="G109" i="6"/>
  <c r="I109" i="6"/>
  <c r="J109" i="6"/>
  <c r="G110" i="6"/>
  <c r="I110" i="6"/>
  <c r="J110" i="6"/>
  <c r="G111" i="6"/>
  <c r="I111" i="6"/>
  <c r="J111" i="6"/>
  <c r="G112" i="6"/>
  <c r="I112" i="6"/>
  <c r="J112" i="6"/>
  <c r="G113" i="6"/>
  <c r="I113" i="6"/>
  <c r="J113" i="6"/>
  <c r="G114" i="6"/>
  <c r="I114" i="6"/>
  <c r="J114" i="6"/>
  <c r="G115" i="6"/>
  <c r="I115" i="6"/>
  <c r="J115" i="6"/>
  <c r="G116" i="6"/>
  <c r="I116" i="6"/>
  <c r="J116" i="6"/>
  <c r="G117" i="6"/>
  <c r="I117" i="6"/>
  <c r="J117" i="6"/>
  <c r="G118" i="6"/>
  <c r="I118" i="6"/>
  <c r="J118" i="6"/>
  <c r="G119" i="6"/>
  <c r="J119" i="6"/>
  <c r="G120" i="6"/>
  <c r="J120" i="6"/>
  <c r="G121" i="6"/>
  <c r="J121" i="6"/>
  <c r="G122" i="6"/>
  <c r="J122" i="6"/>
  <c r="G123" i="6"/>
  <c r="J123" i="6"/>
  <c r="G124" i="6"/>
  <c r="J124" i="6"/>
  <c r="G125" i="6"/>
  <c r="J125" i="6"/>
  <c r="G126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C4" i="5"/>
  <c r="D4" i="5"/>
  <c r="E4" i="5"/>
  <c r="F4" i="5"/>
  <c r="G4" i="5"/>
  <c r="H4" i="5"/>
  <c r="I4" i="5"/>
  <c r="J4" i="5"/>
  <c r="K4" i="5"/>
  <c r="C5" i="5"/>
  <c r="D5" i="5"/>
  <c r="E5" i="5"/>
  <c r="F5" i="5"/>
  <c r="G5" i="5"/>
  <c r="H5" i="5"/>
  <c r="I5" i="5"/>
  <c r="J5" i="5"/>
  <c r="K5" i="5"/>
  <c r="C6" i="5"/>
  <c r="D6" i="5"/>
  <c r="E6" i="5"/>
  <c r="F6" i="5"/>
  <c r="G6" i="5"/>
  <c r="H6" i="5"/>
  <c r="I6" i="5"/>
  <c r="J6" i="5"/>
  <c r="K6" i="5"/>
  <c r="C7" i="5"/>
  <c r="D7" i="5"/>
  <c r="E7" i="5"/>
  <c r="F7" i="5"/>
  <c r="G7" i="5"/>
  <c r="H7" i="5"/>
  <c r="I7" i="5"/>
  <c r="J7" i="5"/>
  <c r="K7" i="5"/>
  <c r="C8" i="5"/>
  <c r="D8" i="5"/>
  <c r="E8" i="5"/>
  <c r="F8" i="5"/>
  <c r="G8" i="5"/>
  <c r="H8" i="5"/>
  <c r="I8" i="5"/>
  <c r="J8" i="5"/>
  <c r="K8" i="5"/>
  <c r="C9" i="5"/>
  <c r="D9" i="5"/>
  <c r="E9" i="5"/>
  <c r="F9" i="5"/>
  <c r="G9" i="5"/>
  <c r="H9" i="5"/>
  <c r="I9" i="5"/>
  <c r="J9" i="5"/>
  <c r="K9" i="5"/>
  <c r="C10" i="5"/>
  <c r="D10" i="5"/>
  <c r="F10" i="5"/>
  <c r="G10" i="5"/>
  <c r="H10" i="5"/>
  <c r="I10" i="5"/>
  <c r="J10" i="5"/>
  <c r="K10" i="5"/>
  <c r="C11" i="5"/>
  <c r="D11" i="5"/>
  <c r="F11" i="5"/>
  <c r="G11" i="5"/>
  <c r="H11" i="5"/>
  <c r="I11" i="5"/>
  <c r="J11" i="5"/>
  <c r="K11" i="5"/>
  <c r="C12" i="5"/>
  <c r="D12" i="5"/>
  <c r="F12" i="5"/>
  <c r="G12" i="5"/>
  <c r="H12" i="5"/>
  <c r="I12" i="5"/>
  <c r="J12" i="5"/>
  <c r="K12" i="5"/>
  <c r="C13" i="5"/>
  <c r="D13" i="5"/>
  <c r="F13" i="5"/>
  <c r="G13" i="5"/>
  <c r="H13" i="5"/>
  <c r="I13" i="5"/>
  <c r="J13" i="5"/>
  <c r="K13" i="5"/>
  <c r="C14" i="5"/>
  <c r="D14" i="5"/>
  <c r="F14" i="5"/>
  <c r="G14" i="5"/>
  <c r="H14" i="5"/>
  <c r="I14" i="5"/>
  <c r="J14" i="5"/>
  <c r="K14" i="5"/>
  <c r="C15" i="5"/>
  <c r="D15" i="5"/>
  <c r="F15" i="5"/>
  <c r="G15" i="5"/>
  <c r="H15" i="5"/>
  <c r="I15" i="5"/>
  <c r="J15" i="5"/>
  <c r="K15" i="5"/>
  <c r="C16" i="5"/>
  <c r="D16" i="5"/>
  <c r="F16" i="5"/>
  <c r="G16" i="5"/>
  <c r="H16" i="5"/>
  <c r="I16" i="5"/>
  <c r="J16" i="5"/>
  <c r="K16" i="5"/>
  <c r="C17" i="5"/>
  <c r="D17" i="5"/>
  <c r="F17" i="5"/>
  <c r="G17" i="5"/>
  <c r="H17" i="5"/>
  <c r="I17" i="5"/>
  <c r="J17" i="5"/>
  <c r="K17" i="5"/>
  <c r="C18" i="5"/>
  <c r="D18" i="5"/>
  <c r="F18" i="5"/>
  <c r="G18" i="5"/>
  <c r="H18" i="5"/>
  <c r="I18" i="5"/>
  <c r="J18" i="5"/>
  <c r="K18" i="5"/>
  <c r="C19" i="5"/>
  <c r="D19" i="5"/>
  <c r="F19" i="5"/>
  <c r="G19" i="5"/>
  <c r="H19" i="5"/>
  <c r="I19" i="5"/>
  <c r="J19" i="5"/>
  <c r="K19" i="5"/>
  <c r="C20" i="5"/>
  <c r="D20" i="5"/>
  <c r="F20" i="5"/>
  <c r="G20" i="5"/>
  <c r="H20" i="5"/>
  <c r="I20" i="5"/>
  <c r="J20" i="5"/>
  <c r="K20" i="5"/>
  <c r="C21" i="5"/>
  <c r="D21" i="5"/>
  <c r="F21" i="5"/>
  <c r="G21" i="5"/>
  <c r="H21" i="5"/>
  <c r="I21" i="5"/>
  <c r="J21" i="5"/>
  <c r="K21" i="5"/>
  <c r="C22" i="5"/>
  <c r="D22" i="5"/>
  <c r="F22" i="5"/>
  <c r="G22" i="5"/>
  <c r="H22" i="5"/>
  <c r="I22" i="5"/>
  <c r="J22" i="5"/>
  <c r="K22" i="5"/>
  <c r="C23" i="5"/>
  <c r="D23" i="5"/>
  <c r="F23" i="5"/>
  <c r="G23" i="5"/>
  <c r="H23" i="5"/>
  <c r="I23" i="5"/>
  <c r="J23" i="5"/>
  <c r="K23" i="5"/>
  <c r="C24" i="5"/>
  <c r="D24" i="5"/>
  <c r="F24" i="5"/>
  <c r="G24" i="5"/>
  <c r="H24" i="5"/>
  <c r="I24" i="5"/>
  <c r="J24" i="5"/>
  <c r="K24" i="5"/>
  <c r="C25" i="5"/>
  <c r="D25" i="5"/>
  <c r="F25" i="5"/>
  <c r="G25" i="5"/>
  <c r="H25" i="5"/>
  <c r="I25" i="5"/>
  <c r="J25" i="5"/>
  <c r="K25" i="5"/>
  <c r="C26" i="5"/>
  <c r="D26" i="5"/>
  <c r="F26" i="5"/>
  <c r="G26" i="5"/>
  <c r="H26" i="5"/>
  <c r="I26" i="5"/>
  <c r="J26" i="5"/>
  <c r="K26" i="5"/>
  <c r="C27" i="5"/>
  <c r="D27" i="5"/>
  <c r="F27" i="5"/>
  <c r="G27" i="5"/>
  <c r="H27" i="5"/>
  <c r="I27" i="5"/>
  <c r="J27" i="5"/>
  <c r="K27" i="5"/>
  <c r="C28" i="5"/>
  <c r="D28" i="5"/>
  <c r="F28" i="5"/>
  <c r="G28" i="5"/>
  <c r="H28" i="5"/>
  <c r="I28" i="5"/>
  <c r="J28" i="5"/>
  <c r="K28" i="5"/>
  <c r="C29" i="5"/>
  <c r="D29" i="5"/>
  <c r="F29" i="5"/>
  <c r="G29" i="5"/>
  <c r="H29" i="5"/>
  <c r="I29" i="5"/>
  <c r="J29" i="5"/>
  <c r="K29" i="5"/>
  <c r="C30" i="5"/>
  <c r="D30" i="5"/>
  <c r="F30" i="5"/>
  <c r="H30" i="5"/>
  <c r="I30" i="5"/>
  <c r="J30" i="5"/>
  <c r="K30" i="5"/>
  <c r="C31" i="5"/>
  <c r="D31" i="5"/>
  <c r="F31" i="5"/>
  <c r="H31" i="5"/>
  <c r="I31" i="5"/>
  <c r="J31" i="5"/>
  <c r="K31" i="5"/>
  <c r="C32" i="5"/>
  <c r="D32" i="5"/>
  <c r="F32" i="5"/>
  <c r="H32" i="5"/>
  <c r="I32" i="5"/>
  <c r="K32" i="5"/>
  <c r="D33" i="5"/>
  <c r="F33" i="5"/>
  <c r="H33" i="5"/>
  <c r="I33" i="5"/>
  <c r="K33" i="5"/>
  <c r="D34" i="5"/>
  <c r="H34" i="5"/>
  <c r="I34" i="5"/>
  <c r="K34" i="5"/>
  <c r="H35" i="5"/>
  <c r="I35" i="5"/>
  <c r="K35" i="5"/>
  <c r="H36" i="5"/>
  <c r="L36" i="5" s="1"/>
  <c r="K36" i="5"/>
  <c r="K37" i="5"/>
  <c r="L37" i="5"/>
  <c r="H4" i="4"/>
  <c r="I4" i="4"/>
  <c r="J4" i="4"/>
  <c r="K4" i="4"/>
  <c r="H5" i="4"/>
  <c r="I5" i="4"/>
  <c r="J5" i="4"/>
  <c r="K5" i="4"/>
  <c r="H6" i="4"/>
  <c r="I6" i="4"/>
  <c r="J6" i="4"/>
  <c r="K6" i="4"/>
  <c r="H7" i="4"/>
  <c r="I7" i="4"/>
  <c r="J7" i="4"/>
  <c r="K7" i="4"/>
  <c r="H8" i="4"/>
  <c r="I8" i="4"/>
  <c r="J8" i="4"/>
  <c r="K8" i="4"/>
  <c r="H9" i="4"/>
  <c r="I9" i="4"/>
  <c r="J9" i="4"/>
  <c r="K9" i="4"/>
  <c r="H10" i="4"/>
  <c r="I10" i="4"/>
  <c r="J10" i="4"/>
  <c r="K10" i="4"/>
  <c r="H11" i="4"/>
  <c r="I11" i="4"/>
  <c r="J11" i="4"/>
  <c r="K11" i="4"/>
  <c r="H12" i="4"/>
  <c r="I12" i="4"/>
  <c r="J12" i="4"/>
  <c r="K12" i="4"/>
  <c r="H13" i="4"/>
  <c r="I13" i="4"/>
  <c r="J13" i="4"/>
  <c r="K13" i="4"/>
  <c r="H14" i="4"/>
  <c r="I14" i="4"/>
  <c r="J14" i="4"/>
  <c r="K14" i="4"/>
  <c r="H15" i="4"/>
  <c r="I15" i="4"/>
  <c r="J15" i="4"/>
  <c r="K15" i="4"/>
  <c r="H16" i="4"/>
  <c r="I16" i="4"/>
  <c r="J16" i="4"/>
  <c r="K16" i="4"/>
  <c r="H17" i="4"/>
  <c r="I17" i="4"/>
  <c r="J17" i="4"/>
  <c r="K17" i="4"/>
  <c r="H18" i="4"/>
  <c r="I18" i="4"/>
  <c r="J18" i="4"/>
  <c r="K18" i="4"/>
  <c r="H19" i="4"/>
  <c r="I19" i="4"/>
  <c r="J19" i="4"/>
  <c r="K19" i="4"/>
  <c r="H20" i="4"/>
  <c r="I20" i="4"/>
  <c r="J20" i="4"/>
  <c r="K20" i="4"/>
  <c r="H21" i="4"/>
  <c r="I21" i="4"/>
  <c r="J21" i="4"/>
  <c r="H22" i="4"/>
  <c r="I22" i="4"/>
  <c r="J22" i="4"/>
  <c r="H23" i="4"/>
  <c r="I23" i="4"/>
  <c r="J23" i="4"/>
  <c r="K23" i="4"/>
  <c r="H24" i="4"/>
  <c r="I24" i="4"/>
  <c r="J24" i="4"/>
  <c r="K24" i="4"/>
  <c r="H25" i="4"/>
  <c r="I25" i="4"/>
  <c r="J25" i="4"/>
  <c r="K25" i="4"/>
  <c r="H26" i="4"/>
  <c r="I26" i="4"/>
  <c r="J26" i="4"/>
  <c r="H27" i="4"/>
  <c r="I27" i="4"/>
  <c r="J27" i="4"/>
  <c r="H28" i="4"/>
  <c r="I28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C4" i="4"/>
  <c r="D4" i="4"/>
  <c r="E4" i="4"/>
  <c r="F4" i="4"/>
  <c r="C5" i="4"/>
  <c r="D5" i="4"/>
  <c r="E5" i="4"/>
  <c r="F5" i="4"/>
  <c r="C6" i="4"/>
  <c r="D6" i="4"/>
  <c r="E6" i="4"/>
  <c r="F6" i="4"/>
  <c r="C7" i="4"/>
  <c r="D7" i="4"/>
  <c r="E7" i="4"/>
  <c r="F7" i="4"/>
  <c r="C8" i="4"/>
  <c r="D8" i="4"/>
  <c r="E8" i="4"/>
  <c r="F8" i="4"/>
  <c r="C9" i="4"/>
  <c r="D9" i="4"/>
  <c r="E9" i="4"/>
  <c r="F9" i="4"/>
  <c r="C10" i="4"/>
  <c r="D10" i="4"/>
  <c r="E10" i="4"/>
  <c r="F10" i="4"/>
  <c r="C11" i="4"/>
  <c r="D11" i="4"/>
  <c r="E11" i="4"/>
  <c r="F11" i="4"/>
  <c r="C12" i="4"/>
  <c r="D12" i="4"/>
  <c r="E12" i="4"/>
  <c r="F12" i="4"/>
  <c r="C13" i="4"/>
  <c r="D13" i="4"/>
  <c r="E13" i="4"/>
  <c r="F13" i="4"/>
  <c r="C14" i="4"/>
  <c r="D14" i="4"/>
  <c r="E14" i="4"/>
  <c r="F14" i="4"/>
  <c r="C15" i="4"/>
  <c r="D15" i="4"/>
  <c r="E15" i="4"/>
  <c r="F15" i="4"/>
  <c r="C16" i="4"/>
  <c r="D16" i="4"/>
  <c r="E16" i="4"/>
  <c r="F16" i="4"/>
  <c r="C17" i="4"/>
  <c r="D17" i="4"/>
  <c r="E17" i="4"/>
  <c r="F17" i="4"/>
  <c r="C18" i="4"/>
  <c r="D18" i="4"/>
  <c r="E18" i="4"/>
  <c r="F18" i="4"/>
  <c r="C19" i="4"/>
  <c r="D19" i="4"/>
  <c r="E19" i="4"/>
  <c r="F19" i="4"/>
  <c r="C20" i="4"/>
  <c r="D20" i="4"/>
  <c r="E20" i="4"/>
  <c r="F20" i="4"/>
  <c r="C21" i="4"/>
  <c r="D21" i="4"/>
  <c r="E21" i="4"/>
  <c r="F21" i="4"/>
  <c r="C22" i="4"/>
  <c r="D22" i="4"/>
  <c r="E22" i="4"/>
  <c r="F22" i="4"/>
  <c r="C23" i="4"/>
  <c r="D23" i="4"/>
  <c r="E23" i="4"/>
  <c r="F23" i="4"/>
  <c r="C24" i="4"/>
  <c r="D24" i="4"/>
  <c r="E24" i="4"/>
  <c r="F24" i="4"/>
  <c r="C25" i="4"/>
  <c r="D25" i="4"/>
  <c r="E25" i="4"/>
  <c r="F25" i="4"/>
  <c r="C26" i="4"/>
  <c r="D26" i="4"/>
  <c r="E26" i="4"/>
  <c r="F26" i="4"/>
  <c r="C27" i="4"/>
  <c r="D27" i="4"/>
  <c r="F27" i="4"/>
  <c r="D28" i="4"/>
  <c r="F28" i="4"/>
  <c r="F29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3" i="3"/>
  <c r="G127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3" i="3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" i="2"/>
  <c r="B30" i="2"/>
  <c r="B31" i="2"/>
  <c r="B32" i="2"/>
  <c r="B33" i="2"/>
  <c r="B34" i="2"/>
  <c r="B35" i="2"/>
  <c r="B36" i="2"/>
  <c r="B37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" i="2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L29" i="1" s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3" i="1"/>
  <c r="B3" i="1"/>
  <c r="I8" i="22" l="1"/>
  <c r="N8" i="22"/>
  <c r="N9" i="22"/>
  <c r="Y49" i="9"/>
  <c r="Y49" i="19"/>
  <c r="Y42" i="9"/>
  <c r="Y42" i="19"/>
  <c r="Y50" i="9"/>
  <c r="Y50" i="19"/>
  <c r="R3" i="9"/>
  <c r="R3" i="19"/>
  <c r="Q56" i="9"/>
  <c r="Q56" i="19"/>
  <c r="L55" i="9"/>
  <c r="O55" i="9"/>
  <c r="O55" i="19"/>
  <c r="W53" i="9"/>
  <c r="W53" i="19"/>
  <c r="U52" i="9"/>
  <c r="U52" i="19"/>
  <c r="S51" i="9"/>
  <c r="S51" i="19"/>
  <c r="Q50" i="9"/>
  <c r="Q50" i="19"/>
  <c r="O49" i="9"/>
  <c r="O49" i="19"/>
  <c r="W47" i="9"/>
  <c r="W47" i="19"/>
  <c r="U46" i="9"/>
  <c r="U46" i="19"/>
  <c r="S45" i="9"/>
  <c r="S45" i="19"/>
  <c r="Q44" i="9"/>
  <c r="Q44" i="19"/>
  <c r="L43" i="9"/>
  <c r="O43" i="9"/>
  <c r="O43" i="19"/>
  <c r="W41" i="9"/>
  <c r="W41" i="19"/>
  <c r="U40" i="9"/>
  <c r="U40" i="19"/>
  <c r="S39" i="9"/>
  <c r="S39" i="19"/>
  <c r="Q38" i="9"/>
  <c r="Q38" i="19"/>
  <c r="L37" i="9"/>
  <c r="O37" i="9"/>
  <c r="L25" i="9"/>
  <c r="O25" i="9"/>
  <c r="U22" i="9"/>
  <c r="U22" i="19"/>
  <c r="L19" i="9"/>
  <c r="O19" i="9"/>
  <c r="O19" i="19"/>
  <c r="U16" i="9"/>
  <c r="U16" i="19"/>
  <c r="S15" i="9"/>
  <c r="S15" i="19"/>
  <c r="O13" i="9"/>
  <c r="O13" i="19"/>
  <c r="U10" i="9"/>
  <c r="U10" i="19"/>
  <c r="S9" i="9"/>
  <c r="S9" i="19"/>
  <c r="L7" i="9"/>
  <c r="O7" i="9"/>
  <c r="O7" i="19"/>
  <c r="U4" i="9"/>
  <c r="U4" i="19"/>
  <c r="T37" i="19"/>
  <c r="T36" i="19"/>
  <c r="T35" i="19"/>
  <c r="T34" i="19"/>
  <c r="T33" i="19"/>
  <c r="T32" i="19"/>
  <c r="T31" i="19"/>
  <c r="T30" i="19"/>
  <c r="T29" i="19"/>
  <c r="T28" i="19"/>
  <c r="T27" i="19"/>
  <c r="T26" i="19"/>
  <c r="T25" i="19"/>
  <c r="T24" i="19"/>
  <c r="S23" i="19"/>
  <c r="R22" i="19"/>
  <c r="P21" i="19"/>
  <c r="V18" i="19"/>
  <c r="P17" i="19"/>
  <c r="V15" i="19"/>
  <c r="P14" i="19"/>
  <c r="V12" i="19"/>
  <c r="P11" i="19"/>
  <c r="V9" i="19"/>
  <c r="P8" i="19"/>
  <c r="V6" i="19"/>
  <c r="W4" i="19"/>
  <c r="Y158" i="19"/>
  <c r="Y158" i="9"/>
  <c r="Y115" i="19"/>
  <c r="Y115" i="9"/>
  <c r="S3" i="9"/>
  <c r="S3" i="19"/>
  <c r="P56" i="9"/>
  <c r="P56" i="19"/>
  <c r="X54" i="9"/>
  <c r="X54" i="19"/>
  <c r="V53" i="9"/>
  <c r="V53" i="19"/>
  <c r="T52" i="9"/>
  <c r="T52" i="19"/>
  <c r="R51" i="9"/>
  <c r="R51" i="19"/>
  <c r="P50" i="9"/>
  <c r="P50" i="19"/>
  <c r="X48" i="9"/>
  <c r="X48" i="19"/>
  <c r="V47" i="9"/>
  <c r="V47" i="19"/>
  <c r="T46" i="9"/>
  <c r="T46" i="19"/>
  <c r="R45" i="9"/>
  <c r="R45" i="19"/>
  <c r="P44" i="9"/>
  <c r="P44" i="19"/>
  <c r="X42" i="9"/>
  <c r="X42" i="19"/>
  <c r="V41" i="9"/>
  <c r="V41" i="19"/>
  <c r="T40" i="9"/>
  <c r="T40" i="19"/>
  <c r="R39" i="9"/>
  <c r="R39" i="19"/>
  <c r="P38" i="9"/>
  <c r="P38" i="19"/>
  <c r="X18" i="9"/>
  <c r="X18" i="19"/>
  <c r="X12" i="9"/>
  <c r="X12" i="19"/>
  <c r="X6" i="9"/>
  <c r="X6" i="19"/>
  <c r="T202" i="9"/>
  <c r="S37" i="19"/>
  <c r="S36" i="19"/>
  <c r="S35" i="19"/>
  <c r="S34" i="19"/>
  <c r="S33" i="19"/>
  <c r="S32" i="19"/>
  <c r="S31" i="19"/>
  <c r="S30" i="19"/>
  <c r="S29" i="19"/>
  <c r="S28" i="19"/>
  <c r="S27" i="19"/>
  <c r="S26" i="19"/>
  <c r="S25" i="19"/>
  <c r="S24" i="19"/>
  <c r="R23" i="19"/>
  <c r="Q22" i="19"/>
  <c r="X19" i="19"/>
  <c r="T18" i="19"/>
  <c r="T15" i="19"/>
  <c r="T12" i="19"/>
  <c r="T9" i="19"/>
  <c r="T6" i="19"/>
  <c r="V4" i="19"/>
  <c r="Y163" i="19"/>
  <c r="Y163" i="9"/>
  <c r="Y152" i="19"/>
  <c r="Y152" i="9"/>
  <c r="Y135" i="19"/>
  <c r="Y135" i="9"/>
  <c r="Y82" i="19"/>
  <c r="Y82" i="9"/>
  <c r="O56" i="9"/>
  <c r="O56" i="19"/>
  <c r="W54" i="9"/>
  <c r="W54" i="19"/>
  <c r="U53" i="9"/>
  <c r="U53" i="19"/>
  <c r="S52" i="9"/>
  <c r="S52" i="19"/>
  <c r="Q51" i="9"/>
  <c r="Q51" i="19"/>
  <c r="O50" i="9"/>
  <c r="O50" i="19"/>
  <c r="W48" i="9"/>
  <c r="W48" i="19"/>
  <c r="U47" i="9"/>
  <c r="U47" i="19"/>
  <c r="S46" i="9"/>
  <c r="S46" i="19"/>
  <c r="Q45" i="9"/>
  <c r="Q45" i="19"/>
  <c r="O44" i="9"/>
  <c r="O44" i="19"/>
  <c r="W42" i="9"/>
  <c r="W42" i="19"/>
  <c r="U41" i="9"/>
  <c r="U41" i="19"/>
  <c r="S40" i="9"/>
  <c r="S40" i="19"/>
  <c r="Q39" i="9"/>
  <c r="Q39" i="19"/>
  <c r="O38" i="9"/>
  <c r="O38" i="19"/>
  <c r="U23" i="9"/>
  <c r="U23" i="19"/>
  <c r="O20" i="9"/>
  <c r="O20" i="19"/>
  <c r="U17" i="9"/>
  <c r="U17" i="19"/>
  <c r="S16" i="9"/>
  <c r="S16" i="19"/>
  <c r="O14" i="9"/>
  <c r="O14" i="19"/>
  <c r="U11" i="9"/>
  <c r="U11" i="19"/>
  <c r="S10" i="9"/>
  <c r="S10" i="19"/>
  <c r="O8" i="9"/>
  <c r="O8" i="19"/>
  <c r="U5" i="9"/>
  <c r="U5" i="19"/>
  <c r="S4" i="9"/>
  <c r="S4" i="19"/>
  <c r="R37" i="19"/>
  <c r="R36" i="19"/>
  <c r="R35" i="19"/>
  <c r="R34" i="19"/>
  <c r="R33" i="19"/>
  <c r="R32" i="19"/>
  <c r="R31" i="19"/>
  <c r="R30" i="19"/>
  <c r="R29" i="19"/>
  <c r="R28" i="19"/>
  <c r="R27" i="19"/>
  <c r="R26" i="19"/>
  <c r="R25" i="19"/>
  <c r="R24" i="19"/>
  <c r="Q23" i="19"/>
  <c r="P22" i="19"/>
  <c r="Y20" i="19"/>
  <c r="W19" i="19"/>
  <c r="R18" i="19"/>
  <c r="R15" i="19"/>
  <c r="Y13" i="19"/>
  <c r="R12" i="19"/>
  <c r="R9" i="19"/>
  <c r="R6" i="19"/>
  <c r="T4" i="19"/>
  <c r="Y157" i="19"/>
  <c r="Y157" i="9"/>
  <c r="L26" i="9"/>
  <c r="L56" i="9"/>
  <c r="U3" i="9"/>
  <c r="U3" i="19"/>
  <c r="X55" i="9"/>
  <c r="X55" i="19"/>
  <c r="V54" i="9"/>
  <c r="V54" i="19"/>
  <c r="T53" i="9"/>
  <c r="T53" i="19"/>
  <c r="R52" i="9"/>
  <c r="R52" i="19"/>
  <c r="P51" i="9"/>
  <c r="P51" i="19"/>
  <c r="X49" i="9"/>
  <c r="X49" i="19"/>
  <c r="V48" i="9"/>
  <c r="V48" i="19"/>
  <c r="T47" i="9"/>
  <c r="T47" i="19"/>
  <c r="R46" i="9"/>
  <c r="R46" i="19"/>
  <c r="P45" i="9"/>
  <c r="P45" i="19"/>
  <c r="X43" i="9"/>
  <c r="X43" i="19"/>
  <c r="V42" i="9"/>
  <c r="V42" i="19"/>
  <c r="T41" i="9"/>
  <c r="T41" i="19"/>
  <c r="R40" i="9"/>
  <c r="R40" i="19"/>
  <c r="P39" i="9"/>
  <c r="P39" i="19"/>
  <c r="X13" i="9"/>
  <c r="X13" i="19"/>
  <c r="X7" i="9"/>
  <c r="X7" i="19"/>
  <c r="R4" i="9"/>
  <c r="R202" i="9" s="1"/>
  <c r="R4" i="19"/>
  <c r="Q37" i="19"/>
  <c r="Q36" i="19"/>
  <c r="Q35" i="19"/>
  <c r="Q34" i="19"/>
  <c r="Q33" i="19"/>
  <c r="Q32" i="19"/>
  <c r="Q31" i="19"/>
  <c r="Q30" i="19"/>
  <c r="Q29" i="19"/>
  <c r="Q28" i="19"/>
  <c r="Q27" i="19"/>
  <c r="Q26" i="19"/>
  <c r="Q25" i="19"/>
  <c r="Q24" i="19"/>
  <c r="P23" i="19"/>
  <c r="X20" i="19"/>
  <c r="V19" i="19"/>
  <c r="Q18" i="19"/>
  <c r="W16" i="19"/>
  <c r="Q15" i="19"/>
  <c r="W13" i="19"/>
  <c r="Q12" i="19"/>
  <c r="W10" i="19"/>
  <c r="Q9" i="19"/>
  <c r="W7" i="19"/>
  <c r="Q6" i="19"/>
  <c r="AC154" i="19" s="1" a="1"/>
  <c r="Q4" i="19"/>
  <c r="Y168" i="19"/>
  <c r="Y168" i="9"/>
  <c r="Y140" i="19"/>
  <c r="Y140" i="9"/>
  <c r="Y129" i="19"/>
  <c r="Y129" i="9"/>
  <c r="Y102" i="19"/>
  <c r="Y102" i="9"/>
  <c r="Y89" i="19"/>
  <c r="Y89" i="9"/>
  <c r="W55" i="9"/>
  <c r="W55" i="19"/>
  <c r="U54" i="9"/>
  <c r="U54" i="19"/>
  <c r="S53" i="9"/>
  <c r="S53" i="19"/>
  <c r="Q52" i="9"/>
  <c r="Q52" i="19"/>
  <c r="L51" i="9"/>
  <c r="O51" i="9"/>
  <c r="O51" i="19"/>
  <c r="W49" i="9"/>
  <c r="W49" i="19"/>
  <c r="U48" i="9"/>
  <c r="U48" i="19"/>
  <c r="S47" i="9"/>
  <c r="S47" i="19"/>
  <c r="Q46" i="9"/>
  <c r="Q46" i="19"/>
  <c r="L45" i="9"/>
  <c r="O45" i="9"/>
  <c r="O45" i="19"/>
  <c r="W43" i="9"/>
  <c r="W43" i="19"/>
  <c r="U42" i="9"/>
  <c r="U42" i="19"/>
  <c r="S41" i="9"/>
  <c r="S41" i="19"/>
  <c r="Q40" i="9"/>
  <c r="Q40" i="19"/>
  <c r="L39" i="9"/>
  <c r="O39" i="9"/>
  <c r="O39" i="19"/>
  <c r="L33" i="9"/>
  <c r="O33" i="9"/>
  <c r="L27" i="9"/>
  <c r="O27" i="9"/>
  <c r="L21" i="9"/>
  <c r="O21" i="9"/>
  <c r="O21" i="19"/>
  <c r="U18" i="9"/>
  <c r="U18" i="19"/>
  <c r="S17" i="9"/>
  <c r="S17" i="19"/>
  <c r="L15" i="9"/>
  <c r="O15" i="9"/>
  <c r="O15" i="19"/>
  <c r="U12" i="9"/>
  <c r="U12" i="19"/>
  <c r="S11" i="9"/>
  <c r="S11" i="19"/>
  <c r="L9" i="9"/>
  <c r="O9" i="9"/>
  <c r="O9" i="19"/>
  <c r="U6" i="9"/>
  <c r="U6" i="19"/>
  <c r="S5" i="9"/>
  <c r="S5" i="19"/>
  <c r="Q202" i="9"/>
  <c r="P37" i="19"/>
  <c r="P36" i="19"/>
  <c r="P35" i="19"/>
  <c r="P34" i="19"/>
  <c r="P33" i="19"/>
  <c r="P32" i="19"/>
  <c r="P31" i="19"/>
  <c r="P30" i="19"/>
  <c r="P29" i="19"/>
  <c r="P28" i="19"/>
  <c r="P27" i="19"/>
  <c r="P26" i="19"/>
  <c r="P25" i="19"/>
  <c r="P24" i="19"/>
  <c r="W20" i="19"/>
  <c r="T19" i="19"/>
  <c r="P18" i="19"/>
  <c r="V16" i="19"/>
  <c r="P15" i="19"/>
  <c r="V13" i="19"/>
  <c r="P12" i="19"/>
  <c r="V10" i="19"/>
  <c r="P9" i="19"/>
  <c r="V7" i="19"/>
  <c r="P6" i="19"/>
  <c r="P4" i="19"/>
  <c r="W172" i="9"/>
  <c r="L172" i="9"/>
  <c r="Y93" i="19"/>
  <c r="Y93" i="9"/>
  <c r="L31" i="9"/>
  <c r="X56" i="9"/>
  <c r="X56" i="19"/>
  <c r="V55" i="9"/>
  <c r="V55" i="19"/>
  <c r="T54" i="9"/>
  <c r="T54" i="19"/>
  <c r="R53" i="9"/>
  <c r="R53" i="19"/>
  <c r="P52" i="9"/>
  <c r="P52" i="19"/>
  <c r="X50" i="9"/>
  <c r="X50" i="19"/>
  <c r="V49" i="9"/>
  <c r="V49" i="19"/>
  <c r="T48" i="9"/>
  <c r="T48" i="19"/>
  <c r="R47" i="9"/>
  <c r="R47" i="19"/>
  <c r="P46" i="9"/>
  <c r="P46" i="19"/>
  <c r="X44" i="9"/>
  <c r="X44" i="19"/>
  <c r="V43" i="9"/>
  <c r="V43" i="19"/>
  <c r="T42" i="9"/>
  <c r="T42" i="19"/>
  <c r="R41" i="9"/>
  <c r="R41" i="19"/>
  <c r="P40" i="9"/>
  <c r="P40" i="19"/>
  <c r="X38" i="9"/>
  <c r="X38" i="19"/>
  <c r="X14" i="9"/>
  <c r="X14" i="19"/>
  <c r="X8" i="9"/>
  <c r="X8" i="19"/>
  <c r="R5" i="9"/>
  <c r="R5" i="19"/>
  <c r="P202" i="9"/>
  <c r="O37" i="19"/>
  <c r="O36" i="19"/>
  <c r="O33" i="19"/>
  <c r="O32" i="19"/>
  <c r="O31" i="19"/>
  <c r="O30" i="19"/>
  <c r="O27" i="19"/>
  <c r="O26" i="19"/>
  <c r="O25" i="19"/>
  <c r="O24" i="19"/>
  <c r="X21" i="19"/>
  <c r="V20" i="19"/>
  <c r="S19" i="19"/>
  <c r="T16" i="19"/>
  <c r="T13" i="19"/>
  <c r="T10" i="19"/>
  <c r="T7" i="19"/>
  <c r="Y145" i="19"/>
  <c r="Y145" i="9"/>
  <c r="Y91" i="19"/>
  <c r="Y91" i="9"/>
  <c r="Y81" i="19"/>
  <c r="Y81" i="9"/>
  <c r="L32" i="9"/>
  <c r="X3" i="9"/>
  <c r="X3" i="19"/>
  <c r="W56" i="9"/>
  <c r="W56" i="19"/>
  <c r="U55" i="9"/>
  <c r="U55" i="19"/>
  <c r="S54" i="9"/>
  <c r="S54" i="19"/>
  <c r="Q53" i="9"/>
  <c r="Q53" i="19"/>
  <c r="L52" i="9"/>
  <c r="O52" i="9"/>
  <c r="O52" i="19"/>
  <c r="W50" i="9"/>
  <c r="W50" i="19"/>
  <c r="U49" i="9"/>
  <c r="U49" i="19"/>
  <c r="S48" i="9"/>
  <c r="S48" i="19"/>
  <c r="Q47" i="9"/>
  <c r="Q47" i="19"/>
  <c r="L46" i="9"/>
  <c r="O46" i="9"/>
  <c r="O46" i="19"/>
  <c r="W44" i="9"/>
  <c r="W44" i="19"/>
  <c r="U43" i="9"/>
  <c r="U43" i="19"/>
  <c r="S42" i="9"/>
  <c r="S42" i="19"/>
  <c r="Q41" i="9"/>
  <c r="Q41" i="19"/>
  <c r="L40" i="9"/>
  <c r="O40" i="9"/>
  <c r="O40" i="19"/>
  <c r="W38" i="9"/>
  <c r="W38" i="19"/>
  <c r="L34" i="9"/>
  <c r="O34" i="9"/>
  <c r="L28" i="9"/>
  <c r="O28" i="9"/>
  <c r="L22" i="9"/>
  <c r="O22" i="9"/>
  <c r="O22" i="19"/>
  <c r="U19" i="9"/>
  <c r="U19" i="19"/>
  <c r="S18" i="9"/>
  <c r="S18" i="19"/>
  <c r="L16" i="9"/>
  <c r="O16" i="9"/>
  <c r="O16" i="19"/>
  <c r="U13" i="9"/>
  <c r="U13" i="19"/>
  <c r="S12" i="9"/>
  <c r="S12" i="19"/>
  <c r="L10" i="9"/>
  <c r="O10" i="9"/>
  <c r="O10" i="19"/>
  <c r="U7" i="9"/>
  <c r="U7" i="19"/>
  <c r="S6" i="9"/>
  <c r="S6" i="19"/>
  <c r="L4" i="9"/>
  <c r="O4" i="9"/>
  <c r="O4" i="19"/>
  <c r="W21" i="19"/>
  <c r="T20" i="19"/>
  <c r="R19" i="19"/>
  <c r="R16" i="19"/>
  <c r="Y14" i="19"/>
  <c r="R13" i="19"/>
  <c r="R10" i="19"/>
  <c r="Y8" i="19"/>
  <c r="R7" i="19"/>
  <c r="W5" i="19"/>
  <c r="W3" i="19"/>
  <c r="Y38" i="19"/>
  <c r="Y194" i="19"/>
  <c r="Y194" i="9"/>
  <c r="W177" i="9"/>
  <c r="L177" i="9"/>
  <c r="V56" i="9"/>
  <c r="V56" i="19"/>
  <c r="T55" i="9"/>
  <c r="T55" i="19"/>
  <c r="R54" i="9"/>
  <c r="R54" i="19"/>
  <c r="P53" i="9"/>
  <c r="P53" i="19"/>
  <c r="X51" i="19"/>
  <c r="X51" i="9"/>
  <c r="V50" i="19"/>
  <c r="V50" i="9"/>
  <c r="T49" i="19"/>
  <c r="T49" i="9"/>
  <c r="R48" i="19"/>
  <c r="R48" i="9"/>
  <c r="P47" i="19"/>
  <c r="P47" i="9"/>
  <c r="X45" i="9"/>
  <c r="X45" i="19"/>
  <c r="V44" i="9"/>
  <c r="V44" i="19"/>
  <c r="T43" i="9"/>
  <c r="T43" i="19"/>
  <c r="R42" i="19"/>
  <c r="R42" i="9"/>
  <c r="P41" i="19"/>
  <c r="P41" i="9"/>
  <c r="X39" i="9"/>
  <c r="X39" i="19"/>
  <c r="V38" i="9"/>
  <c r="V38" i="19"/>
  <c r="X15" i="9"/>
  <c r="X15" i="19"/>
  <c r="X9" i="9"/>
  <c r="X9" i="19"/>
  <c r="Y36" i="19"/>
  <c r="Y30" i="19"/>
  <c r="Y24" i="19"/>
  <c r="X22" i="19"/>
  <c r="V21" i="19"/>
  <c r="S20" i="19"/>
  <c r="Q19" i="19"/>
  <c r="W17" i="19"/>
  <c r="Q16" i="19"/>
  <c r="W14" i="19"/>
  <c r="Q13" i="19"/>
  <c r="W11" i="19"/>
  <c r="Q10" i="19"/>
  <c r="W8" i="19"/>
  <c r="Q7" i="19"/>
  <c r="V5" i="19"/>
  <c r="V3" i="19"/>
  <c r="Y188" i="19"/>
  <c r="Y188" i="9"/>
  <c r="Y144" i="19"/>
  <c r="Y144" i="9"/>
  <c r="Y101" i="19"/>
  <c r="Y101" i="9"/>
  <c r="Y98" i="19"/>
  <c r="Y98" i="9"/>
  <c r="U56" i="9"/>
  <c r="U56" i="19"/>
  <c r="S55" i="9"/>
  <c r="S55" i="19"/>
  <c r="Q54" i="9"/>
  <c r="Q54" i="19"/>
  <c r="L53" i="9"/>
  <c r="O53" i="9"/>
  <c r="O53" i="19"/>
  <c r="W51" i="9"/>
  <c r="W51" i="19"/>
  <c r="U50" i="9"/>
  <c r="U50" i="19"/>
  <c r="S49" i="9"/>
  <c r="S49" i="19"/>
  <c r="Q48" i="9"/>
  <c r="Q48" i="19"/>
  <c r="L47" i="9"/>
  <c r="O47" i="9"/>
  <c r="O47" i="19"/>
  <c r="W45" i="9"/>
  <c r="W45" i="19"/>
  <c r="U44" i="9"/>
  <c r="U44" i="19"/>
  <c r="S43" i="9"/>
  <c r="S43" i="19"/>
  <c r="Q42" i="9"/>
  <c r="Q42" i="19"/>
  <c r="L41" i="9"/>
  <c r="O41" i="9"/>
  <c r="O41" i="19"/>
  <c r="W39" i="9"/>
  <c r="W39" i="19"/>
  <c r="U38" i="9"/>
  <c r="U38" i="19"/>
  <c r="L35" i="9"/>
  <c r="O35" i="9"/>
  <c r="L29" i="9"/>
  <c r="O29" i="9"/>
  <c r="L23" i="9"/>
  <c r="O23" i="9"/>
  <c r="U20" i="9"/>
  <c r="U20" i="19"/>
  <c r="L17" i="9"/>
  <c r="O17" i="9"/>
  <c r="O17" i="19"/>
  <c r="U14" i="9"/>
  <c r="U14" i="19"/>
  <c r="S13" i="9"/>
  <c r="S13" i="19"/>
  <c r="L11" i="9"/>
  <c r="O11" i="9"/>
  <c r="O11" i="19"/>
  <c r="U8" i="9"/>
  <c r="U8" i="19"/>
  <c r="S7" i="9"/>
  <c r="S7" i="19"/>
  <c r="L5" i="9"/>
  <c r="O5" i="9"/>
  <c r="O5" i="19"/>
  <c r="X37" i="19"/>
  <c r="X36" i="19"/>
  <c r="X35" i="19"/>
  <c r="X34" i="19"/>
  <c r="X33" i="19"/>
  <c r="X32" i="19"/>
  <c r="X31" i="19"/>
  <c r="X30" i="19"/>
  <c r="X29" i="19"/>
  <c r="X28" i="19"/>
  <c r="X27" i="19"/>
  <c r="X26" i="19"/>
  <c r="X25" i="19"/>
  <c r="X24" i="19"/>
  <c r="X23" i="19"/>
  <c r="W22" i="19"/>
  <c r="T21" i="19"/>
  <c r="R20" i="19"/>
  <c r="P19" i="19"/>
  <c r="V17" i="19"/>
  <c r="P16" i="19"/>
  <c r="V14" i="19"/>
  <c r="P13" i="19"/>
  <c r="V11" i="19"/>
  <c r="P10" i="19"/>
  <c r="V8" i="19"/>
  <c r="P7" i="19"/>
  <c r="AC79" i="19" s="1" a="1"/>
  <c r="T5" i="19"/>
  <c r="T3" i="19"/>
  <c r="W199" i="19"/>
  <c r="L199" i="9"/>
  <c r="W199" i="9"/>
  <c r="Y193" i="19"/>
  <c r="Y193" i="9"/>
  <c r="Y176" i="19"/>
  <c r="Y176" i="9"/>
  <c r="L3" i="9"/>
  <c r="O3" i="9"/>
  <c r="O3" i="19"/>
  <c r="T56" i="9"/>
  <c r="T56" i="19"/>
  <c r="R55" i="9"/>
  <c r="R55" i="19"/>
  <c r="P54" i="9"/>
  <c r="P54" i="19"/>
  <c r="X52" i="9"/>
  <c r="X52" i="19"/>
  <c r="V51" i="9"/>
  <c r="V51" i="19"/>
  <c r="T50" i="9"/>
  <c r="T50" i="19"/>
  <c r="R49" i="9"/>
  <c r="R49" i="19"/>
  <c r="P48" i="9"/>
  <c r="P48" i="19"/>
  <c r="X46" i="9"/>
  <c r="X46" i="19"/>
  <c r="V45" i="9"/>
  <c r="V45" i="19"/>
  <c r="T44" i="9"/>
  <c r="T44" i="19"/>
  <c r="R43" i="9"/>
  <c r="R43" i="19"/>
  <c r="P42" i="9"/>
  <c r="P42" i="19"/>
  <c r="X40" i="9"/>
  <c r="X40" i="19"/>
  <c r="V39" i="9"/>
  <c r="V39" i="19"/>
  <c r="T38" i="9"/>
  <c r="T38" i="19"/>
  <c r="X16" i="9"/>
  <c r="X16" i="19"/>
  <c r="X10" i="9"/>
  <c r="X10" i="19"/>
  <c r="AC892" i="19" s="1" a="1"/>
  <c r="X4" i="9"/>
  <c r="X4" i="19"/>
  <c r="W37" i="19"/>
  <c r="W36" i="19"/>
  <c r="W35" i="19"/>
  <c r="W34" i="19"/>
  <c r="W33" i="19"/>
  <c r="W32" i="19"/>
  <c r="W31" i="19"/>
  <c r="W30" i="19"/>
  <c r="W29" i="19"/>
  <c r="W28" i="19"/>
  <c r="W27" i="19"/>
  <c r="W26" i="19"/>
  <c r="W25" i="19"/>
  <c r="W24" i="19"/>
  <c r="W23" i="19"/>
  <c r="V22" i="19"/>
  <c r="S21" i="19"/>
  <c r="Q20" i="19"/>
  <c r="T17" i="19"/>
  <c r="T14" i="19"/>
  <c r="T11" i="19"/>
  <c r="T8" i="19"/>
  <c r="AC368" i="19" s="1" a="1"/>
  <c r="AG419" i="19" s="1"/>
  <c r="Q5" i="19"/>
  <c r="Q3" i="19"/>
  <c r="Y182" i="19"/>
  <c r="Y182" i="9"/>
  <c r="Y165" i="19"/>
  <c r="Y165" i="9"/>
  <c r="Y116" i="19"/>
  <c r="Y116" i="9"/>
  <c r="Y88" i="19"/>
  <c r="Y88" i="9"/>
  <c r="L44" i="9"/>
  <c r="S56" i="9"/>
  <c r="S56" i="19"/>
  <c r="Q55" i="9"/>
  <c r="Q55" i="19"/>
  <c r="O54" i="9"/>
  <c r="O54" i="19"/>
  <c r="W52" i="9"/>
  <c r="W52" i="19"/>
  <c r="U51" i="9"/>
  <c r="U51" i="19"/>
  <c r="S50" i="9"/>
  <c r="S50" i="19"/>
  <c r="Q49" i="9"/>
  <c r="Q49" i="19"/>
  <c r="O48" i="9"/>
  <c r="O48" i="19"/>
  <c r="W46" i="9"/>
  <c r="W46" i="19"/>
  <c r="U45" i="9"/>
  <c r="U45" i="19"/>
  <c r="S44" i="9"/>
  <c r="S44" i="19"/>
  <c r="Q43" i="9"/>
  <c r="Q43" i="19"/>
  <c r="O42" i="9"/>
  <c r="O42" i="19"/>
  <c r="W40" i="9"/>
  <c r="W40" i="19"/>
  <c r="U39" i="9"/>
  <c r="U39" i="19"/>
  <c r="S38" i="9"/>
  <c r="S38" i="19"/>
  <c r="U21" i="9"/>
  <c r="U21" i="19"/>
  <c r="O18" i="9"/>
  <c r="O18" i="19"/>
  <c r="U15" i="9"/>
  <c r="U15" i="19"/>
  <c r="S14" i="9"/>
  <c r="S14" i="19"/>
  <c r="AC283" i="19" s="1" a="1"/>
  <c r="O12" i="9"/>
  <c r="O12" i="19"/>
  <c r="U9" i="9"/>
  <c r="U9" i="19"/>
  <c r="S8" i="9"/>
  <c r="S8" i="19"/>
  <c r="O6" i="9"/>
  <c r="O6" i="19"/>
  <c r="W202" i="9"/>
  <c r="V37" i="19"/>
  <c r="V36" i="19"/>
  <c r="V35" i="19"/>
  <c r="V34" i="19"/>
  <c r="V33" i="19"/>
  <c r="V32" i="19"/>
  <c r="V31" i="19"/>
  <c r="V30" i="19"/>
  <c r="V29" i="19"/>
  <c r="V28" i="19"/>
  <c r="V27" i="19"/>
  <c r="V26" i="19"/>
  <c r="AC580" i="19" s="1" a="1"/>
  <c r="V25" i="19"/>
  <c r="V24" i="19"/>
  <c r="V23" i="19"/>
  <c r="T22" i="19"/>
  <c r="R21" i="19"/>
  <c r="P20" i="19"/>
  <c r="Y18" i="19"/>
  <c r="R17" i="19"/>
  <c r="R14" i="19"/>
  <c r="Y12" i="19"/>
  <c r="R11" i="19"/>
  <c r="R8" i="19"/>
  <c r="AC207" i="19" s="1" a="1"/>
  <c r="AG223" i="19" s="1"/>
  <c r="AI223" i="19" s="1"/>
  <c r="Y6" i="19"/>
  <c r="P5" i="19"/>
  <c r="P3" i="19"/>
  <c r="Y54" i="19"/>
  <c r="Y181" i="19"/>
  <c r="Y181" i="9"/>
  <c r="Y86" i="19"/>
  <c r="Y86" i="9"/>
  <c r="Y84" i="19"/>
  <c r="Y84" i="9"/>
  <c r="L48" i="9"/>
  <c r="R56" i="9"/>
  <c r="R56" i="19"/>
  <c r="P55" i="9"/>
  <c r="P55" i="19"/>
  <c r="X53" i="9"/>
  <c r="X53" i="19"/>
  <c r="V52" i="9"/>
  <c r="V52" i="19"/>
  <c r="T51" i="9"/>
  <c r="T51" i="19"/>
  <c r="R50" i="9"/>
  <c r="R50" i="19"/>
  <c r="P49" i="9"/>
  <c r="P49" i="19"/>
  <c r="X47" i="9"/>
  <c r="X47" i="19"/>
  <c r="V46" i="9"/>
  <c r="V46" i="19"/>
  <c r="T45" i="9"/>
  <c r="T45" i="19"/>
  <c r="R44" i="9"/>
  <c r="R44" i="19"/>
  <c r="P43" i="9"/>
  <c r="P43" i="19"/>
  <c r="X41" i="9"/>
  <c r="X41" i="19"/>
  <c r="V40" i="9"/>
  <c r="V40" i="19"/>
  <c r="T39" i="9"/>
  <c r="T39" i="19"/>
  <c r="R38" i="9"/>
  <c r="R38" i="19"/>
  <c r="X17" i="9"/>
  <c r="X17" i="19"/>
  <c r="X11" i="9"/>
  <c r="X11" i="19"/>
  <c r="X5" i="9"/>
  <c r="X5" i="19"/>
  <c r="V202" i="9"/>
  <c r="U37" i="19"/>
  <c r="U36" i="19"/>
  <c r="U35" i="19"/>
  <c r="U34" i="19"/>
  <c r="U33" i="19"/>
  <c r="U32" i="19"/>
  <c r="U31" i="19"/>
  <c r="U30" i="19"/>
  <c r="U29" i="19"/>
  <c r="U28" i="19"/>
  <c r="AC491" i="19" s="1" a="1"/>
  <c r="U27" i="19"/>
  <c r="U26" i="19"/>
  <c r="U25" i="19"/>
  <c r="U24" i="19"/>
  <c r="T23" i="19"/>
  <c r="S22" i="19"/>
  <c r="Q21" i="19"/>
  <c r="W18" i="19"/>
  <c r="Q17" i="19"/>
  <c r="W15" i="19"/>
  <c r="Q14" i="19"/>
  <c r="W12" i="19"/>
  <c r="AC695" i="19" s="1" a="1"/>
  <c r="AG701" i="19" s="1"/>
  <c r="Q11" i="19"/>
  <c r="W9" i="19"/>
  <c r="Q8" i="19"/>
  <c r="W6" i="19"/>
  <c r="Y122" i="19"/>
  <c r="Y122" i="9"/>
  <c r="W141" i="19"/>
  <c r="L196" i="9"/>
  <c r="L186" i="9"/>
  <c r="L160" i="9"/>
  <c r="L150" i="9"/>
  <c r="L112" i="9"/>
  <c r="L90" i="9"/>
  <c r="T76" i="19"/>
  <c r="T76" i="9"/>
  <c r="W180" i="9"/>
  <c r="W144" i="9"/>
  <c r="W108" i="9"/>
  <c r="U89" i="9"/>
  <c r="S88" i="9"/>
  <c r="V78" i="9"/>
  <c r="Y105" i="9"/>
  <c r="X86" i="19"/>
  <c r="U85" i="19"/>
  <c r="Y200" i="19"/>
  <c r="Y200" i="9"/>
  <c r="Y164" i="19"/>
  <c r="Y164" i="9"/>
  <c r="L141" i="9"/>
  <c r="Y128" i="19"/>
  <c r="Y128" i="9"/>
  <c r="Y110" i="19"/>
  <c r="Y110" i="9"/>
  <c r="Y95" i="19"/>
  <c r="Y95" i="9"/>
  <c r="Y87" i="19"/>
  <c r="Y87" i="9"/>
  <c r="L79" i="9"/>
  <c r="L75" i="9"/>
  <c r="O75" i="9"/>
  <c r="L69" i="9"/>
  <c r="L66" i="9"/>
  <c r="O66" i="9"/>
  <c r="S63" i="19"/>
  <c r="S63" i="9"/>
  <c r="L62" i="9"/>
  <c r="O62" i="9"/>
  <c r="V114" i="9"/>
  <c r="T107" i="9"/>
  <c r="V102" i="9"/>
  <c r="T101" i="9"/>
  <c r="V90" i="9"/>
  <c r="T89" i="9"/>
  <c r="U84" i="9"/>
  <c r="V81" i="9"/>
  <c r="Y146" i="19"/>
  <c r="Y146" i="9"/>
  <c r="Y132" i="19"/>
  <c r="Y132" i="9"/>
  <c r="Y124" i="19"/>
  <c r="Y124" i="9"/>
  <c r="Y121" i="19"/>
  <c r="Y121" i="9"/>
  <c r="W193" i="9"/>
  <c r="W187" i="9"/>
  <c r="W181" i="9"/>
  <c r="W175" i="9"/>
  <c r="W163" i="9"/>
  <c r="W157" i="9"/>
  <c r="W151" i="9"/>
  <c r="W145" i="9"/>
  <c r="W139" i="9"/>
  <c r="W127" i="9"/>
  <c r="W115" i="9"/>
  <c r="W103" i="9"/>
  <c r="W136" i="19"/>
  <c r="U80" i="19"/>
  <c r="L195" i="9"/>
  <c r="L190" i="9"/>
  <c r="L185" i="9"/>
  <c r="L159" i="9"/>
  <c r="L154" i="9"/>
  <c r="L149" i="9"/>
  <c r="L127" i="9"/>
  <c r="L120" i="9"/>
  <c r="L114" i="9"/>
  <c r="L107" i="9"/>
  <c r="L99" i="9"/>
  <c r="L70" i="9"/>
  <c r="T64" i="19"/>
  <c r="T64" i="9"/>
  <c r="T102" i="9"/>
  <c r="V112" i="19"/>
  <c r="Y198" i="19"/>
  <c r="Y198" i="9"/>
  <c r="Y162" i="19"/>
  <c r="Y162" i="9"/>
  <c r="L136" i="9"/>
  <c r="Y126" i="19"/>
  <c r="Y126" i="9"/>
  <c r="L104" i="9"/>
  <c r="L76" i="9"/>
  <c r="O76" i="9"/>
  <c r="L67" i="9"/>
  <c r="O67" i="9"/>
  <c r="L63" i="9"/>
  <c r="O63" i="9"/>
  <c r="L57" i="9"/>
  <c r="W194" i="9"/>
  <c r="W188" i="9"/>
  <c r="W176" i="9"/>
  <c r="W158" i="9"/>
  <c r="W152" i="9"/>
  <c r="W140" i="9"/>
  <c r="O71" i="9"/>
  <c r="X83" i="19"/>
  <c r="L92" i="9"/>
  <c r="L80" i="9"/>
  <c r="L72" i="9"/>
  <c r="O72" i="9"/>
  <c r="U65" i="19"/>
  <c r="U65" i="9"/>
  <c r="O59" i="19"/>
  <c r="O59" i="9"/>
  <c r="T115" i="9"/>
  <c r="V104" i="9"/>
  <c r="T97" i="9"/>
  <c r="X93" i="9"/>
  <c r="T91" i="9"/>
  <c r="S85" i="9"/>
  <c r="T82" i="9"/>
  <c r="Y189" i="9"/>
  <c r="V101" i="19"/>
  <c r="L175" i="9"/>
  <c r="L139" i="9"/>
  <c r="L123" i="9"/>
  <c r="L68" i="9"/>
  <c r="P68" i="9"/>
  <c r="L58" i="9"/>
  <c r="W165" i="9"/>
  <c r="W135" i="9"/>
  <c r="W129" i="9"/>
  <c r="U77" i="9"/>
  <c r="V88" i="19"/>
  <c r="T82" i="19"/>
  <c r="L197" i="9"/>
  <c r="Y171" i="19"/>
  <c r="Y171" i="9"/>
  <c r="L166" i="9"/>
  <c r="L161" i="9"/>
  <c r="L130" i="9"/>
  <c r="W79" i="19"/>
  <c r="W79" i="9"/>
  <c r="Y77" i="19"/>
  <c r="Y77" i="9"/>
  <c r="L64" i="9"/>
  <c r="O64" i="9"/>
  <c r="T122" i="9"/>
  <c r="T116" i="9"/>
  <c r="T98" i="9"/>
  <c r="X78" i="19"/>
  <c r="Y184" i="19"/>
  <c r="Y184" i="9"/>
  <c r="Y174" i="19"/>
  <c r="Y174" i="9"/>
  <c r="Y148" i="19"/>
  <c r="Y148" i="9"/>
  <c r="Y125" i="19"/>
  <c r="Y125" i="9"/>
  <c r="Y111" i="19"/>
  <c r="Y111" i="9"/>
  <c r="Y103" i="19"/>
  <c r="Y103" i="9"/>
  <c r="L96" i="9"/>
  <c r="R74" i="19"/>
  <c r="R74" i="9"/>
  <c r="L73" i="9"/>
  <c r="O73" i="9"/>
  <c r="L60" i="9"/>
  <c r="O60" i="9"/>
  <c r="S86" i="9"/>
  <c r="V66" i="9"/>
  <c r="P60" i="9"/>
  <c r="Y153" i="9"/>
  <c r="L100" i="9"/>
  <c r="W67" i="19"/>
  <c r="W67" i="9"/>
  <c r="Y192" i="19"/>
  <c r="Y192" i="9"/>
  <c r="Y170" i="19"/>
  <c r="Y170" i="9"/>
  <c r="Y156" i="19"/>
  <c r="Y156" i="9"/>
  <c r="Y151" i="19"/>
  <c r="Y151" i="9"/>
  <c r="Y134" i="19"/>
  <c r="Y134" i="9"/>
  <c r="L118" i="9"/>
  <c r="L97" i="9"/>
  <c r="L78" i="9"/>
  <c r="O78" i="9"/>
  <c r="S75" i="19"/>
  <c r="S75" i="9"/>
  <c r="L74" i="9"/>
  <c r="L65" i="9"/>
  <c r="O65" i="9"/>
  <c r="S87" i="9"/>
  <c r="O79" i="9"/>
  <c r="O77" i="9"/>
  <c r="T115" i="19"/>
  <c r="L187" i="9"/>
  <c r="Y183" i="19"/>
  <c r="Y183" i="9"/>
  <c r="Y173" i="19"/>
  <c r="Y173" i="9"/>
  <c r="Y169" i="19"/>
  <c r="Y169" i="9"/>
  <c r="Y147" i="19"/>
  <c r="Y147" i="9"/>
  <c r="Y142" i="19"/>
  <c r="Y142" i="9"/>
  <c r="Y137" i="19"/>
  <c r="Y137" i="9"/>
  <c r="Y133" i="19"/>
  <c r="Y133" i="9"/>
  <c r="L113" i="9"/>
  <c r="X80" i="19"/>
  <c r="X80" i="9"/>
  <c r="X68" i="19"/>
  <c r="X68" i="9"/>
  <c r="R62" i="19"/>
  <c r="R62" i="9"/>
  <c r="L61" i="9"/>
  <c r="O61" i="9"/>
  <c r="T124" i="9"/>
  <c r="T112" i="9"/>
  <c r="T100" i="9"/>
  <c r="T88" i="9"/>
  <c r="P72" i="9"/>
  <c r="Y117" i="9"/>
  <c r="O43" i="8"/>
  <c r="C4" i="21" s="1"/>
  <c r="O41" i="8"/>
  <c r="C2" i="21" s="1"/>
  <c r="AB207" i="19" a="1"/>
  <c r="AJ3" i="21"/>
  <c r="AK3" i="21"/>
  <c r="AL4" i="21"/>
  <c r="AJ4" i="21"/>
  <c r="AK4" i="21"/>
  <c r="F4" i="21"/>
  <c r="G3" i="21"/>
  <c r="G4" i="21"/>
  <c r="AB695" i="19" a="1"/>
  <c r="AF716" i="19" s="1"/>
  <c r="AH716" i="19" s="1"/>
  <c r="AB892" i="19" a="1"/>
  <c r="AB154" i="19" a="1"/>
  <c r="AB283" i="19" a="1"/>
  <c r="AB283" i="19" s="1"/>
  <c r="AF283" i="19" s="1"/>
  <c r="AH283" i="19" s="1"/>
  <c r="AB580" i="19" a="1"/>
  <c r="AF644" i="19" s="1"/>
  <c r="AH644" i="19" s="1"/>
  <c r="B93" i="19"/>
  <c r="L25" i="16"/>
  <c r="L25" i="19" s="1"/>
  <c r="L12" i="16"/>
  <c r="L12" i="19" s="1"/>
  <c r="L6" i="16"/>
  <c r="L6" i="19" s="1"/>
  <c r="Y10" i="16"/>
  <c r="Y15" i="16"/>
  <c r="Y28" i="16"/>
  <c r="Y41" i="16"/>
  <c r="Y72" i="16"/>
  <c r="B38" i="19"/>
  <c r="L72" i="16"/>
  <c r="L72" i="19" s="1"/>
  <c r="L13" i="16"/>
  <c r="L13" i="19" s="1"/>
  <c r="Y8" i="16"/>
  <c r="Y21" i="16"/>
  <c r="Y34" i="16"/>
  <c r="Y39" i="16"/>
  <c r="Y52" i="16"/>
  <c r="Y67" i="16"/>
  <c r="Y76" i="16"/>
  <c r="B191" i="19"/>
  <c r="B64" i="19"/>
  <c r="L169" i="16"/>
  <c r="L169" i="19" s="1"/>
  <c r="L116" i="16"/>
  <c r="L116" i="19" s="1"/>
  <c r="L100" i="16"/>
  <c r="L100" i="19" s="1"/>
  <c r="L73" i="16"/>
  <c r="L73" i="19" s="1"/>
  <c r="L66" i="16"/>
  <c r="L66" i="19" s="1"/>
  <c r="L59" i="16"/>
  <c r="L59" i="19" s="1"/>
  <c r="L46" i="16"/>
  <c r="L46" i="19" s="1"/>
  <c r="L39" i="16"/>
  <c r="L39" i="19" s="1"/>
  <c r="L26" i="16"/>
  <c r="L26" i="19" s="1"/>
  <c r="Y46" i="16"/>
  <c r="Y71" i="16"/>
  <c r="L14" i="16"/>
  <c r="L14" i="19" s="1"/>
  <c r="Y7" i="16"/>
  <c r="Y32" i="16"/>
  <c r="Y38" i="16"/>
  <c r="Y45" i="16"/>
  <c r="Y75" i="16"/>
  <c r="B155" i="19"/>
  <c r="G41" i="19"/>
  <c r="L67" i="16"/>
  <c r="L67" i="19" s="1"/>
  <c r="L60" i="16"/>
  <c r="L60" i="19" s="1"/>
  <c r="L54" i="16"/>
  <c r="L54" i="19" s="1"/>
  <c r="L27" i="16"/>
  <c r="L27" i="19" s="1"/>
  <c r="Y19" i="16"/>
  <c r="Y44" i="16"/>
  <c r="Y50" i="16"/>
  <c r="Y57" i="16"/>
  <c r="Y62" i="16"/>
  <c r="Y79" i="16"/>
  <c r="B45" i="19"/>
  <c r="L53" i="16"/>
  <c r="L53" i="19" s="1"/>
  <c r="L15" i="16"/>
  <c r="L15" i="19" s="1"/>
  <c r="Y12" i="16"/>
  <c r="Y31" i="16"/>
  <c r="Y56" i="16"/>
  <c r="B3" i="19"/>
  <c r="L68" i="16"/>
  <c r="L68" i="19" s="1"/>
  <c r="L55" i="16"/>
  <c r="L55" i="19" s="1"/>
  <c r="L42" i="16"/>
  <c r="L42" i="19" s="1"/>
  <c r="Y5" i="16"/>
  <c r="Y24" i="16"/>
  <c r="Y43" i="16"/>
  <c r="Y65" i="16"/>
  <c r="Y74" i="16"/>
  <c r="L75" i="16"/>
  <c r="L75" i="19" s="1"/>
  <c r="Y11" i="16"/>
  <c r="Y36" i="16"/>
  <c r="Y49" i="16"/>
  <c r="Y55" i="16"/>
  <c r="B51" i="19"/>
  <c r="L62" i="16"/>
  <c r="L62" i="19" s="1"/>
  <c r="L30" i="16"/>
  <c r="L30" i="19" s="1"/>
  <c r="Y13" i="16"/>
  <c r="Y23" i="16"/>
  <c r="Y48" i="16"/>
  <c r="Y60" i="16"/>
  <c r="Y69" i="16"/>
  <c r="L3" i="16"/>
  <c r="L3" i="19" s="1"/>
  <c r="B132" i="19"/>
  <c r="Y4" i="16"/>
  <c r="Y17" i="16"/>
  <c r="Y25" i="16"/>
  <c r="Y35" i="16"/>
  <c r="Y77" i="16"/>
  <c r="L63" i="16"/>
  <c r="L63" i="19" s="1"/>
  <c r="L31" i="16"/>
  <c r="L31" i="19" s="1"/>
  <c r="L18" i="16"/>
  <c r="L18" i="19" s="1"/>
  <c r="L16" i="16"/>
  <c r="L16" i="19" s="1"/>
  <c r="Y3" i="16"/>
  <c r="Y16" i="16"/>
  <c r="Y29" i="16"/>
  <c r="Y37" i="16"/>
  <c r="Y47" i="16"/>
  <c r="Y53" i="16"/>
  <c r="Y64" i="16"/>
  <c r="Y68" i="16"/>
  <c r="AF610" i="19"/>
  <c r="AH610" i="19" s="1"/>
  <c r="AF685" i="19"/>
  <c r="AH685" i="19" s="1"/>
  <c r="AF590" i="19"/>
  <c r="AH590" i="19" s="1"/>
  <c r="AF602" i="19"/>
  <c r="AH602" i="19" s="1"/>
  <c r="AF616" i="19"/>
  <c r="AH616" i="19" s="1"/>
  <c r="AF603" i="19"/>
  <c r="AH603" i="19" s="1"/>
  <c r="AF627" i="19"/>
  <c r="AH627" i="19" s="1"/>
  <c r="AF605" i="19"/>
  <c r="AH605" i="19" s="1"/>
  <c r="AF583" i="19"/>
  <c r="AH583" i="19" s="1"/>
  <c r="AF607" i="19"/>
  <c r="AH607" i="19" s="1"/>
  <c r="AF587" i="19"/>
  <c r="AH587" i="19" s="1"/>
  <c r="AF611" i="19"/>
  <c r="AH611" i="19" s="1"/>
  <c r="AF631" i="19"/>
  <c r="AH631" i="19" s="1"/>
  <c r="AF588" i="19"/>
  <c r="AH588" i="19" s="1"/>
  <c r="AF612" i="19"/>
  <c r="AH612" i="19" s="1"/>
  <c r="AF615" i="19"/>
  <c r="AH615" i="19" s="1"/>
  <c r="AF594" i="19"/>
  <c r="AH594" i="19" s="1"/>
  <c r="AF618" i="19"/>
  <c r="AH618" i="19" s="1"/>
  <c r="AF639" i="19"/>
  <c r="AH639" i="19" s="1"/>
  <c r="AF595" i="19"/>
  <c r="AH595" i="19" s="1"/>
  <c r="AF619" i="19"/>
  <c r="AH619" i="19" s="1"/>
  <c r="AF599" i="19"/>
  <c r="AH599" i="19" s="1"/>
  <c r="AF623" i="19"/>
  <c r="AH623" i="19" s="1"/>
  <c r="AF624" i="19"/>
  <c r="AH624" i="19" s="1"/>
  <c r="AF296" i="19"/>
  <c r="AH296" i="19" s="1"/>
  <c r="AF308" i="19"/>
  <c r="AH308" i="19" s="1"/>
  <c r="AF320" i="19"/>
  <c r="AH320" i="19" s="1"/>
  <c r="AF285" i="19"/>
  <c r="AH285" i="19" s="1"/>
  <c r="AF297" i="19"/>
  <c r="AH297" i="19" s="1"/>
  <c r="AF321" i="19"/>
  <c r="AH321" i="19" s="1"/>
  <c r="AF357" i="19"/>
  <c r="AH357" i="19" s="1"/>
  <c r="AF286" i="19"/>
  <c r="AH286" i="19" s="1"/>
  <c r="AF298" i="19"/>
  <c r="AH298" i="19" s="1"/>
  <c r="AF346" i="19"/>
  <c r="AH346" i="19" s="1"/>
  <c r="AF358" i="19"/>
  <c r="AH358" i="19" s="1"/>
  <c r="AF299" i="19"/>
  <c r="AH299" i="19" s="1"/>
  <c r="AF335" i="19"/>
  <c r="AH335" i="19" s="1"/>
  <c r="AF347" i="19"/>
  <c r="AH347" i="19" s="1"/>
  <c r="AF359" i="19"/>
  <c r="AH359" i="19" s="1"/>
  <c r="AF325" i="19"/>
  <c r="AH325" i="19" s="1"/>
  <c r="AF337" i="19"/>
  <c r="AH337" i="19" s="1"/>
  <c r="AF361" i="19"/>
  <c r="AH361" i="19" s="1"/>
  <c r="AF314" i="19"/>
  <c r="AH314" i="19" s="1"/>
  <c r="AF326" i="19"/>
  <c r="AH326" i="19" s="1"/>
  <c r="AF338" i="19"/>
  <c r="AH338" i="19" s="1"/>
  <c r="AF303" i="19"/>
  <c r="AH303" i="19" s="1"/>
  <c r="AF315" i="19"/>
  <c r="AH315" i="19" s="1"/>
  <c r="AF339" i="19"/>
  <c r="AH339" i="19" s="1"/>
  <c r="AF292" i="19"/>
  <c r="AH292" i="19" s="1"/>
  <c r="AF304" i="19"/>
  <c r="AH304" i="19" s="1"/>
  <c r="AF316" i="19"/>
  <c r="AH316" i="19" s="1"/>
  <c r="AF364" i="19"/>
  <c r="AH364" i="19" s="1"/>
  <c r="AF293" i="19"/>
  <c r="AH293" i="19" s="1"/>
  <c r="AF317" i="19"/>
  <c r="AH317" i="19" s="1"/>
  <c r="AF353" i="19"/>
  <c r="AH353" i="19" s="1"/>
  <c r="AF365" i="19"/>
  <c r="AH365" i="19" s="1"/>
  <c r="AF295" i="19"/>
  <c r="AH295" i="19" s="1"/>
  <c r="AF343" i="19"/>
  <c r="AH343" i="19" s="1"/>
  <c r="AF348" i="19"/>
  <c r="AH348" i="19" s="1"/>
  <c r="AF288" i="19"/>
  <c r="AH288" i="19" s="1"/>
  <c r="AF360" i="19"/>
  <c r="AH360" i="19" s="1"/>
  <c r="AF300" i="19"/>
  <c r="AH300" i="19" s="1"/>
  <c r="AF366" i="19"/>
  <c r="AH366" i="19" s="1"/>
  <c r="AF318" i="19"/>
  <c r="AH318" i="19" s="1"/>
  <c r="AF324" i="19"/>
  <c r="AH324" i="19" s="1"/>
  <c r="AF336" i="19"/>
  <c r="AH336" i="19" s="1"/>
  <c r="AB207" i="19"/>
  <c r="AF207" i="19" s="1"/>
  <c r="AH207" i="19" s="1"/>
  <c r="AF212" i="19"/>
  <c r="AH212" i="19" s="1"/>
  <c r="AF224" i="19"/>
  <c r="AH224" i="19" s="1"/>
  <c r="AF236" i="19"/>
  <c r="AH236" i="19" s="1"/>
  <c r="AF248" i="19"/>
  <c r="AH248" i="19" s="1"/>
  <c r="AF260" i="19"/>
  <c r="AH260" i="19" s="1"/>
  <c r="AF272" i="19"/>
  <c r="AH272" i="19" s="1"/>
  <c r="AF213" i="19"/>
  <c r="AH213" i="19" s="1"/>
  <c r="AF225" i="19"/>
  <c r="AH225" i="19" s="1"/>
  <c r="AF237" i="19"/>
  <c r="AH237" i="19" s="1"/>
  <c r="AF249" i="19"/>
  <c r="AH249" i="19" s="1"/>
  <c r="AF261" i="19"/>
  <c r="AH261" i="19" s="1"/>
  <c r="AF273" i="19"/>
  <c r="AH273" i="19" s="1"/>
  <c r="AF214" i="19"/>
  <c r="AH214" i="19" s="1"/>
  <c r="AF226" i="19"/>
  <c r="AH226" i="19" s="1"/>
  <c r="AF238" i="19"/>
  <c r="AH238" i="19" s="1"/>
  <c r="AF250" i="19"/>
  <c r="AH250" i="19" s="1"/>
  <c r="AF262" i="19"/>
  <c r="AH262" i="19" s="1"/>
  <c r="AF274" i="19"/>
  <c r="AH274" i="19" s="1"/>
  <c r="AF215" i="19"/>
  <c r="AH215" i="19" s="1"/>
  <c r="AF227" i="19"/>
  <c r="AH227" i="19" s="1"/>
  <c r="AF239" i="19"/>
  <c r="AH239" i="19" s="1"/>
  <c r="AF251" i="19"/>
  <c r="AH251" i="19" s="1"/>
  <c r="AF263" i="19"/>
  <c r="AH263" i="19" s="1"/>
  <c r="AF275" i="19"/>
  <c r="AH275" i="19" s="1"/>
  <c r="AF217" i="19"/>
  <c r="AH217" i="19" s="1"/>
  <c r="AF229" i="19"/>
  <c r="AH229" i="19" s="1"/>
  <c r="AF241" i="19"/>
  <c r="AH241" i="19" s="1"/>
  <c r="AF253" i="19"/>
  <c r="AH253" i="19" s="1"/>
  <c r="AF265" i="19"/>
  <c r="AH265" i="19" s="1"/>
  <c r="AF277" i="19"/>
  <c r="AH277" i="19" s="1"/>
  <c r="AF218" i="19"/>
  <c r="AH218" i="19" s="1"/>
  <c r="AF230" i="19"/>
  <c r="AH230" i="19" s="1"/>
  <c r="AF242" i="19"/>
  <c r="AH242" i="19" s="1"/>
  <c r="AF254" i="19"/>
  <c r="AH254" i="19" s="1"/>
  <c r="AF266" i="19"/>
  <c r="AH266" i="19" s="1"/>
  <c r="AF278" i="19"/>
  <c r="AH278" i="19" s="1"/>
  <c r="AF219" i="19"/>
  <c r="AH219" i="19" s="1"/>
  <c r="AF231" i="19"/>
  <c r="AH231" i="19" s="1"/>
  <c r="AF243" i="19"/>
  <c r="AH243" i="19" s="1"/>
  <c r="AF255" i="19"/>
  <c r="AH255" i="19" s="1"/>
  <c r="AF267" i="19"/>
  <c r="AH267" i="19" s="1"/>
  <c r="AF279" i="19"/>
  <c r="AH279" i="19" s="1"/>
  <c r="AF208" i="19"/>
  <c r="AH208" i="19" s="1"/>
  <c r="AF220" i="19"/>
  <c r="AH220" i="19" s="1"/>
  <c r="AF232" i="19"/>
  <c r="AH232" i="19" s="1"/>
  <c r="AF244" i="19"/>
  <c r="AH244" i="19" s="1"/>
  <c r="AF256" i="19"/>
  <c r="AH256" i="19" s="1"/>
  <c r="AF268" i="19"/>
  <c r="AH268" i="19" s="1"/>
  <c r="AF280" i="19"/>
  <c r="AH280" i="19" s="1"/>
  <c r="AF209" i="19"/>
  <c r="AH209" i="19" s="1"/>
  <c r="AF221" i="19"/>
  <c r="AH221" i="19" s="1"/>
  <c r="AF233" i="19"/>
  <c r="AH233" i="19" s="1"/>
  <c r="AF245" i="19"/>
  <c r="AH245" i="19" s="1"/>
  <c r="AF257" i="19"/>
  <c r="AH257" i="19" s="1"/>
  <c r="AF269" i="19"/>
  <c r="AH269" i="19" s="1"/>
  <c r="AF281" i="19"/>
  <c r="AH281" i="19" s="1"/>
  <c r="AF211" i="19"/>
  <c r="AH211" i="19" s="1"/>
  <c r="AF223" i="19"/>
  <c r="AH223" i="19" s="1"/>
  <c r="AF235" i="19"/>
  <c r="AH235" i="19" s="1"/>
  <c r="AF247" i="19"/>
  <c r="AH247" i="19" s="1"/>
  <c r="AF259" i="19"/>
  <c r="AH259" i="19" s="1"/>
  <c r="AF271" i="19"/>
  <c r="AH271" i="19" s="1"/>
  <c r="AF276" i="19"/>
  <c r="AH276" i="19" s="1"/>
  <c r="AF210" i="19"/>
  <c r="AH210" i="19" s="1"/>
  <c r="AF282" i="19"/>
  <c r="AH282" i="19" s="1"/>
  <c r="AF216" i="19"/>
  <c r="AH216" i="19" s="1"/>
  <c r="AF222" i="19"/>
  <c r="AH222" i="19" s="1"/>
  <c r="AF228" i="19"/>
  <c r="AH228" i="19" s="1"/>
  <c r="AF234" i="19"/>
  <c r="AH234" i="19" s="1"/>
  <c r="AF240" i="19"/>
  <c r="AH240" i="19" s="1"/>
  <c r="AF246" i="19"/>
  <c r="AH246" i="19" s="1"/>
  <c r="AF252" i="19"/>
  <c r="AH252" i="19" s="1"/>
  <c r="AF258" i="19"/>
  <c r="AH258" i="19" s="1"/>
  <c r="AF264" i="19"/>
  <c r="AH264" i="19" s="1"/>
  <c r="AF270" i="19"/>
  <c r="AH270" i="19" s="1"/>
  <c r="AB154" i="19"/>
  <c r="AF154" i="19" s="1"/>
  <c r="AH154" i="19" s="1"/>
  <c r="AF164" i="19"/>
  <c r="AH164" i="19" s="1"/>
  <c r="AF176" i="19"/>
  <c r="AH176" i="19" s="1"/>
  <c r="AF188" i="19"/>
  <c r="AH188" i="19" s="1"/>
  <c r="AF200" i="19"/>
  <c r="AH200" i="19" s="1"/>
  <c r="AF165" i="19"/>
  <c r="AH165" i="19" s="1"/>
  <c r="AF177" i="19"/>
  <c r="AH177" i="19" s="1"/>
  <c r="AF189" i="19"/>
  <c r="AH189" i="19" s="1"/>
  <c r="AF201" i="19"/>
  <c r="AH201" i="19" s="1"/>
  <c r="AF166" i="19"/>
  <c r="AH166" i="19" s="1"/>
  <c r="AF178" i="19"/>
  <c r="AH178" i="19" s="1"/>
  <c r="AF190" i="19"/>
  <c r="AH190" i="19" s="1"/>
  <c r="AF202" i="19"/>
  <c r="AH202" i="19" s="1"/>
  <c r="AF155" i="19"/>
  <c r="AH155" i="19" s="1"/>
  <c r="AF167" i="19"/>
  <c r="AH167" i="19" s="1"/>
  <c r="AF179" i="19"/>
  <c r="AH179" i="19" s="1"/>
  <c r="AF191" i="19"/>
  <c r="AH191" i="19" s="1"/>
  <c r="AF203" i="19"/>
  <c r="AH203" i="19" s="1"/>
  <c r="AF157" i="19"/>
  <c r="AH157" i="19" s="1"/>
  <c r="AF169" i="19"/>
  <c r="AH169" i="19" s="1"/>
  <c r="AF181" i="19"/>
  <c r="AH181" i="19" s="1"/>
  <c r="AF193" i="19"/>
  <c r="AH193" i="19" s="1"/>
  <c r="AF205" i="19"/>
  <c r="AH205" i="19" s="1"/>
  <c r="AF158" i="19"/>
  <c r="AH158" i="19" s="1"/>
  <c r="AF170" i="19"/>
  <c r="AH170" i="19" s="1"/>
  <c r="AF182" i="19"/>
  <c r="AH182" i="19" s="1"/>
  <c r="AF194" i="19"/>
  <c r="AH194" i="19" s="1"/>
  <c r="AF206" i="19"/>
  <c r="AH206" i="19" s="1"/>
  <c r="AF159" i="19"/>
  <c r="AH159" i="19" s="1"/>
  <c r="AF171" i="19"/>
  <c r="AH171" i="19" s="1"/>
  <c r="AF183" i="19"/>
  <c r="AH183" i="19" s="1"/>
  <c r="AF195" i="19"/>
  <c r="AH195" i="19" s="1"/>
  <c r="AF160" i="19"/>
  <c r="AH160" i="19" s="1"/>
  <c r="AF172" i="19"/>
  <c r="AH172" i="19" s="1"/>
  <c r="AF184" i="19"/>
  <c r="AH184" i="19" s="1"/>
  <c r="AF196" i="19"/>
  <c r="AH196" i="19" s="1"/>
  <c r="AF161" i="19"/>
  <c r="AH161" i="19" s="1"/>
  <c r="AF173" i="19"/>
  <c r="AH173" i="19" s="1"/>
  <c r="AF185" i="19"/>
  <c r="AH185" i="19" s="1"/>
  <c r="AF197" i="19"/>
  <c r="AH197" i="19" s="1"/>
  <c r="AF163" i="19"/>
  <c r="AH163" i="19" s="1"/>
  <c r="AF175" i="19"/>
  <c r="AH175" i="19" s="1"/>
  <c r="AF187" i="19"/>
  <c r="AH187" i="19" s="1"/>
  <c r="AF199" i="19"/>
  <c r="AH199" i="19" s="1"/>
  <c r="AF204" i="19"/>
  <c r="AH204" i="19" s="1"/>
  <c r="AF156" i="19"/>
  <c r="AH156" i="19" s="1"/>
  <c r="AF162" i="19"/>
  <c r="AH162" i="19" s="1"/>
  <c r="AF168" i="19"/>
  <c r="AH168" i="19" s="1"/>
  <c r="AF174" i="19"/>
  <c r="AH174" i="19" s="1"/>
  <c r="AF180" i="19"/>
  <c r="AH180" i="19" s="1"/>
  <c r="AF186" i="19"/>
  <c r="AH186" i="19" s="1"/>
  <c r="AF192" i="19"/>
  <c r="AH192" i="19" s="1"/>
  <c r="AF198" i="19"/>
  <c r="AH198" i="19" s="1"/>
  <c r="AB892" i="19"/>
  <c r="AF892" i="19" s="1"/>
  <c r="AH892" i="19" s="1"/>
  <c r="AF896" i="19"/>
  <c r="AH896" i="19" s="1"/>
  <c r="AF908" i="19"/>
  <c r="AH908" i="19" s="1"/>
  <c r="AF920" i="19"/>
  <c r="AH920" i="19" s="1"/>
  <c r="AF932" i="19"/>
  <c r="AH932" i="19" s="1"/>
  <c r="AF944" i="19"/>
  <c r="AH944" i="19" s="1"/>
  <c r="AF956" i="19"/>
  <c r="AH956" i="19" s="1"/>
  <c r="AF968" i="19"/>
  <c r="AH968" i="19" s="1"/>
  <c r="AF980" i="19"/>
  <c r="AH980" i="19" s="1"/>
  <c r="AF897" i="19"/>
  <c r="AH897" i="19" s="1"/>
  <c r="AF909" i="19"/>
  <c r="AH909" i="19" s="1"/>
  <c r="AF921" i="19"/>
  <c r="AH921" i="19" s="1"/>
  <c r="AF933" i="19"/>
  <c r="AH933" i="19" s="1"/>
  <c r="AF945" i="19"/>
  <c r="AH945" i="19" s="1"/>
  <c r="AF957" i="19"/>
  <c r="AH957" i="19" s="1"/>
  <c r="AF969" i="19"/>
  <c r="AH969" i="19" s="1"/>
  <c r="AF981" i="19"/>
  <c r="AH981" i="19" s="1"/>
  <c r="AF901" i="19"/>
  <c r="AH901" i="19" s="1"/>
  <c r="AF913" i="19"/>
  <c r="AH913" i="19" s="1"/>
  <c r="AF925" i="19"/>
  <c r="AH925" i="19" s="1"/>
  <c r="AF937" i="19"/>
  <c r="AH937" i="19" s="1"/>
  <c r="AF949" i="19"/>
  <c r="AH949" i="19" s="1"/>
  <c r="AF961" i="19"/>
  <c r="AH961" i="19" s="1"/>
  <c r="AF973" i="19"/>
  <c r="AH973" i="19" s="1"/>
  <c r="AF985" i="19"/>
  <c r="AH985" i="19" s="1"/>
  <c r="AF902" i="19"/>
  <c r="AH902" i="19" s="1"/>
  <c r="AF914" i="19"/>
  <c r="AH914" i="19" s="1"/>
  <c r="AF926" i="19"/>
  <c r="AH926" i="19" s="1"/>
  <c r="AF938" i="19"/>
  <c r="AH938" i="19" s="1"/>
  <c r="AF950" i="19"/>
  <c r="AH950" i="19" s="1"/>
  <c r="AF962" i="19"/>
  <c r="AH962" i="19" s="1"/>
  <c r="AF974" i="19"/>
  <c r="AH974" i="19" s="1"/>
  <c r="AF986" i="19"/>
  <c r="AH986" i="19" s="1"/>
  <c r="AF895" i="19"/>
  <c r="AH895" i="19" s="1"/>
  <c r="AF915" i="19"/>
  <c r="AH915" i="19" s="1"/>
  <c r="AF931" i="19"/>
  <c r="AH931" i="19" s="1"/>
  <c r="AF951" i="19"/>
  <c r="AH951" i="19" s="1"/>
  <c r="AF967" i="19"/>
  <c r="AH967" i="19" s="1"/>
  <c r="AF987" i="19"/>
  <c r="AH987" i="19" s="1"/>
  <c r="AF898" i="19"/>
  <c r="AH898" i="19" s="1"/>
  <c r="AF916" i="19"/>
  <c r="AH916" i="19" s="1"/>
  <c r="AF934" i="19"/>
  <c r="AH934" i="19" s="1"/>
  <c r="AF952" i="19"/>
  <c r="AH952" i="19" s="1"/>
  <c r="AF970" i="19"/>
  <c r="AH970" i="19" s="1"/>
  <c r="AF899" i="19"/>
  <c r="AH899" i="19" s="1"/>
  <c r="AF917" i="19"/>
  <c r="AH917" i="19" s="1"/>
  <c r="AF935" i="19"/>
  <c r="AH935" i="19" s="1"/>
  <c r="AF953" i="19"/>
  <c r="AH953" i="19" s="1"/>
  <c r="AF971" i="19"/>
  <c r="AH971" i="19" s="1"/>
  <c r="AF900" i="19"/>
  <c r="AH900" i="19" s="1"/>
  <c r="AF918" i="19"/>
  <c r="AH918" i="19" s="1"/>
  <c r="AF936" i="19"/>
  <c r="AH936" i="19" s="1"/>
  <c r="AF954" i="19"/>
  <c r="AH954" i="19" s="1"/>
  <c r="AF972" i="19"/>
  <c r="AH972" i="19" s="1"/>
  <c r="AF903" i="19"/>
  <c r="AH903" i="19" s="1"/>
  <c r="AF919" i="19"/>
  <c r="AH919" i="19" s="1"/>
  <c r="AF939" i="19"/>
  <c r="AH939" i="19" s="1"/>
  <c r="AF955" i="19"/>
  <c r="AH955" i="19" s="1"/>
  <c r="AF975" i="19"/>
  <c r="AH975" i="19" s="1"/>
  <c r="AF904" i="19"/>
  <c r="AH904" i="19" s="1"/>
  <c r="AF922" i="19"/>
  <c r="AH922" i="19" s="1"/>
  <c r="AF940" i="19"/>
  <c r="AH940" i="19" s="1"/>
  <c r="AF958" i="19"/>
  <c r="AH958" i="19" s="1"/>
  <c r="AF976" i="19"/>
  <c r="AH976" i="19" s="1"/>
  <c r="AF905" i="19"/>
  <c r="AH905" i="19" s="1"/>
  <c r="AF923" i="19"/>
  <c r="AH923" i="19" s="1"/>
  <c r="AF941" i="19"/>
  <c r="AH941" i="19" s="1"/>
  <c r="AF959" i="19"/>
  <c r="AH959" i="19" s="1"/>
  <c r="AF977" i="19"/>
  <c r="AH977" i="19" s="1"/>
  <c r="AF906" i="19"/>
  <c r="AH906" i="19" s="1"/>
  <c r="AF924" i="19"/>
  <c r="AH924" i="19" s="1"/>
  <c r="AF942" i="19"/>
  <c r="AH942" i="19" s="1"/>
  <c r="AF960" i="19"/>
  <c r="AH960" i="19" s="1"/>
  <c r="AF978" i="19"/>
  <c r="AH978" i="19" s="1"/>
  <c r="AF907" i="19"/>
  <c r="AH907" i="19" s="1"/>
  <c r="AF927" i="19"/>
  <c r="AH927" i="19" s="1"/>
  <c r="AF943" i="19"/>
  <c r="AH943" i="19" s="1"/>
  <c r="AF963" i="19"/>
  <c r="AH963" i="19" s="1"/>
  <c r="AF979" i="19"/>
  <c r="AH979" i="19" s="1"/>
  <c r="AF910" i="19"/>
  <c r="AH910" i="19" s="1"/>
  <c r="AF928" i="19"/>
  <c r="AH928" i="19" s="1"/>
  <c r="AF946" i="19"/>
  <c r="AH946" i="19" s="1"/>
  <c r="AF964" i="19"/>
  <c r="AH964" i="19" s="1"/>
  <c r="AF982" i="19"/>
  <c r="AH982" i="19" s="1"/>
  <c r="AF893" i="19"/>
  <c r="AH893" i="19" s="1"/>
  <c r="AF911" i="19"/>
  <c r="AH911" i="19" s="1"/>
  <c r="AF929" i="19"/>
  <c r="AH929" i="19" s="1"/>
  <c r="AF947" i="19"/>
  <c r="AH947" i="19" s="1"/>
  <c r="AF965" i="19"/>
  <c r="AH965" i="19" s="1"/>
  <c r="AF983" i="19"/>
  <c r="AH983" i="19" s="1"/>
  <c r="AF894" i="19"/>
  <c r="AH894" i="19" s="1"/>
  <c r="AF912" i="19"/>
  <c r="AH912" i="19" s="1"/>
  <c r="AF930" i="19"/>
  <c r="AH930" i="19" s="1"/>
  <c r="AF948" i="19"/>
  <c r="AH948" i="19" s="1"/>
  <c r="AF966" i="19"/>
  <c r="AH966" i="19" s="1"/>
  <c r="AF984" i="19"/>
  <c r="AH984" i="19" s="1"/>
  <c r="AB491" i="19" a="1"/>
  <c r="AB368" i="19" a="1"/>
  <c r="AB79" i="19" a="1"/>
  <c r="F3" i="21"/>
  <c r="B41" i="11"/>
  <c r="AG407" i="19"/>
  <c r="AG445" i="19"/>
  <c r="AG417" i="19"/>
  <c r="AG483" i="19"/>
  <c r="AC283" i="19"/>
  <c r="AG283" i="19" s="1"/>
  <c r="AG295" i="19"/>
  <c r="AG331" i="19"/>
  <c r="AG355" i="19"/>
  <c r="AG367" i="19"/>
  <c r="AG332" i="19"/>
  <c r="AG344" i="19"/>
  <c r="AG299" i="19"/>
  <c r="AI299" i="19" s="1"/>
  <c r="AG323" i="19"/>
  <c r="AG335" i="19"/>
  <c r="AI335" i="19" s="1"/>
  <c r="AG312" i="19"/>
  <c r="AG324" i="19"/>
  <c r="AI324" i="19" s="1"/>
  <c r="AG360" i="19"/>
  <c r="AI360" i="19" s="1"/>
  <c r="AG301" i="19"/>
  <c r="AG313" i="19"/>
  <c r="AG290" i="19"/>
  <c r="AG302" i="19"/>
  <c r="AG338" i="19"/>
  <c r="AG362" i="19"/>
  <c r="AG294" i="19"/>
  <c r="AG354" i="19"/>
  <c r="AG366" i="19"/>
  <c r="AG358" i="19"/>
  <c r="AI358" i="19" s="1"/>
  <c r="AG304" i="19"/>
  <c r="AI304" i="19" s="1"/>
  <c r="AG333" i="19"/>
  <c r="AG363" i="19"/>
  <c r="AG309" i="19"/>
  <c r="AG339" i="19"/>
  <c r="AI339" i="19" s="1"/>
  <c r="AG310" i="19"/>
  <c r="AG340" i="19"/>
  <c r="AG285" i="19"/>
  <c r="AG315" i="19"/>
  <c r="AI315" i="19" s="1"/>
  <c r="AG341" i="19"/>
  <c r="AG353" i="19"/>
  <c r="AI353" i="19" s="1"/>
  <c r="AG291" i="19"/>
  <c r="AG346" i="19"/>
  <c r="AI346" i="19" s="1"/>
  <c r="AG292" i="19"/>
  <c r="AI292" i="19" s="1"/>
  <c r="AG321" i="19"/>
  <c r="AI321" i="19" s="1"/>
  <c r="AG351" i="19"/>
  <c r="AG293" i="19"/>
  <c r="AI293" i="19" s="1"/>
  <c r="AG322" i="19"/>
  <c r="AG328" i="19"/>
  <c r="AG357" i="19"/>
  <c r="AI357" i="19" s="1"/>
  <c r="AG211" i="19"/>
  <c r="AG251" i="19"/>
  <c r="AI251" i="19" s="1"/>
  <c r="AG277" i="19"/>
  <c r="AI277" i="19" s="1"/>
  <c r="AG244" i="19"/>
  <c r="AI244" i="19" s="1"/>
  <c r="AG281" i="19"/>
  <c r="AI281" i="19" s="1"/>
  <c r="AG213" i="19"/>
  <c r="AI213" i="19" s="1"/>
  <c r="AC154" i="19"/>
  <c r="AG154" i="19" s="1"/>
  <c r="AI154" i="19" s="1"/>
  <c r="AG163" i="19"/>
  <c r="AI163" i="19" s="1"/>
  <c r="AG175" i="19"/>
  <c r="AG187" i="19"/>
  <c r="AI187" i="19" s="1"/>
  <c r="AG164" i="19"/>
  <c r="AI164" i="19" s="1"/>
  <c r="AG176" i="19"/>
  <c r="AI176" i="19" s="1"/>
  <c r="AG188" i="19"/>
  <c r="AI188" i="19" s="1"/>
  <c r="AG200" i="19"/>
  <c r="AI200" i="19" s="1"/>
  <c r="AG155" i="19"/>
  <c r="AI155" i="19" s="1"/>
  <c r="AG167" i="19"/>
  <c r="AI167" i="19" s="1"/>
  <c r="AG191" i="19"/>
  <c r="AI191" i="19" s="1"/>
  <c r="AG203" i="19"/>
  <c r="AG156" i="19"/>
  <c r="AI156" i="19" s="1"/>
  <c r="AG168" i="19"/>
  <c r="AG192" i="19"/>
  <c r="AI192" i="19" s="1"/>
  <c r="AG204" i="19"/>
  <c r="AI204" i="19" s="1"/>
  <c r="AG157" i="19"/>
  <c r="AI157" i="19" s="1"/>
  <c r="AG169" i="19"/>
  <c r="AI169" i="19" s="1"/>
  <c r="AG181" i="19"/>
  <c r="AI181" i="19" s="1"/>
  <c r="AG193" i="19"/>
  <c r="AI193" i="19" s="1"/>
  <c r="AG158" i="19"/>
  <c r="AI158" i="19" s="1"/>
  <c r="AG170" i="19"/>
  <c r="AI170" i="19" s="1"/>
  <c r="AG182" i="19"/>
  <c r="AI182" i="19" s="1"/>
  <c r="AG194" i="19"/>
  <c r="AI194" i="19" s="1"/>
  <c r="AG162" i="19"/>
  <c r="AI162" i="19" s="1"/>
  <c r="AG174" i="19"/>
  <c r="AI174" i="19" s="1"/>
  <c r="AG186" i="19"/>
  <c r="AI186" i="19" s="1"/>
  <c r="AG198" i="19"/>
  <c r="AI198" i="19" s="1"/>
  <c r="AG159" i="19"/>
  <c r="AI159" i="19" s="1"/>
  <c r="AG185" i="19"/>
  <c r="AI185" i="19" s="1"/>
  <c r="AG189" i="19"/>
  <c r="AI189" i="19" s="1"/>
  <c r="AG161" i="19"/>
  <c r="AI161" i="19" s="1"/>
  <c r="AG190" i="19"/>
  <c r="AG165" i="19"/>
  <c r="AG166" i="19"/>
  <c r="AI166" i="19" s="1"/>
  <c r="AG196" i="19"/>
  <c r="AG171" i="19"/>
  <c r="AG197" i="19"/>
  <c r="AI197" i="19" s="1"/>
  <c r="AG172" i="19"/>
  <c r="AI172" i="19" s="1"/>
  <c r="AG201" i="19"/>
  <c r="AI201" i="19" s="1"/>
  <c r="AG202" i="19"/>
  <c r="AI202" i="19" s="1"/>
  <c r="AG177" i="19"/>
  <c r="AI177" i="19" s="1"/>
  <c r="AG178" i="19"/>
  <c r="AI178" i="19" s="1"/>
  <c r="AG184" i="19"/>
  <c r="AI184" i="19" s="1"/>
  <c r="AC79" i="19"/>
  <c r="AG79" i="19" s="1"/>
  <c r="AG91" i="19"/>
  <c r="AG103" i="19"/>
  <c r="AG115" i="19"/>
  <c r="AG127" i="19"/>
  <c r="AG139" i="19"/>
  <c r="AG80" i="19"/>
  <c r="AG92" i="19"/>
  <c r="AG104" i="19"/>
  <c r="AG116" i="19"/>
  <c r="AG140" i="19"/>
  <c r="AG152" i="19"/>
  <c r="AG83" i="19"/>
  <c r="AG95" i="19"/>
  <c r="AG107" i="19"/>
  <c r="AG119" i="19"/>
  <c r="AG143" i="19"/>
  <c r="AG84" i="19"/>
  <c r="AG96" i="19"/>
  <c r="AG108" i="19"/>
  <c r="AG132" i="19"/>
  <c r="AG144" i="19"/>
  <c r="AG85" i="19"/>
  <c r="AG97" i="19"/>
  <c r="AG109" i="19"/>
  <c r="AG121" i="19"/>
  <c r="AG145" i="19"/>
  <c r="AG86" i="19"/>
  <c r="AG98" i="19"/>
  <c r="AG110" i="19"/>
  <c r="AG134" i="19"/>
  <c r="AG146" i="19"/>
  <c r="AG90" i="19"/>
  <c r="AG102" i="19"/>
  <c r="AG114" i="19"/>
  <c r="AG126" i="19"/>
  <c r="AG150" i="19"/>
  <c r="AG100" i="19"/>
  <c r="AG129" i="19"/>
  <c r="AG153" i="19"/>
  <c r="AG130" i="19"/>
  <c r="AG105" i="19"/>
  <c r="AG135" i="19"/>
  <c r="AG106" i="19"/>
  <c r="AG136" i="19"/>
  <c r="AG81" i="19"/>
  <c r="AG137" i="19"/>
  <c r="AG124" i="19"/>
  <c r="AG82" i="19"/>
  <c r="AG112" i="19"/>
  <c r="AG87" i="19"/>
  <c r="AG113" i="19"/>
  <c r="AG142" i="19"/>
  <c r="AG94" i="19"/>
  <c r="AG88" i="19"/>
  <c r="AG117" i="19"/>
  <c r="AG89" i="19"/>
  <c r="AG118" i="19"/>
  <c r="AG148" i="19"/>
  <c r="AG93" i="19"/>
  <c r="AG149" i="19"/>
  <c r="AG99" i="19"/>
  <c r="AG125" i="19"/>
  <c r="AC892" i="19"/>
  <c r="AG892" i="19" s="1"/>
  <c r="AG893" i="19"/>
  <c r="AG905" i="19"/>
  <c r="AI905" i="19" s="1"/>
  <c r="AG917" i="19"/>
  <c r="AI917" i="19" s="1"/>
  <c r="AG941" i="19"/>
  <c r="AG953" i="19"/>
  <c r="AI953" i="19" s="1"/>
  <c r="AG965" i="19"/>
  <c r="AI965" i="19" s="1"/>
  <c r="AG977" i="19"/>
  <c r="AI977" i="19" s="1"/>
  <c r="AG915" i="19"/>
  <c r="AI915" i="19" s="1"/>
  <c r="AG894" i="19"/>
  <c r="AG918" i="19"/>
  <c r="AI918" i="19" s="1"/>
  <c r="AG930" i="19"/>
  <c r="AI930" i="19" s="1"/>
  <c r="AG942" i="19"/>
  <c r="AI942" i="19" s="1"/>
  <c r="AG954" i="19"/>
  <c r="AI954" i="19" s="1"/>
  <c r="AG978" i="19"/>
  <c r="AI978" i="19" s="1"/>
  <c r="AG975" i="19"/>
  <c r="AI975" i="19" s="1"/>
  <c r="AG895" i="19"/>
  <c r="AI895" i="19" s="1"/>
  <c r="AG907" i="19"/>
  <c r="AI907" i="19" s="1"/>
  <c r="AG919" i="19"/>
  <c r="AI919" i="19" s="1"/>
  <c r="AG931" i="19"/>
  <c r="AI931" i="19" s="1"/>
  <c r="AG955" i="19"/>
  <c r="AI955" i="19" s="1"/>
  <c r="AG967" i="19"/>
  <c r="AI967" i="19" s="1"/>
  <c r="AG979" i="19"/>
  <c r="AG896" i="19"/>
  <c r="AI896" i="19" s="1"/>
  <c r="AG920" i="19"/>
  <c r="AI920" i="19" s="1"/>
  <c r="AG932" i="19"/>
  <c r="AI932" i="19" s="1"/>
  <c r="AG944" i="19"/>
  <c r="AI944" i="19" s="1"/>
  <c r="AG956" i="19"/>
  <c r="AG968" i="19"/>
  <c r="AI968" i="19" s="1"/>
  <c r="AG980" i="19"/>
  <c r="AI980" i="19" s="1"/>
  <c r="AG909" i="19"/>
  <c r="AI909" i="19" s="1"/>
  <c r="AG921" i="19"/>
  <c r="AI921" i="19" s="1"/>
  <c r="AG933" i="19"/>
  <c r="AG945" i="19"/>
  <c r="AI945" i="19" s="1"/>
  <c r="AG969" i="19"/>
  <c r="AI969" i="19" s="1"/>
  <c r="AG981" i="19"/>
  <c r="AI981" i="19" s="1"/>
  <c r="AG927" i="19"/>
  <c r="AI927" i="19" s="1"/>
  <c r="AG898" i="19"/>
  <c r="AI898" i="19" s="1"/>
  <c r="AG910" i="19"/>
  <c r="AI910" i="19" s="1"/>
  <c r="AG922" i="19"/>
  <c r="AG946" i="19"/>
  <c r="AI946" i="19" s="1"/>
  <c r="AG958" i="19"/>
  <c r="AI958" i="19" s="1"/>
  <c r="AG970" i="19"/>
  <c r="AI970" i="19" s="1"/>
  <c r="AG982" i="19"/>
  <c r="AI982" i="19" s="1"/>
  <c r="AG899" i="19"/>
  <c r="AI899" i="19" s="1"/>
  <c r="AG911" i="19"/>
  <c r="AI911" i="19" s="1"/>
  <c r="AG923" i="19"/>
  <c r="AI923" i="19" s="1"/>
  <c r="AG935" i="19"/>
  <c r="AI935" i="19" s="1"/>
  <c r="AG947" i="19"/>
  <c r="AI947" i="19" s="1"/>
  <c r="AG959" i="19"/>
  <c r="AI959" i="19" s="1"/>
  <c r="AG983" i="19"/>
  <c r="AI983" i="19" s="1"/>
  <c r="AG951" i="19"/>
  <c r="AG900" i="19"/>
  <c r="AI900" i="19" s="1"/>
  <c r="AG912" i="19"/>
  <c r="AI912" i="19" s="1"/>
  <c r="AG936" i="19"/>
  <c r="AI936" i="19" s="1"/>
  <c r="AG948" i="19"/>
  <c r="AI948" i="19" s="1"/>
  <c r="AG960" i="19"/>
  <c r="AG972" i="19"/>
  <c r="AI972" i="19" s="1"/>
  <c r="AG984" i="19"/>
  <c r="AI984" i="19" s="1"/>
  <c r="AG939" i="19"/>
  <c r="AI939" i="19" s="1"/>
  <c r="AG913" i="19"/>
  <c r="AI913" i="19" s="1"/>
  <c r="AG925" i="19"/>
  <c r="AI925" i="19" s="1"/>
  <c r="AG937" i="19"/>
  <c r="AI937" i="19" s="1"/>
  <c r="AG949" i="19"/>
  <c r="AI949" i="19" s="1"/>
  <c r="AG973" i="19"/>
  <c r="AI973" i="19" s="1"/>
  <c r="AG985" i="19"/>
  <c r="AI985" i="19" s="1"/>
  <c r="AG902" i="19"/>
  <c r="AI902" i="19" s="1"/>
  <c r="AG914" i="19"/>
  <c r="AI914" i="19" s="1"/>
  <c r="AG926" i="19"/>
  <c r="AI926" i="19" s="1"/>
  <c r="AG938" i="19"/>
  <c r="AI938" i="19" s="1"/>
  <c r="AG962" i="19"/>
  <c r="AI962" i="19" s="1"/>
  <c r="AG974" i="19"/>
  <c r="AI974" i="19" s="1"/>
  <c r="AG986" i="19"/>
  <c r="AI986" i="19" s="1"/>
  <c r="AG904" i="19"/>
  <c r="AI904" i="19" s="1"/>
  <c r="AG928" i="19"/>
  <c r="AI928" i="19" s="1"/>
  <c r="AG940" i="19"/>
  <c r="AI940" i="19" s="1"/>
  <c r="AG952" i="19"/>
  <c r="AG964" i="19"/>
  <c r="AI964" i="19" s="1"/>
  <c r="AG976" i="19"/>
  <c r="AI976" i="19" s="1"/>
  <c r="AG903" i="19"/>
  <c r="AC695" i="19"/>
  <c r="AG695" i="19" s="1"/>
  <c r="AG857" i="19"/>
  <c r="AG810" i="19"/>
  <c r="AG751" i="19"/>
  <c r="AG728" i="19"/>
  <c r="AG717" i="19"/>
  <c r="AG885" i="19"/>
  <c r="AG850" i="19"/>
  <c r="AG791" i="19"/>
  <c r="AG732" i="19"/>
  <c r="AG879" i="19"/>
  <c r="AG853" i="19"/>
  <c r="AG830" i="19"/>
  <c r="AG784" i="19"/>
  <c r="L21" i="7"/>
  <c r="L9" i="7"/>
  <c r="L48" i="16"/>
  <c r="L48" i="19" s="1"/>
  <c r="B102" i="19"/>
  <c r="L79" i="16"/>
  <c r="L79" i="19" s="1"/>
  <c r="B19" i="19"/>
  <c r="L33" i="16"/>
  <c r="L33" i="19" s="1"/>
  <c r="L20" i="16"/>
  <c r="L20" i="19" s="1"/>
  <c r="L7" i="16"/>
  <c r="L7" i="19" s="1"/>
  <c r="L47" i="16"/>
  <c r="L47" i="19" s="1"/>
  <c r="L34" i="16"/>
  <c r="L34" i="19" s="1"/>
  <c r="L21" i="16"/>
  <c r="L21" i="19" s="1"/>
  <c r="L8" i="16"/>
  <c r="L8" i="19" s="1"/>
  <c r="L35" i="16"/>
  <c r="L35" i="19" s="1"/>
  <c r="L22" i="16"/>
  <c r="L22" i="19" s="1"/>
  <c r="L9" i="16"/>
  <c r="L9" i="19" s="1"/>
  <c r="B42" i="19"/>
  <c r="L49" i="16"/>
  <c r="L49" i="19" s="1"/>
  <c r="L69" i="16"/>
  <c r="L69" i="19" s="1"/>
  <c r="L56" i="16"/>
  <c r="L56" i="19" s="1"/>
  <c r="L43" i="16"/>
  <c r="L43" i="19" s="1"/>
  <c r="L36" i="16"/>
  <c r="L36" i="19" s="1"/>
  <c r="L23" i="16"/>
  <c r="L23" i="19" s="1"/>
  <c r="L10" i="16"/>
  <c r="L10" i="19" s="1"/>
  <c r="L37" i="16"/>
  <c r="L37" i="19" s="1"/>
  <c r="B151" i="19"/>
  <c r="B55" i="19"/>
  <c r="L57" i="19"/>
  <c r="L50" i="16"/>
  <c r="L50" i="19" s="1"/>
  <c r="L44" i="16"/>
  <c r="L44" i="19" s="1"/>
  <c r="L24" i="16"/>
  <c r="L24" i="19" s="1"/>
  <c r="L11" i="16"/>
  <c r="L11" i="19" s="1"/>
  <c r="O107" i="19"/>
  <c r="L191" i="9"/>
  <c r="L179" i="9"/>
  <c r="L167" i="9"/>
  <c r="L155" i="9"/>
  <c r="L143" i="9"/>
  <c r="L131" i="9"/>
  <c r="L119" i="9"/>
  <c r="L83" i="9"/>
  <c r="L71" i="9"/>
  <c r="L59" i="9"/>
  <c r="L3" i="13"/>
  <c r="L27" i="10"/>
  <c r="L27" i="13"/>
  <c r="L21" i="13"/>
  <c r="L15" i="13"/>
  <c r="L9" i="13"/>
  <c r="L20" i="7"/>
  <c r="L8" i="7"/>
  <c r="L25" i="10"/>
  <c r="L19" i="10"/>
  <c r="L13" i="10"/>
  <c r="L7" i="10"/>
  <c r="L3" i="7"/>
  <c r="Y3" i="7" s="1"/>
  <c r="L21" i="10"/>
  <c r="L15" i="10"/>
  <c r="L9" i="10"/>
  <c r="L28" i="13"/>
  <c r="L15" i="7"/>
  <c r="L16" i="7"/>
  <c r="L10" i="7"/>
  <c r="L22" i="7"/>
  <c r="L28" i="7"/>
  <c r="L4" i="7"/>
  <c r="L8" i="13"/>
  <c r="L22" i="13"/>
  <c r="L28" i="1"/>
  <c r="L20" i="10"/>
  <c r="L16" i="13"/>
  <c r="L10" i="13"/>
  <c r="L4" i="13"/>
  <c r="L26" i="13"/>
  <c r="L20" i="13"/>
  <c r="L14" i="13"/>
  <c r="L26" i="7"/>
  <c r="L4" i="10"/>
  <c r="L12" i="7"/>
  <c r="L5" i="7"/>
  <c r="L24" i="13"/>
  <c r="L7" i="13"/>
  <c r="L17" i="4"/>
  <c r="L5" i="4"/>
  <c r="L11" i="7"/>
  <c r="L10" i="10"/>
  <c r="L13" i="13"/>
  <c r="L23" i="7"/>
  <c r="L18" i="13"/>
  <c r="L12" i="13"/>
  <c r="L19" i="13"/>
  <c r="L17" i="7"/>
  <c r="L22" i="10"/>
  <c r="L29" i="7"/>
  <c r="L28" i="10"/>
  <c r="L25" i="13"/>
  <c r="L16" i="10"/>
  <c r="L6" i="13"/>
  <c r="L29" i="13"/>
  <c r="L23" i="13"/>
  <c r="L17" i="13"/>
  <c r="L11" i="13"/>
  <c r="L24" i="7"/>
  <c r="L18" i="7"/>
  <c r="L6" i="7"/>
  <c r="L29" i="10"/>
  <c r="L23" i="10"/>
  <c r="L17" i="10"/>
  <c r="L11" i="10"/>
  <c r="L5" i="10"/>
  <c r="L24" i="10"/>
  <c r="L18" i="10"/>
  <c r="L12" i="10"/>
  <c r="L6" i="10"/>
  <c r="L3" i="10"/>
  <c r="L14" i="10"/>
  <c r="L5" i="13"/>
  <c r="L12" i="4"/>
  <c r="L6" i="4"/>
  <c r="L8" i="4"/>
  <c r="L24" i="8"/>
  <c r="L18" i="8"/>
  <c r="L12" i="8"/>
  <c r="L35" i="5"/>
  <c r="L28" i="14"/>
  <c r="L22" i="14"/>
  <c r="L16" i="14"/>
  <c r="L10" i="14"/>
  <c r="L4" i="14"/>
  <c r="L12" i="11"/>
  <c r="L34" i="11"/>
  <c r="L9" i="14"/>
  <c r="L33" i="5"/>
  <c r="L31" i="8"/>
  <c r="L19" i="8"/>
  <c r="L7" i="8"/>
  <c r="L16" i="11"/>
  <c r="L32" i="5"/>
  <c r="L12" i="5"/>
  <c r="L3" i="11"/>
  <c r="L20" i="14"/>
  <c r="L14" i="14"/>
  <c r="L27" i="5"/>
  <c r="L8" i="11"/>
  <c r="L32" i="14"/>
  <c r="L26" i="14"/>
  <c r="L8" i="14"/>
  <c r="L21" i="11"/>
  <c r="L33" i="14"/>
  <c r="L20" i="5"/>
  <c r="L3" i="14"/>
  <c r="L6" i="8"/>
  <c r="L27" i="14"/>
  <c r="L21" i="14"/>
  <c r="L15" i="14"/>
  <c r="L26" i="11"/>
  <c r="L13" i="8"/>
  <c r="L31" i="14"/>
  <c r="L33" i="11"/>
  <c r="L25" i="8"/>
  <c r="L25" i="14"/>
  <c r="L15" i="8"/>
  <c r="L37" i="8"/>
  <c r="L13" i="14"/>
  <c r="L32" i="11"/>
  <c r="L19" i="14"/>
  <c r="L14" i="11"/>
  <c r="L7" i="14"/>
  <c r="L20" i="11"/>
  <c r="L37" i="14"/>
  <c r="L35" i="11"/>
  <c r="L29" i="11"/>
  <c r="L26" i="2"/>
  <c r="L14" i="2"/>
  <c r="L21" i="5"/>
  <c r="L18" i="5"/>
  <c r="L33" i="8"/>
  <c r="L28" i="11"/>
  <c r="L10" i="11"/>
  <c r="L11" i="11"/>
  <c r="L4" i="11"/>
  <c r="L23" i="11"/>
  <c r="L17" i="11"/>
  <c r="L22" i="11"/>
  <c r="L32" i="8"/>
  <c r="L36" i="11"/>
  <c r="L30" i="11"/>
  <c r="L24" i="11"/>
  <c r="L18" i="11"/>
  <c r="L6" i="11"/>
  <c r="L37" i="11"/>
  <c r="L31" i="11"/>
  <c r="L25" i="11"/>
  <c r="L19" i="11"/>
  <c r="L13" i="11"/>
  <c r="L7" i="11"/>
  <c r="L12" i="14"/>
  <c r="L15" i="5"/>
  <c r="L17" i="8"/>
  <c r="L5" i="8"/>
  <c r="L27" i="11"/>
  <c r="L15" i="11"/>
  <c r="L28" i="8"/>
  <c r="L17" i="14"/>
  <c r="L35" i="8"/>
  <c r="L29" i="8"/>
  <c r="L23" i="8"/>
  <c r="L29" i="14"/>
  <c r="L34" i="8"/>
  <c r="L23" i="14"/>
  <c r="L22" i="8"/>
  <c r="L11" i="14"/>
  <c r="L9" i="11"/>
  <c r="L16" i="8"/>
  <c r="L35" i="14"/>
  <c r="L5" i="14"/>
  <c r="L24" i="5"/>
  <c r="L20" i="8"/>
  <c r="L25" i="5"/>
  <c r="L13" i="5"/>
  <c r="L36" i="14"/>
  <c r="L30" i="14"/>
  <c r="L24" i="14"/>
  <c r="L18" i="14"/>
  <c r="L6" i="14"/>
  <c r="L8" i="8"/>
  <c r="L27" i="8"/>
  <c r="L21" i="8"/>
  <c r="L9" i="8"/>
  <c r="L3" i="8"/>
  <c r="L19" i="5"/>
  <c r="L10" i="8"/>
  <c r="L4" i="8"/>
  <c r="L26" i="8"/>
  <c r="L11" i="8"/>
  <c r="L14" i="8"/>
  <c r="L36" i="8"/>
  <c r="L30" i="8"/>
  <c r="L5" i="11"/>
  <c r="L26" i="5"/>
  <c r="L14" i="5"/>
  <c r="L56" i="6"/>
  <c r="L44" i="6"/>
  <c r="L38" i="6"/>
  <c r="L20" i="6"/>
  <c r="L10" i="6"/>
  <c r="L45" i="6"/>
  <c r="L51" i="6"/>
  <c r="L40" i="6"/>
  <c r="L39" i="6"/>
  <c r="L33" i="6"/>
  <c r="L27" i="6"/>
  <c r="L21" i="6"/>
  <c r="L15" i="6"/>
  <c r="L9" i="6"/>
  <c r="L46" i="6"/>
  <c r="L4" i="6"/>
  <c r="L197" i="3"/>
  <c r="L173" i="3"/>
  <c r="L149" i="3"/>
  <c r="L137" i="3"/>
  <c r="L113" i="3"/>
  <c r="L77" i="3"/>
  <c r="L65" i="3"/>
  <c r="L41" i="3"/>
  <c r="L17" i="3"/>
  <c r="L185" i="3"/>
  <c r="L161" i="3"/>
  <c r="L125" i="3"/>
  <c r="L101" i="3"/>
  <c r="L89" i="3"/>
  <c r="L53" i="3"/>
  <c r="L29" i="3"/>
  <c r="L5" i="3"/>
  <c r="L52" i="6"/>
  <c r="L22" i="6"/>
  <c r="L16" i="6"/>
  <c r="L28" i="6"/>
  <c r="L34" i="6"/>
  <c r="L119" i="3"/>
  <c r="L198" i="3"/>
  <c r="L186" i="3"/>
  <c r="L174" i="3"/>
  <c r="L162" i="3"/>
  <c r="L150" i="3"/>
  <c r="L138" i="3"/>
  <c r="L126" i="3"/>
  <c r="L114" i="3"/>
  <c r="L102" i="3"/>
  <c r="L90" i="3"/>
  <c r="L78" i="3"/>
  <c r="L66" i="3"/>
  <c r="L54" i="3"/>
  <c r="L42" i="3"/>
  <c r="L30" i="3"/>
  <c r="L18" i="3"/>
  <c r="L6" i="3"/>
  <c r="L107" i="3"/>
  <c r="L95" i="3"/>
  <c r="L83" i="3"/>
  <c r="L71" i="3"/>
  <c r="L59" i="3"/>
  <c r="L47" i="3"/>
  <c r="L35" i="3"/>
  <c r="L23" i="3"/>
  <c r="L11" i="3"/>
  <c r="L32" i="6"/>
  <c r="L55" i="6"/>
  <c r="L37" i="6"/>
  <c r="L50" i="6"/>
  <c r="L26" i="6"/>
  <c r="L167" i="3"/>
  <c r="L155" i="3"/>
  <c r="L143" i="3"/>
  <c r="L131" i="3"/>
  <c r="L191" i="3"/>
  <c r="L179" i="3"/>
  <c r="L25" i="6"/>
  <c r="L49" i="6"/>
  <c r="L43" i="6"/>
  <c r="L31" i="6"/>
  <c r="L19" i="6"/>
  <c r="L13" i="6"/>
  <c r="L14" i="6"/>
  <c r="L8" i="6"/>
  <c r="L3" i="3"/>
  <c r="L189" i="3"/>
  <c r="L177" i="3"/>
  <c r="L165" i="3"/>
  <c r="L153" i="3"/>
  <c r="L141" i="3"/>
  <c r="L129" i="3"/>
  <c r="L117" i="3"/>
  <c r="L105" i="3"/>
  <c r="L93" i="3"/>
  <c r="L81" i="3"/>
  <c r="L69" i="3"/>
  <c r="L57" i="3"/>
  <c r="L45" i="3"/>
  <c r="L33" i="3"/>
  <c r="L21" i="3"/>
  <c r="L9" i="3"/>
  <c r="L7" i="6"/>
  <c r="L200" i="3"/>
  <c r="L188" i="3"/>
  <c r="L176" i="3"/>
  <c r="L164" i="3"/>
  <c r="L152" i="3"/>
  <c r="L140" i="3"/>
  <c r="L128" i="3"/>
  <c r="L116" i="3"/>
  <c r="L104" i="3"/>
  <c r="L92" i="3"/>
  <c r="L80" i="3"/>
  <c r="L68" i="3"/>
  <c r="L56" i="3"/>
  <c r="L44" i="3"/>
  <c r="L32" i="3"/>
  <c r="L20" i="3"/>
  <c r="L8" i="3"/>
  <c r="L199" i="3"/>
  <c r="L187" i="3"/>
  <c r="L175" i="3"/>
  <c r="L163" i="3"/>
  <c r="L151" i="3"/>
  <c r="L139" i="3"/>
  <c r="L127" i="3"/>
  <c r="L115" i="3"/>
  <c r="L103" i="3"/>
  <c r="L91" i="3"/>
  <c r="L79" i="3"/>
  <c r="L67" i="3"/>
  <c r="L55" i="3"/>
  <c r="L43" i="3"/>
  <c r="L31" i="3"/>
  <c r="L19" i="3"/>
  <c r="L7" i="3"/>
  <c r="L30" i="6"/>
  <c r="L18" i="6"/>
  <c r="L42" i="6"/>
  <c r="L12" i="6"/>
  <c r="L6" i="6"/>
  <c r="L194" i="3"/>
  <c r="L182" i="3"/>
  <c r="L170" i="3"/>
  <c r="L158" i="3"/>
  <c r="L146" i="3"/>
  <c r="L134" i="3"/>
  <c r="L122" i="3"/>
  <c r="L110" i="3"/>
  <c r="L98" i="3"/>
  <c r="L86" i="3"/>
  <c r="L74" i="3"/>
  <c r="L62" i="3"/>
  <c r="L50" i="3"/>
  <c r="L38" i="3"/>
  <c r="L26" i="3"/>
  <c r="L14" i="3"/>
  <c r="L24" i="6"/>
  <c r="L193" i="3"/>
  <c r="L181" i="3"/>
  <c r="L169" i="3"/>
  <c r="L157" i="3"/>
  <c r="L145" i="3"/>
  <c r="L133" i="3"/>
  <c r="L121" i="3"/>
  <c r="L109" i="3"/>
  <c r="L97" i="3"/>
  <c r="L85" i="3"/>
  <c r="L73" i="3"/>
  <c r="L61" i="3"/>
  <c r="L49" i="3"/>
  <c r="L37" i="3"/>
  <c r="L25" i="3"/>
  <c r="L13" i="3"/>
  <c r="L54" i="6"/>
  <c r="L192" i="3"/>
  <c r="L180" i="3"/>
  <c r="L168" i="3"/>
  <c r="L156" i="3"/>
  <c r="L144" i="3"/>
  <c r="L132" i="3"/>
  <c r="L120" i="3"/>
  <c r="L108" i="3"/>
  <c r="L96" i="3"/>
  <c r="L84" i="3"/>
  <c r="L72" i="3"/>
  <c r="L60" i="3"/>
  <c r="L48" i="3"/>
  <c r="L36" i="3"/>
  <c r="L24" i="3"/>
  <c r="L12" i="3"/>
  <c r="L36" i="6"/>
  <c r="L48" i="6"/>
  <c r="L5" i="6"/>
  <c r="L53" i="6"/>
  <c r="L196" i="3"/>
  <c r="L184" i="3"/>
  <c r="L172" i="3"/>
  <c r="L160" i="3"/>
  <c r="L148" i="3"/>
  <c r="L136" i="3"/>
  <c r="L124" i="3"/>
  <c r="L112" i="3"/>
  <c r="L100" i="3"/>
  <c r="L88" i="3"/>
  <c r="L76" i="3"/>
  <c r="L64" i="3"/>
  <c r="L52" i="3"/>
  <c r="L40" i="3"/>
  <c r="L28" i="3"/>
  <c r="L16" i="3"/>
  <c r="L4" i="3"/>
  <c r="L23" i="6"/>
  <c r="L195" i="3"/>
  <c r="L183" i="3"/>
  <c r="L171" i="3"/>
  <c r="L159" i="3"/>
  <c r="L147" i="3"/>
  <c r="L135" i="3"/>
  <c r="L123" i="3"/>
  <c r="L111" i="3"/>
  <c r="L99" i="3"/>
  <c r="L87" i="3"/>
  <c r="L75" i="3"/>
  <c r="L63" i="3"/>
  <c r="L51" i="3"/>
  <c r="L39" i="3"/>
  <c r="L27" i="3"/>
  <c r="L15" i="3"/>
  <c r="L11" i="6"/>
  <c r="L29" i="6"/>
  <c r="L47" i="6"/>
  <c r="L41" i="6"/>
  <c r="L35" i="6"/>
  <c r="L17" i="6"/>
  <c r="L190" i="3"/>
  <c r="L178" i="3"/>
  <c r="L166" i="3"/>
  <c r="L154" i="3"/>
  <c r="L142" i="3"/>
  <c r="L130" i="3"/>
  <c r="L118" i="3"/>
  <c r="L106" i="3"/>
  <c r="L94" i="3"/>
  <c r="L82" i="3"/>
  <c r="L70" i="3"/>
  <c r="L58" i="3"/>
  <c r="L46" i="3"/>
  <c r="L34" i="3"/>
  <c r="L22" i="3"/>
  <c r="L10" i="3"/>
  <c r="L9" i="5"/>
  <c r="L8" i="5"/>
  <c r="L28" i="2"/>
  <c r="L16" i="2"/>
  <c r="L6" i="5"/>
  <c r="L7" i="5"/>
  <c r="L25" i="2"/>
  <c r="L13" i="2"/>
  <c r="L24" i="2"/>
  <c r="L12" i="2"/>
  <c r="L4" i="2"/>
  <c r="L30" i="5"/>
  <c r="L8" i="2"/>
  <c r="L20" i="2"/>
  <c r="L3" i="2"/>
  <c r="L31" i="5"/>
  <c r="L5" i="2"/>
  <c r="L29" i="2"/>
  <c r="L17" i="2"/>
  <c r="L27" i="2"/>
  <c r="L15" i="2"/>
  <c r="L32" i="2"/>
  <c r="L28" i="5"/>
  <c r="L10" i="5"/>
  <c r="L4" i="5"/>
  <c r="L31" i="2"/>
  <c r="L5" i="5"/>
  <c r="L30" i="2"/>
  <c r="L19" i="2"/>
  <c r="L7" i="2"/>
  <c r="L18" i="2"/>
  <c r="L6" i="2"/>
  <c r="L23" i="2"/>
  <c r="L11" i="2"/>
  <c r="L37" i="2"/>
  <c r="L36" i="2"/>
  <c r="L35" i="2"/>
  <c r="L29" i="5"/>
  <c r="L23" i="5"/>
  <c r="L17" i="5"/>
  <c r="L11" i="5"/>
  <c r="L34" i="2"/>
  <c r="L34" i="5"/>
  <c r="L33" i="2"/>
  <c r="L10" i="2"/>
  <c r="L22" i="2"/>
  <c r="L21" i="2"/>
  <c r="L9" i="2"/>
  <c r="L16" i="5"/>
  <c r="L22" i="5"/>
  <c r="L14" i="4"/>
  <c r="L3" i="4"/>
  <c r="L27" i="1"/>
  <c r="L26" i="1"/>
  <c r="L24" i="4"/>
  <c r="L21" i="4"/>
  <c r="L9" i="4"/>
  <c r="L20" i="4"/>
  <c r="L10" i="4"/>
  <c r="L22" i="4"/>
  <c r="L16" i="4"/>
  <c r="L7" i="4"/>
  <c r="L18" i="4"/>
  <c r="L19" i="4"/>
  <c r="L4" i="4"/>
  <c r="L18" i="1"/>
  <c r="L6" i="1"/>
  <c r="L15" i="4"/>
  <c r="L17" i="1"/>
  <c r="L16" i="1"/>
  <c r="L25" i="4"/>
  <c r="L13" i="4"/>
  <c r="L3" i="1"/>
  <c r="L19" i="1"/>
  <c r="L7" i="1"/>
  <c r="L5" i="1"/>
  <c r="L4" i="1"/>
  <c r="L15" i="1"/>
  <c r="L14" i="1"/>
  <c r="L25" i="1"/>
  <c r="L13" i="1"/>
  <c r="L24" i="1"/>
  <c r="L12" i="1"/>
  <c r="L23" i="1"/>
  <c r="L11" i="1"/>
  <c r="L22" i="1"/>
  <c r="L10" i="1"/>
  <c r="L21" i="1"/>
  <c r="L9" i="1"/>
  <c r="L20" i="1"/>
  <c r="L8" i="1"/>
  <c r="L3" i="5"/>
  <c r="L23" i="4"/>
  <c r="L11" i="4"/>
  <c r="L26" i="4"/>
  <c r="B45" i="11" l="1"/>
  <c r="B44" i="11"/>
  <c r="AG528" i="19"/>
  <c r="AG546" i="19"/>
  <c r="AG534" i="19"/>
  <c r="AG494" i="19"/>
  <c r="AG538" i="19"/>
  <c r="AG497" i="19"/>
  <c r="AG566" i="19"/>
  <c r="AG540" i="19"/>
  <c r="AG558" i="19"/>
  <c r="AG548" i="19"/>
  <c r="AG508" i="19"/>
  <c r="AG499" i="19"/>
  <c r="AG545" i="19"/>
  <c r="AG519" i="19"/>
  <c r="AG507" i="19"/>
  <c r="AG562" i="19"/>
  <c r="AG510" i="19"/>
  <c r="AG565" i="19"/>
  <c r="AG544" i="19"/>
  <c r="AG511" i="19"/>
  <c r="AG503" i="19"/>
  <c r="AG560" i="19"/>
  <c r="AG574" i="19"/>
  <c r="AG552" i="19"/>
  <c r="AG542" i="19"/>
  <c r="AG523" i="19"/>
  <c r="AG518" i="19"/>
  <c r="AG572" i="19"/>
  <c r="AG500" i="19"/>
  <c r="AG564" i="19"/>
  <c r="AG554" i="19"/>
  <c r="AG535" i="19"/>
  <c r="AG532" i="19"/>
  <c r="AG493" i="19"/>
  <c r="AG579" i="19"/>
  <c r="AG576" i="19"/>
  <c r="AG578" i="19"/>
  <c r="AG537" i="19"/>
  <c r="AG492" i="19"/>
  <c r="AG570" i="19"/>
  <c r="AG521" i="19"/>
  <c r="AG495" i="19"/>
  <c r="AG514" i="19"/>
  <c r="AG501" i="19"/>
  <c r="AG504" i="19"/>
  <c r="AG555" i="19"/>
  <c r="AG536" i="19"/>
  <c r="AG509" i="19"/>
  <c r="AG512" i="19"/>
  <c r="AG515" i="19"/>
  <c r="AG516" i="19"/>
  <c r="AG505" i="19"/>
  <c r="AG549" i="19"/>
  <c r="AG524" i="19"/>
  <c r="AG526" i="19"/>
  <c r="AG530" i="19"/>
  <c r="AG506" i="19"/>
  <c r="AG502" i="19"/>
  <c r="AG533" i="19"/>
  <c r="AG561" i="19"/>
  <c r="AG551" i="19"/>
  <c r="AG541" i="19"/>
  <c r="AG556" i="19"/>
  <c r="AG525" i="19"/>
  <c r="AG517" i="19"/>
  <c r="AG547" i="19"/>
  <c r="AG573" i="19"/>
  <c r="AG563" i="19"/>
  <c r="AG553" i="19"/>
  <c r="AG568" i="19"/>
  <c r="AG531" i="19"/>
  <c r="AG559" i="19"/>
  <c r="AG529" i="19"/>
  <c r="AG575" i="19"/>
  <c r="AG577" i="19"/>
  <c r="AG567" i="19"/>
  <c r="AG557" i="19"/>
  <c r="AG571" i="19"/>
  <c r="AG522" i="19"/>
  <c r="AG496" i="19"/>
  <c r="AG498" i="19"/>
  <c r="AC491" i="19"/>
  <c r="AG491" i="19" s="1"/>
  <c r="AG543" i="19"/>
  <c r="AG520" i="19"/>
  <c r="AG550" i="19"/>
  <c r="AG539" i="19"/>
  <c r="AG527" i="19"/>
  <c r="AG569" i="19"/>
  <c r="AG513" i="19"/>
  <c r="AG581" i="19"/>
  <c r="AG594" i="19"/>
  <c r="AI594" i="19" s="1"/>
  <c r="AG607" i="19"/>
  <c r="AG632" i="19"/>
  <c r="AG657" i="19"/>
  <c r="AG658" i="19"/>
  <c r="AG671" i="19"/>
  <c r="AG591" i="19"/>
  <c r="AG602" i="19"/>
  <c r="AG640" i="19"/>
  <c r="AG605" i="19"/>
  <c r="AI605" i="19" s="1"/>
  <c r="AG618" i="19"/>
  <c r="AG631" i="19"/>
  <c r="AG656" i="19"/>
  <c r="AG681" i="19"/>
  <c r="AG682" i="19"/>
  <c r="AG615" i="19"/>
  <c r="AI615" i="19" s="1"/>
  <c r="AG589" i="19"/>
  <c r="AG626" i="19"/>
  <c r="AG664" i="19"/>
  <c r="AG641" i="19"/>
  <c r="AG654" i="19"/>
  <c r="AG667" i="19"/>
  <c r="AG692" i="19"/>
  <c r="AG675" i="19"/>
  <c r="AG587" i="19"/>
  <c r="AI587" i="19" s="1"/>
  <c r="AG612" i="19"/>
  <c r="AI612" i="19" s="1"/>
  <c r="AG625" i="19"/>
  <c r="AG662" i="19"/>
  <c r="AG651" i="19"/>
  <c r="AG653" i="19"/>
  <c r="AG666" i="19"/>
  <c r="AG679" i="19"/>
  <c r="AG585" i="19"/>
  <c r="AG586" i="19"/>
  <c r="AG599" i="19"/>
  <c r="AI599" i="19" s="1"/>
  <c r="AG624" i="19"/>
  <c r="AI624" i="19" s="1"/>
  <c r="AG637" i="19"/>
  <c r="AG674" i="19"/>
  <c r="AG665" i="19"/>
  <c r="AG678" i="19"/>
  <c r="AG691" i="19"/>
  <c r="AG597" i="19"/>
  <c r="AG598" i="19"/>
  <c r="AG611" i="19"/>
  <c r="AI611" i="19" s="1"/>
  <c r="AG636" i="19"/>
  <c r="AG649" i="19"/>
  <c r="AG686" i="19"/>
  <c r="AG677" i="19"/>
  <c r="AG690" i="19"/>
  <c r="AG584" i="19"/>
  <c r="AG609" i="19"/>
  <c r="AG610" i="19"/>
  <c r="AG623" i="19"/>
  <c r="AI623" i="19" s="1"/>
  <c r="AG648" i="19"/>
  <c r="AG661" i="19"/>
  <c r="AG592" i="19"/>
  <c r="AC580" i="19"/>
  <c r="AG580" i="19" s="1"/>
  <c r="AG582" i="19"/>
  <c r="AG595" i="19"/>
  <c r="AI595" i="19" s="1"/>
  <c r="AG620" i="19"/>
  <c r="AG645" i="19"/>
  <c r="AG646" i="19"/>
  <c r="AG659" i="19"/>
  <c r="AG684" i="19"/>
  <c r="AG590" i="19"/>
  <c r="AI590" i="19" s="1"/>
  <c r="AG628" i="19"/>
  <c r="AG619" i="19"/>
  <c r="AI619" i="19" s="1"/>
  <c r="AG603" i="19"/>
  <c r="AI603" i="19" s="1"/>
  <c r="AG672" i="19"/>
  <c r="AG676" i="19"/>
  <c r="AG616" i="19"/>
  <c r="AI616" i="19" s="1"/>
  <c r="AG643" i="19"/>
  <c r="AG622" i="19"/>
  <c r="AG687" i="19"/>
  <c r="AG688" i="19"/>
  <c r="AG593" i="19"/>
  <c r="AG655" i="19"/>
  <c r="AG634" i="19"/>
  <c r="AG601" i="19"/>
  <c r="AG617" i="19"/>
  <c r="AG596" i="19"/>
  <c r="AG670" i="19"/>
  <c r="AG613" i="19"/>
  <c r="AG669" i="19"/>
  <c r="AG629" i="19"/>
  <c r="AG608" i="19"/>
  <c r="AG694" i="19"/>
  <c r="AG673" i="19"/>
  <c r="AG689" i="19"/>
  <c r="AG644" i="19"/>
  <c r="AG663" i="19"/>
  <c r="AG685" i="19"/>
  <c r="AG627" i="19"/>
  <c r="AG668" i="19"/>
  <c r="AG635" i="19"/>
  <c r="AG614" i="19"/>
  <c r="AG606" i="19"/>
  <c r="AG680" i="19"/>
  <c r="AG647" i="19"/>
  <c r="AG638" i="19"/>
  <c r="AG630" i="19"/>
  <c r="AG621" i="19"/>
  <c r="AG683" i="19"/>
  <c r="AG650" i="19"/>
  <c r="AG600" i="19"/>
  <c r="AG642" i="19"/>
  <c r="AG633" i="19"/>
  <c r="AG588" i="19"/>
  <c r="AI588" i="19" s="1"/>
  <c r="AG604" i="19"/>
  <c r="AG583" i="19"/>
  <c r="AI583" i="19" s="1"/>
  <c r="AG693" i="19"/>
  <c r="AG660" i="19"/>
  <c r="AG652" i="19"/>
  <c r="AG639" i="19"/>
  <c r="Y131" i="19"/>
  <c r="Y131" i="9"/>
  <c r="AG796" i="19"/>
  <c r="AG842" i="19"/>
  <c r="AG865" i="19"/>
  <c r="AG697" i="19"/>
  <c r="AG744" i="19"/>
  <c r="AG803" i="19"/>
  <c r="AG862" i="19"/>
  <c r="AG747" i="19"/>
  <c r="AG729" i="19"/>
  <c r="AG740" i="19"/>
  <c r="AG763" i="19"/>
  <c r="AG822" i="19"/>
  <c r="AG869" i="19"/>
  <c r="AG243" i="19"/>
  <c r="AG226" i="19"/>
  <c r="AI226" i="19" s="1"/>
  <c r="AG273" i="19"/>
  <c r="AI273" i="19" s="1"/>
  <c r="AG218" i="19"/>
  <c r="AI218" i="19" s="1"/>
  <c r="AG263" i="19"/>
  <c r="AI263" i="19" s="1"/>
  <c r="AG455" i="19"/>
  <c r="AG449" i="19"/>
  <c r="AG460" i="19"/>
  <c r="AG821" i="19"/>
  <c r="AG738" i="19"/>
  <c r="AG882" i="19"/>
  <c r="AG799" i="19"/>
  <c r="AG752" i="19"/>
  <c r="AG705" i="19"/>
  <c r="AG849" i="19"/>
  <c r="AG778" i="19"/>
  <c r="AG891" i="19"/>
  <c r="AG839" i="19"/>
  <c r="AG756" i="19"/>
  <c r="AG783" i="19"/>
  <c r="AG817" i="19"/>
  <c r="AG758" i="19"/>
  <c r="AG700" i="19"/>
  <c r="AG737" i="19"/>
  <c r="AG881" i="19"/>
  <c r="AG798" i="19"/>
  <c r="AG715" i="19"/>
  <c r="AG859" i="19"/>
  <c r="AG812" i="19"/>
  <c r="AG765" i="19"/>
  <c r="AG843" i="19"/>
  <c r="AG838" i="19"/>
  <c r="AG755" i="19"/>
  <c r="AG771" i="19"/>
  <c r="AG816" i="19"/>
  <c r="AG733" i="19"/>
  <c r="AG877" i="19"/>
  <c r="AG818" i="19"/>
  <c r="AG235" i="19"/>
  <c r="AI235" i="19" s="1"/>
  <c r="AG239" i="19"/>
  <c r="AG241" i="19"/>
  <c r="AG234" i="19"/>
  <c r="AG220" i="19"/>
  <c r="AI220" i="19" s="1"/>
  <c r="AG231" i="19"/>
  <c r="AI231" i="19" s="1"/>
  <c r="AG269" i="19"/>
  <c r="AI269" i="19" s="1"/>
  <c r="AG224" i="19"/>
  <c r="AI224" i="19" s="1"/>
  <c r="AG228" i="19"/>
  <c r="AI228" i="19" s="1"/>
  <c r="AG230" i="19"/>
  <c r="AI230" i="19" s="1"/>
  <c r="AG214" i="19"/>
  <c r="AI214" i="19" s="1"/>
  <c r="AG280" i="19"/>
  <c r="AI280" i="19" s="1"/>
  <c r="AG233" i="19"/>
  <c r="AI233" i="19" s="1"/>
  <c r="AG439" i="19"/>
  <c r="AG371" i="19"/>
  <c r="AG456" i="19"/>
  <c r="AG426" i="19"/>
  <c r="AG489" i="19"/>
  <c r="AG447" i="19"/>
  <c r="AG394" i="19"/>
  <c r="AG466" i="19"/>
  <c r="AG422" i="19"/>
  <c r="AG382" i="19"/>
  <c r="AG463" i="19"/>
  <c r="AG395" i="19"/>
  <c r="AG480" i="19"/>
  <c r="AG459" i="19"/>
  <c r="AG388" i="19"/>
  <c r="AG477" i="19"/>
  <c r="AG434" i="19"/>
  <c r="AG375" i="19"/>
  <c r="AG454" i="19"/>
  <c r="AG425" i="19"/>
  <c r="AG380" i="19"/>
  <c r="AG372" i="19"/>
  <c r="AG398" i="19"/>
  <c r="AG471" i="19"/>
  <c r="AG446" i="19"/>
  <c r="AG413" i="19"/>
  <c r="AG479" i="19"/>
  <c r="AG436" i="19"/>
  <c r="AG377" i="19"/>
  <c r="AG472" i="19"/>
  <c r="AC368" i="19"/>
  <c r="AG368" i="19" s="1"/>
  <c r="AG392" i="19"/>
  <c r="AG384" i="19"/>
  <c r="AG378" i="19"/>
  <c r="AG387" i="19"/>
  <c r="AG461" i="19"/>
  <c r="AG433" i="19"/>
  <c r="AG424" i="19"/>
  <c r="AG453" i="19"/>
  <c r="AG401" i="19"/>
  <c r="AG486" i="19"/>
  <c r="AG379" i="19"/>
  <c r="AG404" i="19"/>
  <c r="AG396" i="19"/>
  <c r="AG390" i="19"/>
  <c r="AG410" i="19"/>
  <c r="AG476" i="19"/>
  <c r="AG448" i="19"/>
  <c r="AG373" i="19"/>
  <c r="AG467" i="19"/>
  <c r="AG423" i="19"/>
  <c r="AG381" i="19"/>
  <c r="AG391" i="19"/>
  <c r="AG416" i="19"/>
  <c r="AG408" i="19"/>
  <c r="AG402" i="19"/>
  <c r="AG429" i="19"/>
  <c r="AG490" i="19"/>
  <c r="AG464" i="19"/>
  <c r="AG397" i="19"/>
  <c r="AG482" i="19"/>
  <c r="AG438" i="19"/>
  <c r="AG485" i="19"/>
  <c r="AG427" i="19"/>
  <c r="AG452" i="19"/>
  <c r="AG444" i="19"/>
  <c r="AG409" i="19"/>
  <c r="AG474" i="19"/>
  <c r="AG431" i="19"/>
  <c r="AG370" i="19"/>
  <c r="AG450" i="19"/>
  <c r="AG400" i="19"/>
  <c r="AG484" i="19"/>
  <c r="AG906" i="19"/>
  <c r="AI906" i="19" s="1"/>
  <c r="AG943" i="19"/>
  <c r="AI943" i="19" s="1"/>
  <c r="AG897" i="19"/>
  <c r="AI897" i="19" s="1"/>
  <c r="AG934" i="19"/>
  <c r="AI934" i="19" s="1"/>
  <c r="AG971" i="19"/>
  <c r="AG901" i="19"/>
  <c r="AI901" i="19" s="1"/>
  <c r="AG950" i="19"/>
  <c r="AI950" i="19" s="1"/>
  <c r="AG987" i="19"/>
  <c r="AI987" i="19" s="1"/>
  <c r="AG929" i="19"/>
  <c r="AI929" i="19" s="1"/>
  <c r="AG966" i="19"/>
  <c r="AI966" i="19" s="1"/>
  <c r="AG908" i="19"/>
  <c r="AI908" i="19" s="1"/>
  <c r="AG957" i="19"/>
  <c r="AI957" i="19" s="1"/>
  <c r="AG963" i="19"/>
  <c r="AI963" i="19" s="1"/>
  <c r="AG924" i="19"/>
  <c r="AI924" i="19" s="1"/>
  <c r="AG961" i="19"/>
  <c r="AI961" i="19" s="1"/>
  <c r="AG916" i="19"/>
  <c r="AI916" i="19" s="1"/>
  <c r="AG151" i="19"/>
  <c r="AG131" i="19"/>
  <c r="AG133" i="19"/>
  <c r="AG138" i="19"/>
  <c r="AG111" i="19"/>
  <c r="AG147" i="19"/>
  <c r="AG128" i="19"/>
  <c r="AG120" i="19"/>
  <c r="AG122" i="19"/>
  <c r="AG101" i="19"/>
  <c r="AG141" i="19"/>
  <c r="AG123" i="19"/>
  <c r="Y112" i="9"/>
  <c r="Y112" i="19"/>
  <c r="Y155" i="19"/>
  <c r="Y155" i="9"/>
  <c r="AG772" i="19"/>
  <c r="AG806" i="19"/>
  <c r="AG841" i="19"/>
  <c r="AG888" i="19"/>
  <c r="AG720" i="19"/>
  <c r="AG779" i="19"/>
  <c r="AG826" i="19"/>
  <c r="AG873" i="19"/>
  <c r="AG884" i="19"/>
  <c r="AG716" i="19"/>
  <c r="AG739" i="19"/>
  <c r="AG786" i="19"/>
  <c r="AG845" i="19"/>
  <c r="AG267" i="19"/>
  <c r="AI267" i="19" s="1"/>
  <c r="AG255" i="19"/>
  <c r="AI255" i="19" s="1"/>
  <c r="AG282" i="19"/>
  <c r="AI282" i="19" s="1"/>
  <c r="AG265" i="19"/>
  <c r="AI265" i="19" s="1"/>
  <c r="AG227" i="19"/>
  <c r="AI227" i="19" s="1"/>
  <c r="AC207" i="19"/>
  <c r="AG207" i="19" s="1"/>
  <c r="AI207" i="19" s="1"/>
  <c r="AG469" i="19"/>
  <c r="AG441" i="19"/>
  <c r="AG488" i="19"/>
  <c r="AG383" i="19"/>
  <c r="AC3" i="19" a="1"/>
  <c r="Y167" i="19"/>
  <c r="Y167" i="9"/>
  <c r="AG807" i="19"/>
  <c r="AG760" i="19"/>
  <c r="AG794" i="19"/>
  <c r="AG829" i="19"/>
  <c r="AG876" i="19"/>
  <c r="AG708" i="19"/>
  <c r="AG767" i="19"/>
  <c r="AG814" i="19"/>
  <c r="AG861" i="19"/>
  <c r="AG872" i="19"/>
  <c r="AG704" i="19"/>
  <c r="AG727" i="19"/>
  <c r="AG774" i="19"/>
  <c r="AG833" i="19"/>
  <c r="AG237" i="19"/>
  <c r="AG225" i="19"/>
  <c r="AI225" i="19" s="1"/>
  <c r="AG270" i="19"/>
  <c r="AG253" i="19"/>
  <c r="AI253" i="19" s="1"/>
  <c r="AG215" i="19"/>
  <c r="AI215" i="19" s="1"/>
  <c r="AG437" i="19"/>
  <c r="AG478" i="19"/>
  <c r="AG473" i="19"/>
  <c r="AG440" i="19"/>
  <c r="Y127" i="19"/>
  <c r="Y127" i="9"/>
  <c r="AG723" i="19"/>
  <c r="AG748" i="19"/>
  <c r="AG782" i="19"/>
  <c r="AG864" i="19"/>
  <c r="AG696" i="19"/>
  <c r="AG743" i="19"/>
  <c r="AG802" i="19"/>
  <c r="AG837" i="19"/>
  <c r="AG860" i="19"/>
  <c r="AG883" i="19"/>
  <c r="AG703" i="19"/>
  <c r="AG762" i="19"/>
  <c r="AG809" i="19"/>
  <c r="AG208" i="19"/>
  <c r="AI208" i="19" s="1"/>
  <c r="AG250" i="19"/>
  <c r="AI250" i="19" s="1"/>
  <c r="AG258" i="19"/>
  <c r="AI258" i="19" s="1"/>
  <c r="AG229" i="19"/>
  <c r="AI229" i="19" s="1"/>
  <c r="AG272" i="19"/>
  <c r="AI272" i="19" s="1"/>
  <c r="AG376" i="19"/>
  <c r="AG393" i="19"/>
  <c r="AG443" i="19"/>
  <c r="AG428" i="19"/>
  <c r="Y74" i="19"/>
  <c r="Y74" i="9"/>
  <c r="Y191" i="19"/>
  <c r="Y191" i="9"/>
  <c r="AG880" i="19"/>
  <c r="AG770" i="19"/>
  <c r="AG793" i="19"/>
  <c r="AG852" i="19"/>
  <c r="AG855" i="19"/>
  <c r="AG731" i="19"/>
  <c r="AG790" i="19"/>
  <c r="AG825" i="19"/>
  <c r="AG848" i="19"/>
  <c r="AG871" i="19"/>
  <c r="AG867" i="19"/>
  <c r="AG750" i="19"/>
  <c r="AG797" i="19"/>
  <c r="AG262" i="19"/>
  <c r="AI262" i="19" s="1"/>
  <c r="AG221" i="19"/>
  <c r="AG246" i="19"/>
  <c r="AI246" i="19" s="1"/>
  <c r="AG217" i="19"/>
  <c r="AI217" i="19" s="1"/>
  <c r="AG260" i="19"/>
  <c r="AI260" i="19" s="1"/>
  <c r="AG405" i="19"/>
  <c r="AG369" i="19"/>
  <c r="AG385" i="19"/>
  <c r="AG487" i="19"/>
  <c r="Y143" i="19"/>
  <c r="Y143" i="9"/>
  <c r="Y179" i="19"/>
  <c r="Y179" i="9"/>
  <c r="AG805" i="19"/>
  <c r="AG736" i="19"/>
  <c r="AG868" i="19"/>
  <c r="AG724" i="19"/>
  <c r="AG746" i="19"/>
  <c r="AG781" i="19"/>
  <c r="AG840" i="19"/>
  <c r="AG887" i="19"/>
  <c r="AG719" i="19"/>
  <c r="AG766" i="19"/>
  <c r="AG813" i="19"/>
  <c r="AG836" i="19"/>
  <c r="AG847" i="19"/>
  <c r="AG795" i="19"/>
  <c r="AG726" i="19"/>
  <c r="AG785" i="19"/>
  <c r="AG209" i="19"/>
  <c r="AI209" i="19" s="1"/>
  <c r="AG279" i="19"/>
  <c r="AI279" i="19" s="1"/>
  <c r="AG222" i="19"/>
  <c r="AI222" i="19" s="1"/>
  <c r="AG276" i="19"/>
  <c r="AG248" i="19"/>
  <c r="AI248" i="19" s="1"/>
  <c r="AG421" i="19"/>
  <c r="AG462" i="19"/>
  <c r="AG414" i="19"/>
  <c r="AG475" i="19"/>
  <c r="AG712" i="19"/>
  <c r="AG734" i="19"/>
  <c r="AG769" i="19"/>
  <c r="AG828" i="19"/>
  <c r="AG875" i="19"/>
  <c r="AG707" i="19"/>
  <c r="AG801" i="19"/>
  <c r="AG824" i="19"/>
  <c r="AG835" i="19"/>
  <c r="AG711" i="19"/>
  <c r="AG714" i="19"/>
  <c r="AG773" i="19"/>
  <c r="AG261" i="19"/>
  <c r="AI261" i="19" s="1"/>
  <c r="AG249" i="19"/>
  <c r="AI249" i="19" s="1"/>
  <c r="AG210" i="19"/>
  <c r="AI210" i="19" s="1"/>
  <c r="AG264" i="19"/>
  <c r="AI264" i="19" s="1"/>
  <c r="AG236" i="19"/>
  <c r="AG399" i="19"/>
  <c r="AG412" i="19"/>
  <c r="AG386" i="19"/>
  <c r="AG451" i="19"/>
  <c r="Y118" i="19"/>
  <c r="Y118" i="9"/>
  <c r="Y57" i="9"/>
  <c r="Y57" i="19"/>
  <c r="AG856" i="19"/>
  <c r="Y59" i="19"/>
  <c r="Y59" i="9"/>
  <c r="AG844" i="19"/>
  <c r="AG890" i="19"/>
  <c r="AG722" i="19"/>
  <c r="AG757" i="19"/>
  <c r="AG804" i="19"/>
  <c r="AG863" i="19"/>
  <c r="AG819" i="19"/>
  <c r="AG742" i="19"/>
  <c r="AI742" i="19" s="1"/>
  <c r="AG789" i="19"/>
  <c r="AG800" i="19"/>
  <c r="AG823" i="19"/>
  <c r="AG870" i="19"/>
  <c r="AG702" i="19"/>
  <c r="AG761" i="19"/>
  <c r="AG232" i="19"/>
  <c r="AG268" i="19"/>
  <c r="AI268" i="19" s="1"/>
  <c r="AG278" i="19"/>
  <c r="AI278" i="19" s="1"/>
  <c r="AG252" i="19"/>
  <c r="AI252" i="19" s="1"/>
  <c r="AG212" i="19"/>
  <c r="AI212" i="19" s="1"/>
  <c r="AG458" i="19"/>
  <c r="AG481" i="19"/>
  <c r="AG389" i="19"/>
  <c r="AG374" i="19"/>
  <c r="AG415" i="19"/>
  <c r="Y64" i="19"/>
  <c r="Y64" i="9"/>
  <c r="AG754" i="19"/>
  <c r="Y71" i="19"/>
  <c r="Y71" i="9"/>
  <c r="AG832" i="19"/>
  <c r="AG878" i="19"/>
  <c r="AG710" i="19"/>
  <c r="AG745" i="19"/>
  <c r="AG792" i="19"/>
  <c r="AG851" i="19"/>
  <c r="AG735" i="19"/>
  <c r="AG730" i="19"/>
  <c r="AG777" i="19"/>
  <c r="AG788" i="19"/>
  <c r="AG811" i="19"/>
  <c r="AG858" i="19"/>
  <c r="AG831" i="19"/>
  <c r="AG749" i="19"/>
  <c r="AG257" i="19"/>
  <c r="AI257" i="19" s="1"/>
  <c r="AG274" i="19"/>
  <c r="AI274" i="19" s="1"/>
  <c r="AG266" i="19"/>
  <c r="AI266" i="19" s="1"/>
  <c r="AG240" i="19"/>
  <c r="AI240" i="19" s="1"/>
  <c r="AG271" i="19"/>
  <c r="AI271" i="19" s="1"/>
  <c r="AG442" i="19"/>
  <c r="AG435" i="19"/>
  <c r="AG430" i="19"/>
  <c r="AG468" i="19"/>
  <c r="AG403" i="19"/>
  <c r="Y83" i="19"/>
  <c r="Y83" i="9"/>
  <c r="AG820" i="19"/>
  <c r="AG866" i="19"/>
  <c r="AG698" i="19"/>
  <c r="AG780" i="19"/>
  <c r="AG827" i="19"/>
  <c r="AG886" i="19"/>
  <c r="AG718" i="19"/>
  <c r="AG753" i="19"/>
  <c r="AG776" i="19"/>
  <c r="AG787" i="19"/>
  <c r="AG846" i="19"/>
  <c r="AG759" i="19"/>
  <c r="AG725" i="19"/>
  <c r="AG238" i="19"/>
  <c r="AG245" i="19"/>
  <c r="AI245" i="19" s="1"/>
  <c r="AG254" i="19"/>
  <c r="AI254" i="19" s="1"/>
  <c r="AG216" i="19"/>
  <c r="AI216" i="19" s="1"/>
  <c r="AG259" i="19"/>
  <c r="AI259" i="19" s="1"/>
  <c r="AG406" i="19"/>
  <c r="AG418" i="19"/>
  <c r="AG411" i="19"/>
  <c r="AG432" i="19"/>
  <c r="Y139" i="19"/>
  <c r="Y139" i="9"/>
  <c r="Y107" i="19"/>
  <c r="Y107" i="9"/>
  <c r="Y75" i="19"/>
  <c r="Y75" i="9"/>
  <c r="AG319" i="19"/>
  <c r="AG287" i="19"/>
  <c r="AG348" i="19"/>
  <c r="AI348" i="19" s="1"/>
  <c r="AG326" i="19"/>
  <c r="AI326" i="19" s="1"/>
  <c r="AG329" i="19"/>
  <c r="AG343" i="19"/>
  <c r="AI343" i="19" s="1"/>
  <c r="AG311" i="19"/>
  <c r="AG289" i="19"/>
  <c r="AG350" i="19"/>
  <c r="AG327" i="19"/>
  <c r="AG297" i="19"/>
  <c r="AI297" i="19" s="1"/>
  <c r="AG284" i="19"/>
  <c r="AG347" i="19"/>
  <c r="AI347" i="19" s="1"/>
  <c r="AG325" i="19"/>
  <c r="AG306" i="19"/>
  <c r="AG296" i="19"/>
  <c r="AI296" i="19" s="1"/>
  <c r="AG359" i="19"/>
  <c r="AG337" i="19"/>
  <c r="AI337" i="19" s="1"/>
  <c r="AG318" i="19"/>
  <c r="AG305" i="19"/>
  <c r="AG286" i="19"/>
  <c r="AI286" i="19" s="1"/>
  <c r="AG352" i="19"/>
  <c r="AG308" i="19"/>
  <c r="AI308" i="19" s="1"/>
  <c r="AG288" i="19"/>
  <c r="AI288" i="19" s="1"/>
  <c r="AG349" i="19"/>
  <c r="AG330" i="19"/>
  <c r="AG334" i="19"/>
  <c r="AG316" i="19"/>
  <c r="AI316" i="19" s="1"/>
  <c r="AG298" i="19"/>
  <c r="AI298" i="19" s="1"/>
  <c r="AG320" i="19"/>
  <c r="AG300" i="19"/>
  <c r="AI300" i="19" s="1"/>
  <c r="AG361" i="19"/>
  <c r="AI361" i="19" s="1"/>
  <c r="AG342" i="19"/>
  <c r="AG364" i="19"/>
  <c r="AG345" i="19"/>
  <c r="AG307" i="19"/>
  <c r="AG356" i="19"/>
  <c r="AG336" i="19"/>
  <c r="AI336" i="19" s="1"/>
  <c r="AG314" i="19"/>
  <c r="AI314" i="19" s="1"/>
  <c r="AG303" i="19"/>
  <c r="AI303" i="19" s="1"/>
  <c r="AG365" i="19"/>
  <c r="AI365" i="19" s="1"/>
  <c r="AG317" i="19"/>
  <c r="AI317" i="19" s="1"/>
  <c r="AG179" i="19"/>
  <c r="AI179" i="19" s="1"/>
  <c r="AG205" i="19"/>
  <c r="AI205" i="19" s="1"/>
  <c r="AG160" i="19"/>
  <c r="AI160" i="19" s="1"/>
  <c r="AG173" i="19"/>
  <c r="AI173" i="19" s="1"/>
  <c r="AG199" i="19"/>
  <c r="AI199" i="19" s="1"/>
  <c r="AG180" i="19"/>
  <c r="AI180" i="19" s="1"/>
  <c r="AG206" i="19"/>
  <c r="AI206" i="19" s="1"/>
  <c r="AG195" i="19"/>
  <c r="AI195" i="19" s="1"/>
  <c r="AG183" i="19"/>
  <c r="AI183" i="19" s="1"/>
  <c r="AG721" i="19"/>
  <c r="Y119" i="19"/>
  <c r="Y119" i="9"/>
  <c r="AG808" i="19"/>
  <c r="AG854" i="19"/>
  <c r="AG889" i="19"/>
  <c r="AG709" i="19"/>
  <c r="AG768" i="19"/>
  <c r="AG815" i="19"/>
  <c r="AG874" i="19"/>
  <c r="AG706" i="19"/>
  <c r="AG741" i="19"/>
  <c r="AG764" i="19"/>
  <c r="AG775" i="19"/>
  <c r="AG834" i="19"/>
  <c r="AG699" i="19"/>
  <c r="AG713" i="19"/>
  <c r="AI713" i="19" s="1"/>
  <c r="AG256" i="19"/>
  <c r="AI256" i="19" s="1"/>
  <c r="AG219" i="19"/>
  <c r="AI219" i="19" s="1"/>
  <c r="AG242" i="19"/>
  <c r="AG275" i="19"/>
  <c r="AI275" i="19" s="1"/>
  <c r="AG247" i="19"/>
  <c r="AI247" i="19" s="1"/>
  <c r="AG470" i="19"/>
  <c r="AG465" i="19"/>
  <c r="AG457" i="19"/>
  <c r="AG420" i="19"/>
  <c r="Y65" i="19"/>
  <c r="Y65" i="9"/>
  <c r="Y120" i="19"/>
  <c r="Y120" i="9"/>
  <c r="Y90" i="9"/>
  <c r="Y90" i="19"/>
  <c r="X202" i="9"/>
  <c r="Y23" i="9"/>
  <c r="Y23" i="19"/>
  <c r="Y34" i="9"/>
  <c r="Y34" i="19"/>
  <c r="Y11" i="9"/>
  <c r="Y11" i="19"/>
  <c r="Y16" i="9"/>
  <c r="Y16" i="19"/>
  <c r="Y33" i="9"/>
  <c r="Y33" i="19"/>
  <c r="Y55" i="9"/>
  <c r="Y55" i="19"/>
  <c r="Y60" i="19"/>
  <c r="Y60" i="9"/>
  <c r="Y72" i="19"/>
  <c r="Y72" i="9"/>
  <c r="Y149" i="19"/>
  <c r="Y149" i="9"/>
  <c r="Y150" i="19"/>
  <c r="Y150" i="9"/>
  <c r="Y48" i="9"/>
  <c r="Y48" i="19"/>
  <c r="Y44" i="9"/>
  <c r="Y44" i="19"/>
  <c r="Y29" i="9"/>
  <c r="Y29" i="19"/>
  <c r="Y32" i="9"/>
  <c r="Y32" i="19"/>
  <c r="Y15" i="9"/>
  <c r="Y15" i="19"/>
  <c r="Y51" i="9"/>
  <c r="Y51" i="19"/>
  <c r="Y56" i="9"/>
  <c r="Y56" i="19"/>
  <c r="Y113" i="19"/>
  <c r="Y113" i="9"/>
  <c r="Y80" i="19"/>
  <c r="Y80" i="9"/>
  <c r="Y63" i="19"/>
  <c r="Y63" i="9"/>
  <c r="Y154" i="19"/>
  <c r="Y154" i="9"/>
  <c r="Y62" i="19"/>
  <c r="Y62" i="9"/>
  <c r="Y160" i="19"/>
  <c r="Y160" i="9"/>
  <c r="Y3" i="19"/>
  <c r="Y3" i="9"/>
  <c r="Y52" i="9"/>
  <c r="Y52" i="19"/>
  <c r="Y45" i="9"/>
  <c r="Y45" i="19"/>
  <c r="Y26" i="9"/>
  <c r="Y26" i="19"/>
  <c r="Y25" i="9"/>
  <c r="Y25" i="19"/>
  <c r="Y73" i="19"/>
  <c r="Y73" i="9"/>
  <c r="Y92" i="19"/>
  <c r="Y92" i="9"/>
  <c r="Y159" i="19"/>
  <c r="Y159" i="9"/>
  <c r="Y186" i="19"/>
  <c r="Y186" i="9"/>
  <c r="Y35" i="9"/>
  <c r="Y35" i="19"/>
  <c r="Y46" i="9"/>
  <c r="Y46" i="19"/>
  <c r="Y39" i="9"/>
  <c r="Y39" i="19"/>
  <c r="Y43" i="9"/>
  <c r="Y43" i="19"/>
  <c r="Y78" i="19"/>
  <c r="Y78" i="9"/>
  <c r="Y67" i="19"/>
  <c r="Y67" i="9"/>
  <c r="Y185" i="9"/>
  <c r="Y185" i="19"/>
  <c r="Y196" i="19"/>
  <c r="Y196" i="9"/>
  <c r="Y177" i="19"/>
  <c r="Y177" i="9"/>
  <c r="Y40" i="9"/>
  <c r="Y40" i="19"/>
  <c r="Y31" i="9"/>
  <c r="Y31" i="19"/>
  <c r="Y37" i="9"/>
  <c r="Y37" i="19"/>
  <c r="Y187" i="19"/>
  <c r="Y187" i="9"/>
  <c r="Y97" i="19"/>
  <c r="Y97" i="9"/>
  <c r="Y130" i="9"/>
  <c r="Y130" i="19"/>
  <c r="Y58" i="9"/>
  <c r="Y58" i="19"/>
  <c r="Y190" i="9"/>
  <c r="Y190" i="19"/>
  <c r="Y5" i="9"/>
  <c r="Y5" i="19"/>
  <c r="Y10" i="9"/>
  <c r="Y10" i="19"/>
  <c r="Y96" i="19"/>
  <c r="Y96" i="9"/>
  <c r="Y161" i="19"/>
  <c r="Y161" i="9"/>
  <c r="Y76" i="19"/>
  <c r="Y76" i="9"/>
  <c r="Y195" i="19"/>
  <c r="Y195" i="9"/>
  <c r="Y66" i="19"/>
  <c r="Y66" i="9"/>
  <c r="Y9" i="9"/>
  <c r="Y9" i="19"/>
  <c r="U202" i="9"/>
  <c r="Y61" i="19"/>
  <c r="Y61" i="9"/>
  <c r="Y100" i="19"/>
  <c r="Y100" i="9"/>
  <c r="Y166" i="19"/>
  <c r="Y166" i="9"/>
  <c r="Y68" i="19"/>
  <c r="Y68" i="9"/>
  <c r="Y104" i="19"/>
  <c r="Y104" i="9"/>
  <c r="Y70" i="9"/>
  <c r="Y70" i="19"/>
  <c r="Y69" i="19"/>
  <c r="Y69" i="9"/>
  <c r="Y141" i="19"/>
  <c r="Y141" i="9"/>
  <c r="Y17" i="9"/>
  <c r="Y17" i="19"/>
  <c r="Y22" i="9"/>
  <c r="Y22" i="19"/>
  <c r="Y172" i="19"/>
  <c r="Y172" i="9"/>
  <c r="S202" i="9"/>
  <c r="Y123" i="19"/>
  <c r="Y123" i="9"/>
  <c r="Y99" i="19"/>
  <c r="Y99" i="9"/>
  <c r="Y199" i="19"/>
  <c r="Y199" i="9"/>
  <c r="Y53" i="9"/>
  <c r="Y53" i="19"/>
  <c r="Y21" i="9"/>
  <c r="Y21" i="19"/>
  <c r="Y47" i="9"/>
  <c r="Y47" i="19"/>
  <c r="O202" i="9"/>
  <c r="Y28" i="9"/>
  <c r="Y28" i="19"/>
  <c r="Y7" i="9"/>
  <c r="Y7" i="19"/>
  <c r="Y197" i="9"/>
  <c r="Y197" i="19"/>
  <c r="Y175" i="19"/>
  <c r="Y175" i="9"/>
  <c r="Y136" i="19"/>
  <c r="Y136" i="9"/>
  <c r="Y114" i="19"/>
  <c r="Y114" i="9"/>
  <c r="Y79" i="19"/>
  <c r="Y79" i="9"/>
  <c r="Y41" i="9"/>
  <c r="Y41" i="19"/>
  <c r="Y4" i="9"/>
  <c r="Y4" i="19"/>
  <c r="Y27" i="9"/>
  <c r="Y27" i="19"/>
  <c r="Y19" i="9"/>
  <c r="Y19" i="19"/>
  <c r="AF877" i="19"/>
  <c r="AH877" i="19" s="1"/>
  <c r="AI791" i="19"/>
  <c r="AI960" i="19"/>
  <c r="AI171" i="19"/>
  <c r="AI237" i="19"/>
  <c r="AI618" i="19"/>
  <c r="AF822" i="19"/>
  <c r="AH822" i="19" s="1"/>
  <c r="AF803" i="19"/>
  <c r="AH803" i="19" s="1"/>
  <c r="AF766" i="19"/>
  <c r="AH766" i="19" s="1"/>
  <c r="AF747" i="19"/>
  <c r="AH747" i="19" s="1"/>
  <c r="AF726" i="19"/>
  <c r="AH726" i="19" s="1"/>
  <c r="AF707" i="19"/>
  <c r="AH707" i="19" s="1"/>
  <c r="AF883" i="19"/>
  <c r="AH883" i="19" s="1"/>
  <c r="AF864" i="19"/>
  <c r="AH864" i="19" s="1"/>
  <c r="AF845" i="19"/>
  <c r="AH845" i="19" s="1"/>
  <c r="AF826" i="19"/>
  <c r="AH826" i="19" s="1"/>
  <c r="AF807" i="19"/>
  <c r="AH807" i="19" s="1"/>
  <c r="AI807" i="19" s="1"/>
  <c r="AF830" i="19"/>
  <c r="AH830" i="19" s="1"/>
  <c r="AF889" i="19"/>
  <c r="AH889" i="19" s="1"/>
  <c r="AF745" i="19"/>
  <c r="AH745" i="19" s="1"/>
  <c r="AF801" i="19"/>
  <c r="AH801" i="19" s="1"/>
  <c r="AI801" i="19" s="1"/>
  <c r="AF848" i="19"/>
  <c r="AH848" i="19" s="1"/>
  <c r="AI848" i="19" s="1"/>
  <c r="AF704" i="19"/>
  <c r="AH704" i="19" s="1"/>
  <c r="AI704" i="19" s="1"/>
  <c r="AF886" i="19"/>
  <c r="AH886" i="19" s="1"/>
  <c r="AF733" i="19"/>
  <c r="AH733" i="19" s="1"/>
  <c r="AI733" i="19" s="1"/>
  <c r="AB695" i="19"/>
  <c r="AF695" i="19" s="1"/>
  <c r="AH695" i="19" s="1"/>
  <c r="AI772" i="19"/>
  <c r="AI830" i="19"/>
  <c r="AI889" i="19"/>
  <c r="AI745" i="19"/>
  <c r="AI871" i="19"/>
  <c r="AI727" i="19"/>
  <c r="AI242" i="19"/>
  <c r="AI607" i="19"/>
  <c r="AF786" i="19"/>
  <c r="AH786" i="19" s="1"/>
  <c r="AF767" i="19"/>
  <c r="AH767" i="19" s="1"/>
  <c r="AI767" i="19" s="1"/>
  <c r="AF730" i="19"/>
  <c r="AH730" i="19" s="1"/>
  <c r="AI730" i="19" s="1"/>
  <c r="AF711" i="19"/>
  <c r="AH711" i="19" s="1"/>
  <c r="AF887" i="19"/>
  <c r="AH887" i="19" s="1"/>
  <c r="AI887" i="19" s="1"/>
  <c r="AF868" i="19"/>
  <c r="AH868" i="19" s="1"/>
  <c r="AF847" i="19"/>
  <c r="AH847" i="19" s="1"/>
  <c r="AF828" i="19"/>
  <c r="AH828" i="19" s="1"/>
  <c r="AI828" i="19" s="1"/>
  <c r="AF809" i="19"/>
  <c r="AH809" i="19" s="1"/>
  <c r="AF790" i="19"/>
  <c r="AH790" i="19" s="1"/>
  <c r="AF771" i="19"/>
  <c r="AH771" i="19" s="1"/>
  <c r="AI771" i="19" s="1"/>
  <c r="AF806" i="19"/>
  <c r="AH806" i="19" s="1"/>
  <c r="AI806" i="19" s="1"/>
  <c r="AF865" i="19"/>
  <c r="AH865" i="19" s="1"/>
  <c r="AF721" i="19"/>
  <c r="AH721" i="19" s="1"/>
  <c r="AF777" i="19"/>
  <c r="AH777" i="19" s="1"/>
  <c r="AI777" i="19" s="1"/>
  <c r="AF824" i="19"/>
  <c r="AH824" i="19" s="1"/>
  <c r="AI824" i="19" s="1"/>
  <c r="AI877" i="19"/>
  <c r="AI812" i="19"/>
  <c r="AI715" i="19"/>
  <c r="AF768" i="19"/>
  <c r="AH768" i="19" s="1"/>
  <c r="AF749" i="19"/>
  <c r="AH749" i="19" s="1"/>
  <c r="AI749" i="19" s="1"/>
  <c r="AF712" i="19"/>
  <c r="AH712" i="19" s="1"/>
  <c r="AF888" i="19"/>
  <c r="AH888" i="19" s="1"/>
  <c r="AF869" i="19"/>
  <c r="AH869" i="19" s="1"/>
  <c r="AF850" i="19"/>
  <c r="AH850" i="19" s="1"/>
  <c r="AI850" i="19" s="1"/>
  <c r="AF831" i="19"/>
  <c r="AH831" i="19" s="1"/>
  <c r="AI831" i="19" s="1"/>
  <c r="AF810" i="19"/>
  <c r="AH810" i="19" s="1"/>
  <c r="AI810" i="19" s="1"/>
  <c r="AF791" i="19"/>
  <c r="AH791" i="19" s="1"/>
  <c r="AF772" i="19"/>
  <c r="AH772" i="19" s="1"/>
  <c r="AF751" i="19"/>
  <c r="AH751" i="19" s="1"/>
  <c r="AI751" i="19" s="1"/>
  <c r="AF794" i="19"/>
  <c r="AH794" i="19" s="1"/>
  <c r="AF853" i="19"/>
  <c r="AH853" i="19" s="1"/>
  <c r="AF709" i="19"/>
  <c r="AH709" i="19" s="1"/>
  <c r="AF765" i="19"/>
  <c r="AH765" i="19" s="1"/>
  <c r="AI765" i="19" s="1"/>
  <c r="AF812" i="19"/>
  <c r="AH812" i="19" s="1"/>
  <c r="AF617" i="19"/>
  <c r="AH617" i="19" s="1"/>
  <c r="AF629" i="19"/>
  <c r="AH629" i="19" s="1"/>
  <c r="AF598" i="19"/>
  <c r="AH598" i="19" s="1"/>
  <c r="AI862" i="19"/>
  <c r="AF727" i="19"/>
  <c r="AH727" i="19" s="1"/>
  <c r="AF818" i="19"/>
  <c r="AH818" i="19" s="1"/>
  <c r="AI818" i="19" s="1"/>
  <c r="AI865" i="19"/>
  <c r="AI721" i="19"/>
  <c r="AI826" i="19"/>
  <c r="AI747" i="19"/>
  <c r="AI847" i="19"/>
  <c r="AI786" i="19"/>
  <c r="AI869" i="19"/>
  <c r="AI165" i="19"/>
  <c r="AI685" i="19"/>
  <c r="AF750" i="19"/>
  <c r="AH750" i="19" s="1"/>
  <c r="AI750" i="19" s="1"/>
  <c r="AF731" i="19"/>
  <c r="AH731" i="19" s="1"/>
  <c r="AI731" i="19" s="1"/>
  <c r="AF891" i="19"/>
  <c r="AH891" i="19" s="1"/>
  <c r="AI891" i="19" s="1"/>
  <c r="AF870" i="19"/>
  <c r="AH870" i="19" s="1"/>
  <c r="AF851" i="19"/>
  <c r="AH851" i="19" s="1"/>
  <c r="AF832" i="19"/>
  <c r="AH832" i="19" s="1"/>
  <c r="AF811" i="19"/>
  <c r="AH811" i="19" s="1"/>
  <c r="AF792" i="19"/>
  <c r="AH792" i="19" s="1"/>
  <c r="AI792" i="19" s="1"/>
  <c r="AF773" i="19"/>
  <c r="AH773" i="19" s="1"/>
  <c r="AI773" i="19" s="1"/>
  <c r="AF754" i="19"/>
  <c r="AH754" i="19" s="1"/>
  <c r="AF735" i="19"/>
  <c r="AH735" i="19" s="1"/>
  <c r="AF782" i="19"/>
  <c r="AH782" i="19" s="1"/>
  <c r="AF841" i="19"/>
  <c r="AH841" i="19" s="1"/>
  <c r="AI841" i="19" s="1"/>
  <c r="AF697" i="19"/>
  <c r="AH697" i="19" s="1"/>
  <c r="AI697" i="19" s="1"/>
  <c r="AF753" i="19"/>
  <c r="AH753" i="19" s="1"/>
  <c r="AI753" i="19" s="1"/>
  <c r="AF800" i="19"/>
  <c r="AH800" i="19" s="1"/>
  <c r="AI800" i="19" s="1"/>
  <c r="AF593" i="19"/>
  <c r="AH593" i="19" s="1"/>
  <c r="AI593" i="19" s="1"/>
  <c r="AF606" i="19"/>
  <c r="AH606" i="19" s="1"/>
  <c r="AF586" i="19"/>
  <c r="AH586" i="19" s="1"/>
  <c r="AI822" i="19"/>
  <c r="AF867" i="19"/>
  <c r="AH867" i="19" s="1"/>
  <c r="AI867" i="19" s="1"/>
  <c r="AF836" i="19"/>
  <c r="AH836" i="19" s="1"/>
  <c r="AI736" i="19"/>
  <c r="AI794" i="19"/>
  <c r="AI853" i="19"/>
  <c r="AI709" i="19"/>
  <c r="AI885" i="19"/>
  <c r="AI741" i="19"/>
  <c r="AI774" i="19"/>
  <c r="AI933" i="19"/>
  <c r="AI175" i="19"/>
  <c r="AF732" i="19"/>
  <c r="AH732" i="19" s="1"/>
  <c r="AF713" i="19"/>
  <c r="AH713" i="19" s="1"/>
  <c r="AF871" i="19"/>
  <c r="AH871" i="19" s="1"/>
  <c r="AF852" i="19"/>
  <c r="AH852" i="19" s="1"/>
  <c r="AI852" i="19" s="1"/>
  <c r="AF833" i="19"/>
  <c r="AH833" i="19" s="1"/>
  <c r="AF814" i="19"/>
  <c r="AH814" i="19" s="1"/>
  <c r="AI814" i="19" s="1"/>
  <c r="AF795" i="19"/>
  <c r="AH795" i="19" s="1"/>
  <c r="AF774" i="19"/>
  <c r="AH774" i="19" s="1"/>
  <c r="AF755" i="19"/>
  <c r="AH755" i="19" s="1"/>
  <c r="AI755" i="19" s="1"/>
  <c r="AF736" i="19"/>
  <c r="AH736" i="19" s="1"/>
  <c r="AF715" i="19"/>
  <c r="AH715" i="19" s="1"/>
  <c r="AF770" i="19"/>
  <c r="AH770" i="19" s="1"/>
  <c r="AI770" i="19" s="1"/>
  <c r="AF829" i="19"/>
  <c r="AH829" i="19" s="1"/>
  <c r="AF885" i="19"/>
  <c r="AH885" i="19" s="1"/>
  <c r="AF741" i="19"/>
  <c r="AH741" i="19" s="1"/>
  <c r="AF788" i="19"/>
  <c r="AH788" i="19" s="1"/>
  <c r="AI788" i="19" s="1"/>
  <c r="AF642" i="19"/>
  <c r="AH642" i="19" s="1"/>
  <c r="AF635" i="19"/>
  <c r="AH635" i="19" s="1"/>
  <c r="AF582" i="19"/>
  <c r="AH582" i="19" s="1"/>
  <c r="AI582" i="19" s="1"/>
  <c r="AF585" i="19"/>
  <c r="AH585" i="19" s="1"/>
  <c r="AI868" i="19"/>
  <c r="AI782" i="19"/>
  <c r="AI729" i="19"/>
  <c r="AI795" i="19"/>
  <c r="AI845" i="19"/>
  <c r="AI951" i="19"/>
  <c r="AI893" i="19"/>
  <c r="AI203" i="19"/>
  <c r="AI232" i="19"/>
  <c r="AI364" i="19"/>
  <c r="AF714" i="19"/>
  <c r="AH714" i="19" s="1"/>
  <c r="AI714" i="19" s="1"/>
  <c r="AF874" i="19"/>
  <c r="AH874" i="19" s="1"/>
  <c r="AI874" i="19" s="1"/>
  <c r="AF855" i="19"/>
  <c r="AH855" i="19" s="1"/>
  <c r="AI855" i="19" s="1"/>
  <c r="AF834" i="19"/>
  <c r="AH834" i="19" s="1"/>
  <c r="AF815" i="19"/>
  <c r="AH815" i="19" s="1"/>
  <c r="AF796" i="19"/>
  <c r="AH796" i="19" s="1"/>
  <c r="AI796" i="19" s="1"/>
  <c r="AF775" i="19"/>
  <c r="AH775" i="19" s="1"/>
  <c r="AF756" i="19"/>
  <c r="AH756" i="19" s="1"/>
  <c r="AF737" i="19"/>
  <c r="AH737" i="19" s="1"/>
  <c r="AI737" i="19" s="1"/>
  <c r="AF718" i="19"/>
  <c r="AH718" i="19" s="1"/>
  <c r="AI718" i="19" s="1"/>
  <c r="AF699" i="19"/>
  <c r="AH699" i="19" s="1"/>
  <c r="AI699" i="19" s="1"/>
  <c r="AF758" i="19"/>
  <c r="AH758" i="19" s="1"/>
  <c r="AF817" i="19"/>
  <c r="AH817" i="19" s="1"/>
  <c r="AF873" i="19"/>
  <c r="AH873" i="19" s="1"/>
  <c r="AI873" i="19" s="1"/>
  <c r="AF729" i="19"/>
  <c r="AH729" i="19" s="1"/>
  <c r="AF776" i="19"/>
  <c r="AH776" i="19" s="1"/>
  <c r="AI776" i="19" s="1"/>
  <c r="AF692" i="19"/>
  <c r="AH692" i="19" s="1"/>
  <c r="AI692" i="19" s="1"/>
  <c r="AI842" i="19"/>
  <c r="AI836" i="19"/>
  <c r="AF708" i="19"/>
  <c r="AH708" i="19" s="1"/>
  <c r="AI708" i="19" s="1"/>
  <c r="AI712" i="19"/>
  <c r="AI829" i="19"/>
  <c r="AI768" i="19"/>
  <c r="AI851" i="19"/>
  <c r="AI707" i="19"/>
  <c r="AI790" i="19"/>
  <c r="AI861" i="19"/>
  <c r="AI811" i="19"/>
  <c r="AI711" i="19"/>
  <c r="AI833" i="19"/>
  <c r="AI695" i="19"/>
  <c r="AI892" i="19"/>
  <c r="AI598" i="19"/>
  <c r="AF696" i="19"/>
  <c r="AH696" i="19" s="1"/>
  <c r="AF856" i="19"/>
  <c r="AH856" i="19" s="1"/>
  <c r="AI856" i="19" s="1"/>
  <c r="AF835" i="19"/>
  <c r="AH835" i="19" s="1"/>
  <c r="AI835" i="19" s="1"/>
  <c r="AF816" i="19"/>
  <c r="AH816" i="19" s="1"/>
  <c r="AF797" i="19"/>
  <c r="AH797" i="19" s="1"/>
  <c r="AF778" i="19"/>
  <c r="AH778" i="19" s="1"/>
  <c r="AF759" i="19"/>
  <c r="AH759" i="19" s="1"/>
  <c r="AF738" i="19"/>
  <c r="AH738" i="19" s="1"/>
  <c r="AF719" i="19"/>
  <c r="AH719" i="19" s="1"/>
  <c r="AF700" i="19"/>
  <c r="AH700" i="19" s="1"/>
  <c r="AF890" i="19"/>
  <c r="AH890" i="19" s="1"/>
  <c r="AF746" i="19"/>
  <c r="AH746" i="19" s="1"/>
  <c r="AF805" i="19"/>
  <c r="AH805" i="19" s="1"/>
  <c r="AF861" i="19"/>
  <c r="AH861" i="19" s="1"/>
  <c r="AF717" i="19"/>
  <c r="AH717" i="19" s="1"/>
  <c r="AI717" i="19" s="1"/>
  <c r="AF764" i="19"/>
  <c r="AH764" i="19" s="1"/>
  <c r="AI764" i="19" s="1"/>
  <c r="AF641" i="19"/>
  <c r="AH641" i="19" s="1"/>
  <c r="AF591" i="19"/>
  <c r="AH591" i="19" s="1"/>
  <c r="AI591" i="19" s="1"/>
  <c r="AF581" i="19"/>
  <c r="AH581" i="19" s="1"/>
  <c r="AI581" i="19" s="1"/>
  <c r="AF680" i="19"/>
  <c r="AH680" i="19" s="1"/>
  <c r="AI779" i="19"/>
  <c r="AF804" i="19"/>
  <c r="AH804" i="19" s="1"/>
  <c r="AI804" i="19" s="1"/>
  <c r="AF846" i="19"/>
  <c r="AH846" i="19" s="1"/>
  <c r="AF789" i="19"/>
  <c r="AH789" i="19" s="1"/>
  <c r="AI789" i="19" s="1"/>
  <c r="AI758" i="19"/>
  <c r="AI817" i="19"/>
  <c r="AI756" i="19"/>
  <c r="AI821" i="19"/>
  <c r="AI971" i="19"/>
  <c r="AI234" i="19"/>
  <c r="AI239" i="19"/>
  <c r="AI318" i="19"/>
  <c r="AI586" i="19"/>
  <c r="AF875" i="19"/>
  <c r="AH875" i="19" s="1"/>
  <c r="AI875" i="19" s="1"/>
  <c r="AF838" i="19"/>
  <c r="AH838" i="19" s="1"/>
  <c r="AI838" i="19" s="1"/>
  <c r="AF819" i="19"/>
  <c r="AH819" i="19" s="1"/>
  <c r="AI819" i="19" s="1"/>
  <c r="AF798" i="19"/>
  <c r="AH798" i="19" s="1"/>
  <c r="AI798" i="19" s="1"/>
  <c r="AF779" i="19"/>
  <c r="AH779" i="19" s="1"/>
  <c r="AF760" i="19"/>
  <c r="AH760" i="19" s="1"/>
  <c r="AI760" i="19" s="1"/>
  <c r="AF739" i="19"/>
  <c r="AH739" i="19" s="1"/>
  <c r="AI739" i="19" s="1"/>
  <c r="AF720" i="19"/>
  <c r="AH720" i="19" s="1"/>
  <c r="AF701" i="19"/>
  <c r="AH701" i="19" s="1"/>
  <c r="AI701" i="19" s="1"/>
  <c r="AF879" i="19"/>
  <c r="AH879" i="19" s="1"/>
  <c r="AI879" i="19" s="1"/>
  <c r="AF878" i="19"/>
  <c r="AH878" i="19" s="1"/>
  <c r="AF734" i="19"/>
  <c r="AH734" i="19" s="1"/>
  <c r="AI734" i="19" s="1"/>
  <c r="AF793" i="19"/>
  <c r="AH793" i="19" s="1"/>
  <c r="AF849" i="19"/>
  <c r="AH849" i="19" s="1"/>
  <c r="AI849" i="19" s="1"/>
  <c r="AF705" i="19"/>
  <c r="AH705" i="19" s="1"/>
  <c r="AI705" i="19" s="1"/>
  <c r="AF752" i="19"/>
  <c r="AH752" i="19" s="1"/>
  <c r="AI752" i="19" s="1"/>
  <c r="AI606" i="19"/>
  <c r="AF808" i="19"/>
  <c r="AH808" i="19" s="1"/>
  <c r="AI808" i="19" s="1"/>
  <c r="AI832" i="19"/>
  <c r="AI888" i="19"/>
  <c r="AI766" i="19"/>
  <c r="AI870" i="19"/>
  <c r="AI726" i="19"/>
  <c r="AI809" i="19"/>
  <c r="AI922" i="19"/>
  <c r="AI325" i="19"/>
  <c r="AF876" i="19"/>
  <c r="AH876" i="19" s="1"/>
  <c r="AF857" i="19"/>
  <c r="AH857" i="19" s="1"/>
  <c r="AF820" i="19"/>
  <c r="AH820" i="19" s="1"/>
  <c r="AF799" i="19"/>
  <c r="AH799" i="19" s="1"/>
  <c r="AI799" i="19" s="1"/>
  <c r="AF780" i="19"/>
  <c r="AH780" i="19" s="1"/>
  <c r="AI780" i="19" s="1"/>
  <c r="AF761" i="19"/>
  <c r="AH761" i="19" s="1"/>
  <c r="AI761" i="19" s="1"/>
  <c r="AF742" i="19"/>
  <c r="AH742" i="19" s="1"/>
  <c r="AF723" i="19"/>
  <c r="AH723" i="19" s="1"/>
  <c r="AI723" i="19" s="1"/>
  <c r="AF702" i="19"/>
  <c r="AH702" i="19" s="1"/>
  <c r="AI702" i="19" s="1"/>
  <c r="AF880" i="19"/>
  <c r="AH880" i="19" s="1"/>
  <c r="AI880" i="19" s="1"/>
  <c r="AF859" i="19"/>
  <c r="AH859" i="19" s="1"/>
  <c r="AI859" i="19" s="1"/>
  <c r="AF866" i="19"/>
  <c r="AH866" i="19" s="1"/>
  <c r="AF722" i="19"/>
  <c r="AH722" i="19" s="1"/>
  <c r="AF781" i="19"/>
  <c r="AH781" i="19" s="1"/>
  <c r="AF837" i="19"/>
  <c r="AH837" i="19" s="1"/>
  <c r="AI837" i="19" s="1"/>
  <c r="AF884" i="19"/>
  <c r="AH884" i="19" s="1"/>
  <c r="AI884" i="19" s="1"/>
  <c r="AF740" i="19"/>
  <c r="AH740" i="19" s="1"/>
  <c r="AI740" i="19" s="1"/>
  <c r="AI883" i="19"/>
  <c r="AF785" i="19"/>
  <c r="AH785" i="19" s="1"/>
  <c r="AI785" i="19" s="1"/>
  <c r="AF787" i="19"/>
  <c r="AH787" i="19" s="1"/>
  <c r="AI787" i="19" s="1"/>
  <c r="AI820" i="19"/>
  <c r="AI878" i="19"/>
  <c r="AI793" i="19"/>
  <c r="AI876" i="19"/>
  <c r="AI732" i="19"/>
  <c r="AI815" i="19"/>
  <c r="AI735" i="19"/>
  <c r="AI754" i="19"/>
  <c r="AI872" i="19"/>
  <c r="AI775" i="19"/>
  <c r="AI211" i="19"/>
  <c r="AI680" i="19"/>
  <c r="AI642" i="19"/>
  <c r="AF858" i="19"/>
  <c r="AH858" i="19" s="1"/>
  <c r="AI858" i="19" s="1"/>
  <c r="AF839" i="19"/>
  <c r="AH839" i="19" s="1"/>
  <c r="AI839" i="19" s="1"/>
  <c r="AF802" i="19"/>
  <c r="AH802" i="19" s="1"/>
  <c r="AI802" i="19" s="1"/>
  <c r="AF783" i="19"/>
  <c r="AH783" i="19" s="1"/>
  <c r="AI783" i="19" s="1"/>
  <c r="AF762" i="19"/>
  <c r="AH762" i="19" s="1"/>
  <c r="AI762" i="19" s="1"/>
  <c r="AF743" i="19"/>
  <c r="AH743" i="19" s="1"/>
  <c r="AI743" i="19" s="1"/>
  <c r="AF724" i="19"/>
  <c r="AH724" i="19" s="1"/>
  <c r="AI724" i="19" s="1"/>
  <c r="AF703" i="19"/>
  <c r="AH703" i="19" s="1"/>
  <c r="AI703" i="19" s="1"/>
  <c r="AF881" i="19"/>
  <c r="AH881" i="19" s="1"/>
  <c r="AI881" i="19" s="1"/>
  <c r="AF862" i="19"/>
  <c r="AH862" i="19" s="1"/>
  <c r="AF843" i="19"/>
  <c r="AH843" i="19" s="1"/>
  <c r="AI843" i="19" s="1"/>
  <c r="AF854" i="19"/>
  <c r="AH854" i="19" s="1"/>
  <c r="AI854" i="19" s="1"/>
  <c r="AF710" i="19"/>
  <c r="AH710" i="19" s="1"/>
  <c r="AI710" i="19" s="1"/>
  <c r="AF769" i="19"/>
  <c r="AH769" i="19" s="1"/>
  <c r="AI769" i="19" s="1"/>
  <c r="AF825" i="19"/>
  <c r="AH825" i="19" s="1"/>
  <c r="AI825" i="19" s="1"/>
  <c r="AF872" i="19"/>
  <c r="AH872" i="19" s="1"/>
  <c r="AF728" i="19"/>
  <c r="AH728" i="19" s="1"/>
  <c r="AI728" i="19" s="1"/>
  <c r="AI757" i="19"/>
  <c r="AF748" i="19"/>
  <c r="AH748" i="19" s="1"/>
  <c r="AI748" i="19" s="1"/>
  <c r="AF827" i="19"/>
  <c r="AH827" i="19" s="1"/>
  <c r="AI827" i="19" s="1"/>
  <c r="AI866" i="19"/>
  <c r="AI722" i="19"/>
  <c r="AI781" i="19"/>
  <c r="AI864" i="19"/>
  <c r="AI720" i="19"/>
  <c r="AI803" i="19"/>
  <c r="AI886" i="19"/>
  <c r="AI860" i="19"/>
  <c r="AI716" i="19"/>
  <c r="AI846" i="19"/>
  <c r="AI285" i="19"/>
  <c r="AI617" i="19"/>
  <c r="AF840" i="19"/>
  <c r="AH840" i="19" s="1"/>
  <c r="AI840" i="19" s="1"/>
  <c r="AF821" i="19"/>
  <c r="AH821" i="19" s="1"/>
  <c r="AF784" i="19"/>
  <c r="AH784" i="19" s="1"/>
  <c r="AI784" i="19" s="1"/>
  <c r="AF763" i="19"/>
  <c r="AH763" i="19" s="1"/>
  <c r="AI763" i="19" s="1"/>
  <c r="AF744" i="19"/>
  <c r="AH744" i="19" s="1"/>
  <c r="AI744" i="19" s="1"/>
  <c r="AF725" i="19"/>
  <c r="AH725" i="19" s="1"/>
  <c r="AI725" i="19" s="1"/>
  <c r="AF706" i="19"/>
  <c r="AH706" i="19" s="1"/>
  <c r="AI706" i="19" s="1"/>
  <c r="AF882" i="19"/>
  <c r="AH882" i="19" s="1"/>
  <c r="AI882" i="19" s="1"/>
  <c r="AF863" i="19"/>
  <c r="AH863" i="19" s="1"/>
  <c r="AI863" i="19" s="1"/>
  <c r="AF844" i="19"/>
  <c r="AH844" i="19" s="1"/>
  <c r="AI844" i="19" s="1"/>
  <c r="AF823" i="19"/>
  <c r="AH823" i="19" s="1"/>
  <c r="AI823" i="19" s="1"/>
  <c r="AF842" i="19"/>
  <c r="AH842" i="19" s="1"/>
  <c r="AF698" i="19"/>
  <c r="AH698" i="19" s="1"/>
  <c r="AI698" i="19" s="1"/>
  <c r="AF757" i="19"/>
  <c r="AH757" i="19" s="1"/>
  <c r="AF813" i="19"/>
  <c r="AH813" i="19" s="1"/>
  <c r="AI813" i="19" s="1"/>
  <c r="AF860" i="19"/>
  <c r="AH860" i="19" s="1"/>
  <c r="AI696" i="19"/>
  <c r="AI759" i="19"/>
  <c r="AI196" i="19"/>
  <c r="AI338" i="19"/>
  <c r="AI644" i="19"/>
  <c r="AF330" i="19"/>
  <c r="AH330" i="19" s="1"/>
  <c r="AF354" i="19"/>
  <c r="AH354" i="19" s="1"/>
  <c r="AF305" i="19"/>
  <c r="AH305" i="19" s="1"/>
  <c r="AF327" i="19"/>
  <c r="AH327" i="19" s="1"/>
  <c r="AF349" i="19"/>
  <c r="AH349" i="19" s="1"/>
  <c r="AF287" i="19"/>
  <c r="AH287" i="19" s="1"/>
  <c r="AI287" i="19" s="1"/>
  <c r="AF309" i="19"/>
  <c r="AH309" i="19" s="1"/>
  <c r="AI309" i="19" s="1"/>
  <c r="AF660" i="19"/>
  <c r="AH660" i="19" s="1"/>
  <c r="AF640" i="19"/>
  <c r="AH640" i="19" s="1"/>
  <c r="AI640" i="19" s="1"/>
  <c r="AF636" i="19"/>
  <c r="AH636" i="19" s="1"/>
  <c r="AI636" i="19" s="1"/>
  <c r="AF634" i="19"/>
  <c r="AH634" i="19" s="1"/>
  <c r="AF630" i="19"/>
  <c r="AH630" i="19" s="1"/>
  <c r="AF628" i="19"/>
  <c r="AH628" i="19" s="1"/>
  <c r="AF674" i="19"/>
  <c r="AH674" i="19" s="1"/>
  <c r="AF637" i="19"/>
  <c r="AH637" i="19" s="1"/>
  <c r="AF657" i="19"/>
  <c r="AH657" i="19" s="1"/>
  <c r="AI657" i="19" s="1"/>
  <c r="AF632" i="19"/>
  <c r="AH632" i="19" s="1"/>
  <c r="AI632" i="19" s="1"/>
  <c r="AI686" i="19"/>
  <c r="AI941" i="19"/>
  <c r="AI236" i="19"/>
  <c r="AI602" i="19"/>
  <c r="AF662" i="19"/>
  <c r="AH662" i="19" s="1"/>
  <c r="AF625" i="19"/>
  <c r="AH625" i="19" s="1"/>
  <c r="AF645" i="19"/>
  <c r="AH645" i="19" s="1"/>
  <c r="AI645" i="19" s="1"/>
  <c r="AF620" i="19"/>
  <c r="AH620" i="19" s="1"/>
  <c r="AI620" i="19" s="1"/>
  <c r="AI816" i="19"/>
  <c r="AI628" i="19"/>
  <c r="AF650" i="19"/>
  <c r="AH650" i="19" s="1"/>
  <c r="AF613" i="19"/>
  <c r="AH613" i="19" s="1"/>
  <c r="AF633" i="19"/>
  <c r="AH633" i="19" s="1"/>
  <c r="AI633" i="19" s="1"/>
  <c r="AF608" i="19"/>
  <c r="AH608" i="19" s="1"/>
  <c r="AI608" i="19" s="1"/>
  <c r="AI168" i="19"/>
  <c r="AI366" i="19"/>
  <c r="AI344" i="19"/>
  <c r="AI295" i="19"/>
  <c r="AI634" i="19"/>
  <c r="AI627" i="19"/>
  <c r="AF312" i="19"/>
  <c r="AH312" i="19" s="1"/>
  <c r="AF331" i="19"/>
  <c r="AH331" i="19" s="1"/>
  <c r="AI331" i="19" s="1"/>
  <c r="AF352" i="19"/>
  <c r="AH352" i="19" s="1"/>
  <c r="AF291" i="19"/>
  <c r="AH291" i="19" s="1"/>
  <c r="AI291" i="19" s="1"/>
  <c r="AF313" i="19"/>
  <c r="AH313" i="19" s="1"/>
  <c r="AF334" i="19"/>
  <c r="AH334" i="19" s="1"/>
  <c r="AI334" i="19" s="1"/>
  <c r="AF356" i="19"/>
  <c r="AH356" i="19" s="1"/>
  <c r="AI356" i="19" s="1"/>
  <c r="AF600" i="19"/>
  <c r="AH600" i="19" s="1"/>
  <c r="AI600" i="19" s="1"/>
  <c r="AF691" i="19"/>
  <c r="AH691" i="19" s="1"/>
  <c r="AI691" i="19" s="1"/>
  <c r="AF689" i="19"/>
  <c r="AH689" i="19" s="1"/>
  <c r="AI689" i="19" s="1"/>
  <c r="AF687" i="19"/>
  <c r="AH687" i="19" s="1"/>
  <c r="AI687" i="19" s="1"/>
  <c r="AF683" i="19"/>
  <c r="AH683" i="19" s="1"/>
  <c r="AI683" i="19" s="1"/>
  <c r="AF679" i="19"/>
  <c r="AH679" i="19" s="1"/>
  <c r="AF638" i="19"/>
  <c r="AH638" i="19" s="1"/>
  <c r="AF601" i="19"/>
  <c r="AH601" i="19" s="1"/>
  <c r="AF621" i="19"/>
  <c r="AH621" i="19" s="1"/>
  <c r="AI621" i="19" s="1"/>
  <c r="AF596" i="19"/>
  <c r="AH596" i="19" s="1"/>
  <c r="AI596" i="19" s="1"/>
  <c r="AI857" i="19"/>
  <c r="AI979" i="19"/>
  <c r="AI190" i="19"/>
  <c r="AI221" i="19"/>
  <c r="AI270" i="19"/>
  <c r="AI354" i="19"/>
  <c r="AI312" i="19"/>
  <c r="AI283" i="19"/>
  <c r="AI660" i="19"/>
  <c r="AI635" i="19"/>
  <c r="AI639" i="19"/>
  <c r="AF367" i="19"/>
  <c r="AH367" i="19" s="1"/>
  <c r="AF319" i="19"/>
  <c r="AH319" i="19" s="1"/>
  <c r="AI319" i="19" s="1"/>
  <c r="AF340" i="19"/>
  <c r="AH340" i="19" s="1"/>
  <c r="AI340" i="19" s="1"/>
  <c r="AF362" i="19"/>
  <c r="AH362" i="19" s="1"/>
  <c r="AI362" i="19" s="1"/>
  <c r="AF301" i="19"/>
  <c r="AH301" i="19" s="1"/>
  <c r="AF322" i="19"/>
  <c r="AH322" i="19" s="1"/>
  <c r="AI322" i="19" s="1"/>
  <c r="AF344" i="19"/>
  <c r="AH344" i="19" s="1"/>
  <c r="AF677" i="19"/>
  <c r="AH677" i="19" s="1"/>
  <c r="AF675" i="19"/>
  <c r="AH675" i="19" s="1"/>
  <c r="AF671" i="19"/>
  <c r="AH671" i="19" s="1"/>
  <c r="AI671" i="19" s="1"/>
  <c r="AF667" i="19"/>
  <c r="AH667" i="19" s="1"/>
  <c r="AF665" i="19"/>
  <c r="AH665" i="19" s="1"/>
  <c r="AI665" i="19" s="1"/>
  <c r="AF663" i="19"/>
  <c r="AH663" i="19" s="1"/>
  <c r="AI663" i="19" s="1"/>
  <c r="AF626" i="19"/>
  <c r="AH626" i="19" s="1"/>
  <c r="AI626" i="19" s="1"/>
  <c r="AF589" i="19"/>
  <c r="AH589" i="19" s="1"/>
  <c r="AI589" i="19" s="1"/>
  <c r="AF609" i="19"/>
  <c r="AH609" i="19" s="1"/>
  <c r="AI609" i="19" s="1"/>
  <c r="AF584" i="19"/>
  <c r="AH584" i="19" s="1"/>
  <c r="AI584" i="19" s="1"/>
  <c r="AI719" i="19"/>
  <c r="AI320" i="19"/>
  <c r="AI610" i="19"/>
  <c r="AI677" i="19"/>
  <c r="AF306" i="19"/>
  <c r="AH306" i="19" s="1"/>
  <c r="AI306" i="19" s="1"/>
  <c r="AF307" i="19"/>
  <c r="AH307" i="19" s="1"/>
  <c r="AI307" i="19" s="1"/>
  <c r="AF328" i="19"/>
  <c r="AH328" i="19" s="1"/>
  <c r="AI328" i="19" s="1"/>
  <c r="AF350" i="19"/>
  <c r="AH350" i="19" s="1"/>
  <c r="AF289" i="19"/>
  <c r="AH289" i="19" s="1"/>
  <c r="AF310" i="19"/>
  <c r="AH310" i="19" s="1"/>
  <c r="AI310" i="19" s="1"/>
  <c r="AF332" i="19"/>
  <c r="AH332" i="19" s="1"/>
  <c r="AI332" i="19" s="1"/>
  <c r="AF659" i="19"/>
  <c r="AH659" i="19" s="1"/>
  <c r="AI659" i="19" s="1"/>
  <c r="AF655" i="19"/>
  <c r="AH655" i="19" s="1"/>
  <c r="AI655" i="19" s="1"/>
  <c r="AF653" i="19"/>
  <c r="AH653" i="19" s="1"/>
  <c r="AI653" i="19" s="1"/>
  <c r="AF651" i="19"/>
  <c r="AH651" i="19" s="1"/>
  <c r="AF647" i="19"/>
  <c r="AH647" i="19" s="1"/>
  <c r="AI647" i="19" s="1"/>
  <c r="AF643" i="19"/>
  <c r="AH643" i="19" s="1"/>
  <c r="AI643" i="19" s="1"/>
  <c r="AF614" i="19"/>
  <c r="AH614" i="19" s="1"/>
  <c r="AI614" i="19" s="1"/>
  <c r="AF622" i="19"/>
  <c r="AH622" i="19" s="1"/>
  <c r="AI622" i="19" s="1"/>
  <c r="AF597" i="19"/>
  <c r="AH597" i="19" s="1"/>
  <c r="AI597" i="19" s="1"/>
  <c r="AB580" i="19"/>
  <c r="AF580" i="19" s="1"/>
  <c r="AH580" i="19" s="1"/>
  <c r="AI580" i="19" s="1"/>
  <c r="AI700" i="19"/>
  <c r="AI778" i="19"/>
  <c r="AI738" i="19"/>
  <c r="AI241" i="19"/>
  <c r="AI352" i="19"/>
  <c r="AI305" i="19"/>
  <c r="AI359" i="19"/>
  <c r="AI674" i="19"/>
  <c r="AI637" i="19"/>
  <c r="AI585" i="19"/>
  <c r="AI679" i="19"/>
  <c r="AI894" i="19"/>
  <c r="AI243" i="19"/>
  <c r="AI238" i="19"/>
  <c r="AI651" i="19"/>
  <c r="AI662" i="19"/>
  <c r="AI625" i="19"/>
  <c r="AI675" i="19"/>
  <c r="AI667" i="19"/>
  <c r="AI641" i="19"/>
  <c r="AI330" i="19"/>
  <c r="AI746" i="19"/>
  <c r="AI903" i="19"/>
  <c r="AI797" i="19"/>
  <c r="AI313" i="19"/>
  <c r="AI367" i="19"/>
  <c r="AI650" i="19"/>
  <c r="AI613" i="19"/>
  <c r="AI629" i="19"/>
  <c r="AF294" i="19"/>
  <c r="AH294" i="19" s="1"/>
  <c r="AI294" i="19" s="1"/>
  <c r="AF341" i="19"/>
  <c r="AH341" i="19" s="1"/>
  <c r="AI341" i="19" s="1"/>
  <c r="AF363" i="19"/>
  <c r="AH363" i="19" s="1"/>
  <c r="AI363" i="19" s="1"/>
  <c r="AF302" i="19"/>
  <c r="AH302" i="19" s="1"/>
  <c r="AI302" i="19" s="1"/>
  <c r="AF323" i="19"/>
  <c r="AH323" i="19" s="1"/>
  <c r="AF345" i="19"/>
  <c r="AH345" i="19" s="1"/>
  <c r="AI345" i="19" s="1"/>
  <c r="AF284" i="19"/>
  <c r="AH284" i="19" s="1"/>
  <c r="AI284" i="19" s="1"/>
  <c r="AF694" i="19"/>
  <c r="AH694" i="19" s="1"/>
  <c r="AF690" i="19"/>
  <c r="AH690" i="19" s="1"/>
  <c r="AI690" i="19" s="1"/>
  <c r="AF688" i="19"/>
  <c r="AH688" i="19" s="1"/>
  <c r="AI688" i="19" s="1"/>
  <c r="AF684" i="19"/>
  <c r="AH684" i="19" s="1"/>
  <c r="AI684" i="19" s="1"/>
  <c r="AF682" i="19"/>
  <c r="AH682" i="19" s="1"/>
  <c r="AI682" i="19" s="1"/>
  <c r="AF604" i="19"/>
  <c r="AH604" i="19" s="1"/>
  <c r="AI604" i="19" s="1"/>
  <c r="AF673" i="19"/>
  <c r="AH673" i="19" s="1"/>
  <c r="AI673" i="19" s="1"/>
  <c r="AF693" i="19"/>
  <c r="AH693" i="19" s="1"/>
  <c r="AF668" i="19"/>
  <c r="AH668" i="19" s="1"/>
  <c r="AI668" i="19" s="1"/>
  <c r="AI890" i="19"/>
  <c r="AI805" i="19"/>
  <c r="AI956" i="19"/>
  <c r="AI276" i="19"/>
  <c r="AI301" i="19"/>
  <c r="AI323" i="19"/>
  <c r="AI638" i="19"/>
  <c r="AI601" i="19"/>
  <c r="AI694" i="19"/>
  <c r="AI693" i="19"/>
  <c r="AI630" i="19"/>
  <c r="AF342" i="19"/>
  <c r="AH342" i="19" s="1"/>
  <c r="AI342" i="19" s="1"/>
  <c r="AF355" i="19"/>
  <c r="AH355" i="19" s="1"/>
  <c r="AI355" i="19" s="1"/>
  <c r="AF329" i="19"/>
  <c r="AH329" i="19" s="1"/>
  <c r="AI329" i="19" s="1"/>
  <c r="AF351" i="19"/>
  <c r="AH351" i="19" s="1"/>
  <c r="AI351" i="19" s="1"/>
  <c r="AF290" i="19"/>
  <c r="AH290" i="19" s="1"/>
  <c r="AI290" i="19" s="1"/>
  <c r="AF311" i="19"/>
  <c r="AH311" i="19" s="1"/>
  <c r="AI311" i="19" s="1"/>
  <c r="AF333" i="19"/>
  <c r="AH333" i="19" s="1"/>
  <c r="AI333" i="19" s="1"/>
  <c r="AF676" i="19"/>
  <c r="AH676" i="19" s="1"/>
  <c r="AI676" i="19" s="1"/>
  <c r="AF672" i="19"/>
  <c r="AH672" i="19" s="1"/>
  <c r="AI672" i="19" s="1"/>
  <c r="AF670" i="19"/>
  <c r="AH670" i="19" s="1"/>
  <c r="AI670" i="19" s="1"/>
  <c r="AF666" i="19"/>
  <c r="AH666" i="19" s="1"/>
  <c r="AI666" i="19" s="1"/>
  <c r="AF664" i="19"/>
  <c r="AH664" i="19" s="1"/>
  <c r="AI664" i="19" s="1"/>
  <c r="AF592" i="19"/>
  <c r="AH592" i="19" s="1"/>
  <c r="AI592" i="19" s="1"/>
  <c r="AF661" i="19"/>
  <c r="AH661" i="19" s="1"/>
  <c r="AI661" i="19" s="1"/>
  <c r="AF681" i="19"/>
  <c r="AH681" i="19" s="1"/>
  <c r="AI681" i="19" s="1"/>
  <c r="AF656" i="19"/>
  <c r="AH656" i="19" s="1"/>
  <c r="AI649" i="19"/>
  <c r="AI952" i="19"/>
  <c r="AI327" i="19"/>
  <c r="AI350" i="19"/>
  <c r="AI289" i="19"/>
  <c r="AI656" i="19"/>
  <c r="AI631" i="19"/>
  <c r="AF678" i="19"/>
  <c r="AH678" i="19" s="1"/>
  <c r="AI678" i="19" s="1"/>
  <c r="AF658" i="19"/>
  <c r="AH658" i="19" s="1"/>
  <c r="AI658" i="19" s="1"/>
  <c r="AF654" i="19"/>
  <c r="AH654" i="19" s="1"/>
  <c r="AI654" i="19" s="1"/>
  <c r="AF652" i="19"/>
  <c r="AH652" i="19" s="1"/>
  <c r="AI652" i="19" s="1"/>
  <c r="AF648" i="19"/>
  <c r="AH648" i="19" s="1"/>
  <c r="AI648" i="19" s="1"/>
  <c r="AF646" i="19"/>
  <c r="AH646" i="19" s="1"/>
  <c r="AI646" i="19" s="1"/>
  <c r="AF686" i="19"/>
  <c r="AH686" i="19" s="1"/>
  <c r="AF649" i="19"/>
  <c r="AH649" i="19" s="1"/>
  <c r="AF669" i="19"/>
  <c r="AH669" i="19" s="1"/>
  <c r="AI669" i="19" s="1"/>
  <c r="AB3" i="19" a="1"/>
  <c r="AB3" i="19" s="1"/>
  <c r="AF3" i="19" s="1"/>
  <c r="AH3" i="19" s="1"/>
  <c r="AF24" i="19"/>
  <c r="AH24" i="19" s="1"/>
  <c r="AF10" i="19"/>
  <c r="AH10" i="19" s="1"/>
  <c r="AF39" i="19"/>
  <c r="AH39" i="19" s="1"/>
  <c r="AF55" i="19"/>
  <c r="AH55" i="19" s="1"/>
  <c r="AB491" i="19"/>
  <c r="AF491" i="19" s="1"/>
  <c r="AH491" i="19" s="1"/>
  <c r="AF500" i="19"/>
  <c r="AH500" i="19" s="1"/>
  <c r="AI500" i="19" s="1"/>
  <c r="AF512" i="19"/>
  <c r="AH512" i="19" s="1"/>
  <c r="AF524" i="19"/>
  <c r="AH524" i="19" s="1"/>
  <c r="AF536" i="19"/>
  <c r="AH536" i="19" s="1"/>
  <c r="AI536" i="19" s="1"/>
  <c r="AF548" i="19"/>
  <c r="AH548" i="19" s="1"/>
  <c r="AF560" i="19"/>
  <c r="AH560" i="19" s="1"/>
  <c r="AI560" i="19" s="1"/>
  <c r="AF572" i="19"/>
  <c r="AH572" i="19" s="1"/>
  <c r="AF501" i="19"/>
  <c r="AH501" i="19" s="1"/>
  <c r="AI501" i="19" s="1"/>
  <c r="AF513" i="19"/>
  <c r="AH513" i="19" s="1"/>
  <c r="AI513" i="19" s="1"/>
  <c r="AF525" i="19"/>
  <c r="AH525" i="19" s="1"/>
  <c r="AF537" i="19"/>
  <c r="AH537" i="19" s="1"/>
  <c r="AI537" i="19" s="1"/>
  <c r="AF549" i="19"/>
  <c r="AH549" i="19" s="1"/>
  <c r="AF561" i="19"/>
  <c r="AH561" i="19" s="1"/>
  <c r="AI561" i="19" s="1"/>
  <c r="AF573" i="19"/>
  <c r="AH573" i="19" s="1"/>
  <c r="AF502" i="19"/>
  <c r="AH502" i="19" s="1"/>
  <c r="AF514" i="19"/>
  <c r="AH514" i="19" s="1"/>
  <c r="AI514" i="19" s="1"/>
  <c r="AF526" i="19"/>
  <c r="AH526" i="19" s="1"/>
  <c r="AI526" i="19" s="1"/>
  <c r="AF538" i="19"/>
  <c r="AH538" i="19" s="1"/>
  <c r="AI538" i="19" s="1"/>
  <c r="AF550" i="19"/>
  <c r="AH550" i="19" s="1"/>
  <c r="AF562" i="19"/>
  <c r="AH562" i="19" s="1"/>
  <c r="AF574" i="19"/>
  <c r="AH574" i="19" s="1"/>
  <c r="AI574" i="19" s="1"/>
  <c r="AF493" i="19"/>
  <c r="AH493" i="19" s="1"/>
  <c r="AI493" i="19" s="1"/>
  <c r="AF505" i="19"/>
  <c r="AH505" i="19" s="1"/>
  <c r="AF517" i="19"/>
  <c r="AH517" i="19" s="1"/>
  <c r="AF529" i="19"/>
  <c r="AH529" i="19" s="1"/>
  <c r="AI529" i="19" s="1"/>
  <c r="AF541" i="19"/>
  <c r="AH541" i="19" s="1"/>
  <c r="AF553" i="19"/>
  <c r="AH553" i="19" s="1"/>
  <c r="AF565" i="19"/>
  <c r="AH565" i="19" s="1"/>
  <c r="AF577" i="19"/>
  <c r="AH577" i="19" s="1"/>
  <c r="AI577" i="19" s="1"/>
  <c r="AF494" i="19"/>
  <c r="AH494" i="19" s="1"/>
  <c r="AI494" i="19" s="1"/>
  <c r="AF506" i="19"/>
  <c r="AH506" i="19" s="1"/>
  <c r="AI506" i="19" s="1"/>
  <c r="AF518" i="19"/>
  <c r="AH518" i="19" s="1"/>
  <c r="AF530" i="19"/>
  <c r="AH530" i="19" s="1"/>
  <c r="AF542" i="19"/>
  <c r="AH542" i="19" s="1"/>
  <c r="AI542" i="19" s="1"/>
  <c r="AF554" i="19"/>
  <c r="AH554" i="19" s="1"/>
  <c r="AI554" i="19" s="1"/>
  <c r="AF566" i="19"/>
  <c r="AH566" i="19" s="1"/>
  <c r="AI566" i="19" s="1"/>
  <c r="AF578" i="19"/>
  <c r="AH578" i="19" s="1"/>
  <c r="AI578" i="19" s="1"/>
  <c r="AF496" i="19"/>
  <c r="AH496" i="19" s="1"/>
  <c r="AF508" i="19"/>
  <c r="AH508" i="19" s="1"/>
  <c r="AF520" i="19"/>
  <c r="AH520" i="19" s="1"/>
  <c r="AI520" i="19" s="1"/>
  <c r="AF532" i="19"/>
  <c r="AH532" i="19" s="1"/>
  <c r="AI532" i="19" s="1"/>
  <c r="AF544" i="19"/>
  <c r="AH544" i="19" s="1"/>
  <c r="AI544" i="19" s="1"/>
  <c r="AF556" i="19"/>
  <c r="AH556" i="19" s="1"/>
  <c r="AF568" i="19"/>
  <c r="AH568" i="19" s="1"/>
  <c r="AF497" i="19"/>
  <c r="AH497" i="19" s="1"/>
  <c r="AI497" i="19" s="1"/>
  <c r="AF509" i="19"/>
  <c r="AH509" i="19" s="1"/>
  <c r="AI509" i="19" s="1"/>
  <c r="AF521" i="19"/>
  <c r="AH521" i="19" s="1"/>
  <c r="AI521" i="19" s="1"/>
  <c r="AF533" i="19"/>
  <c r="AH533" i="19" s="1"/>
  <c r="AI533" i="19" s="1"/>
  <c r="AF545" i="19"/>
  <c r="AH545" i="19" s="1"/>
  <c r="AI545" i="19" s="1"/>
  <c r="AF498" i="19"/>
  <c r="AH498" i="19" s="1"/>
  <c r="AF527" i="19"/>
  <c r="AH527" i="19" s="1"/>
  <c r="AF555" i="19"/>
  <c r="AH555" i="19" s="1"/>
  <c r="AI555" i="19" s="1"/>
  <c r="AF579" i="19"/>
  <c r="AH579" i="19" s="1"/>
  <c r="AI579" i="19" s="1"/>
  <c r="AF499" i="19"/>
  <c r="AH499" i="19" s="1"/>
  <c r="AI499" i="19" s="1"/>
  <c r="AF528" i="19"/>
  <c r="AH528" i="19" s="1"/>
  <c r="AI528" i="19" s="1"/>
  <c r="AF557" i="19"/>
  <c r="AH557" i="19" s="1"/>
  <c r="AI557" i="19" s="1"/>
  <c r="AF503" i="19"/>
  <c r="AH503" i="19" s="1"/>
  <c r="AF531" i="19"/>
  <c r="AH531" i="19" s="1"/>
  <c r="AF558" i="19"/>
  <c r="AH558" i="19" s="1"/>
  <c r="AI558" i="19" s="1"/>
  <c r="AF504" i="19"/>
  <c r="AH504" i="19" s="1"/>
  <c r="AI504" i="19" s="1"/>
  <c r="AF534" i="19"/>
  <c r="AH534" i="19" s="1"/>
  <c r="AI534" i="19" s="1"/>
  <c r="AF559" i="19"/>
  <c r="AH559" i="19" s="1"/>
  <c r="AF507" i="19"/>
  <c r="AH507" i="19" s="1"/>
  <c r="AF535" i="19"/>
  <c r="AH535" i="19" s="1"/>
  <c r="AF563" i="19"/>
  <c r="AH563" i="19" s="1"/>
  <c r="AI563" i="19" s="1"/>
  <c r="AF510" i="19"/>
  <c r="AH510" i="19" s="1"/>
  <c r="AI510" i="19" s="1"/>
  <c r="AF539" i="19"/>
  <c r="AH539" i="19" s="1"/>
  <c r="AI539" i="19" s="1"/>
  <c r="AF564" i="19"/>
  <c r="AH564" i="19" s="1"/>
  <c r="AI564" i="19" s="1"/>
  <c r="AF511" i="19"/>
  <c r="AH511" i="19" s="1"/>
  <c r="AF540" i="19"/>
  <c r="AH540" i="19" s="1"/>
  <c r="AI540" i="19" s="1"/>
  <c r="AF567" i="19"/>
  <c r="AH567" i="19" s="1"/>
  <c r="AI567" i="19" s="1"/>
  <c r="AF515" i="19"/>
  <c r="AH515" i="19" s="1"/>
  <c r="AI515" i="19" s="1"/>
  <c r="AF543" i="19"/>
  <c r="AH543" i="19" s="1"/>
  <c r="AI543" i="19" s="1"/>
  <c r="AF569" i="19"/>
  <c r="AH569" i="19" s="1"/>
  <c r="AF516" i="19"/>
  <c r="AH516" i="19" s="1"/>
  <c r="AI516" i="19" s="1"/>
  <c r="AF546" i="19"/>
  <c r="AH546" i="19" s="1"/>
  <c r="AI546" i="19" s="1"/>
  <c r="AF570" i="19"/>
  <c r="AH570" i="19" s="1"/>
  <c r="AF519" i="19"/>
  <c r="AH519" i="19" s="1"/>
  <c r="AI519" i="19" s="1"/>
  <c r="AF547" i="19"/>
  <c r="AH547" i="19" s="1"/>
  <c r="AI547" i="19" s="1"/>
  <c r="AF571" i="19"/>
  <c r="AH571" i="19" s="1"/>
  <c r="AI571" i="19" s="1"/>
  <c r="AF492" i="19"/>
  <c r="AH492" i="19" s="1"/>
  <c r="AF522" i="19"/>
  <c r="AH522" i="19" s="1"/>
  <c r="AI522" i="19" s="1"/>
  <c r="AF551" i="19"/>
  <c r="AH551" i="19" s="1"/>
  <c r="AI551" i="19" s="1"/>
  <c r="AF575" i="19"/>
  <c r="AH575" i="19" s="1"/>
  <c r="AI575" i="19" s="1"/>
  <c r="AF495" i="19"/>
  <c r="AH495" i="19" s="1"/>
  <c r="AI495" i="19" s="1"/>
  <c r="AF523" i="19"/>
  <c r="AH523" i="19" s="1"/>
  <c r="AF552" i="19"/>
  <c r="AH552" i="19" s="1"/>
  <c r="AI552" i="19" s="1"/>
  <c r="AF576" i="19"/>
  <c r="AH576" i="19" s="1"/>
  <c r="AI576" i="19" s="1"/>
  <c r="AI524" i="19"/>
  <c r="AI573" i="19"/>
  <c r="AI518" i="19"/>
  <c r="AI527" i="19"/>
  <c r="AI503" i="19"/>
  <c r="AI492" i="19"/>
  <c r="AI549" i="19"/>
  <c r="AI559" i="19"/>
  <c r="AI535" i="19"/>
  <c r="AI568" i="19"/>
  <c r="AI498" i="19"/>
  <c r="AI569" i="19"/>
  <c r="AI523" i="19"/>
  <c r="AI556" i="19"/>
  <c r="AI525" i="19"/>
  <c r="AI511" i="19"/>
  <c r="AI565" i="19"/>
  <c r="AI562" i="19"/>
  <c r="AI507" i="19"/>
  <c r="AI530" i="19"/>
  <c r="AI553" i="19"/>
  <c r="AI496" i="19"/>
  <c r="AI550" i="19"/>
  <c r="AI505" i="19"/>
  <c r="AI531" i="19"/>
  <c r="AI491" i="19"/>
  <c r="AI541" i="19"/>
  <c r="AI572" i="19"/>
  <c r="AI517" i="19"/>
  <c r="AI570" i="19"/>
  <c r="AI502" i="19"/>
  <c r="AB79" i="19"/>
  <c r="AF79" i="19" s="1"/>
  <c r="AH79" i="19" s="1"/>
  <c r="AI79" i="19" s="1"/>
  <c r="AF80" i="19"/>
  <c r="AH80" i="19" s="1"/>
  <c r="AF92" i="19"/>
  <c r="AH92" i="19" s="1"/>
  <c r="AI92" i="19" s="1"/>
  <c r="AF104" i="19"/>
  <c r="AH104" i="19" s="1"/>
  <c r="AI104" i="19" s="1"/>
  <c r="AF116" i="19"/>
  <c r="AH116" i="19" s="1"/>
  <c r="AI116" i="19" s="1"/>
  <c r="AF128" i="19"/>
  <c r="AH128" i="19" s="1"/>
  <c r="AI128" i="19" s="1"/>
  <c r="AF140" i="19"/>
  <c r="AH140" i="19" s="1"/>
  <c r="AI140" i="19" s="1"/>
  <c r="AF152" i="19"/>
  <c r="AH152" i="19" s="1"/>
  <c r="AI152" i="19" s="1"/>
  <c r="AF81" i="19"/>
  <c r="AH81" i="19" s="1"/>
  <c r="AI81" i="19" s="1"/>
  <c r="AF93" i="19"/>
  <c r="AH93" i="19" s="1"/>
  <c r="AI93" i="19" s="1"/>
  <c r="AF105" i="19"/>
  <c r="AH105" i="19" s="1"/>
  <c r="AI105" i="19" s="1"/>
  <c r="AF117" i="19"/>
  <c r="AH117" i="19" s="1"/>
  <c r="AI117" i="19" s="1"/>
  <c r="AF129" i="19"/>
  <c r="AH129" i="19" s="1"/>
  <c r="AI129" i="19" s="1"/>
  <c r="AF141" i="19"/>
  <c r="AH141" i="19" s="1"/>
  <c r="AI141" i="19" s="1"/>
  <c r="AF153" i="19"/>
  <c r="AH153" i="19" s="1"/>
  <c r="AI153" i="19" s="1"/>
  <c r="AF82" i="19"/>
  <c r="AH82" i="19" s="1"/>
  <c r="AI82" i="19" s="1"/>
  <c r="AF94" i="19"/>
  <c r="AH94" i="19" s="1"/>
  <c r="AI94" i="19" s="1"/>
  <c r="AF106" i="19"/>
  <c r="AH106" i="19" s="1"/>
  <c r="AI106" i="19" s="1"/>
  <c r="AF118" i="19"/>
  <c r="AH118" i="19" s="1"/>
  <c r="AI118" i="19" s="1"/>
  <c r="AF130" i="19"/>
  <c r="AH130" i="19" s="1"/>
  <c r="AI130" i="19" s="1"/>
  <c r="AF142" i="19"/>
  <c r="AH142" i="19" s="1"/>
  <c r="AI142" i="19" s="1"/>
  <c r="AF83" i="19"/>
  <c r="AH83" i="19" s="1"/>
  <c r="AI83" i="19" s="1"/>
  <c r="AF95" i="19"/>
  <c r="AH95" i="19" s="1"/>
  <c r="AI95" i="19" s="1"/>
  <c r="AF107" i="19"/>
  <c r="AH107" i="19" s="1"/>
  <c r="AI107" i="19" s="1"/>
  <c r="AF119" i="19"/>
  <c r="AH119" i="19" s="1"/>
  <c r="AI119" i="19" s="1"/>
  <c r="AF131" i="19"/>
  <c r="AH131" i="19" s="1"/>
  <c r="AI131" i="19" s="1"/>
  <c r="AF143" i="19"/>
  <c r="AH143" i="19" s="1"/>
  <c r="AI143" i="19" s="1"/>
  <c r="AF84" i="19"/>
  <c r="AH84" i="19" s="1"/>
  <c r="AI84" i="19" s="1"/>
  <c r="AF96" i="19"/>
  <c r="AH96" i="19" s="1"/>
  <c r="AI96" i="19" s="1"/>
  <c r="AF108" i="19"/>
  <c r="AH108" i="19" s="1"/>
  <c r="AI108" i="19" s="1"/>
  <c r="AF120" i="19"/>
  <c r="AH120" i="19" s="1"/>
  <c r="AI120" i="19" s="1"/>
  <c r="AF132" i="19"/>
  <c r="AH132" i="19" s="1"/>
  <c r="AI132" i="19" s="1"/>
  <c r="AF85" i="19"/>
  <c r="AH85" i="19" s="1"/>
  <c r="AI85" i="19" s="1"/>
  <c r="AF97" i="19"/>
  <c r="AH97" i="19" s="1"/>
  <c r="AI97" i="19" s="1"/>
  <c r="AF109" i="19"/>
  <c r="AH109" i="19" s="1"/>
  <c r="AI109" i="19" s="1"/>
  <c r="AF121" i="19"/>
  <c r="AH121" i="19" s="1"/>
  <c r="AI121" i="19" s="1"/>
  <c r="AF133" i="19"/>
  <c r="AH133" i="19" s="1"/>
  <c r="AI133" i="19" s="1"/>
  <c r="AF145" i="19"/>
  <c r="AH145" i="19" s="1"/>
  <c r="AI145" i="19" s="1"/>
  <c r="AF86" i="19"/>
  <c r="AH86" i="19" s="1"/>
  <c r="AI86" i="19" s="1"/>
  <c r="AF98" i="19"/>
  <c r="AH98" i="19" s="1"/>
  <c r="AI98" i="19" s="1"/>
  <c r="AF110" i="19"/>
  <c r="AH110" i="19" s="1"/>
  <c r="AI110" i="19" s="1"/>
  <c r="AF122" i="19"/>
  <c r="AH122" i="19" s="1"/>
  <c r="AI122" i="19" s="1"/>
  <c r="AF134" i="19"/>
  <c r="AH134" i="19" s="1"/>
  <c r="AI134" i="19" s="1"/>
  <c r="AF146" i="19"/>
  <c r="AH146" i="19" s="1"/>
  <c r="AI146" i="19" s="1"/>
  <c r="AF87" i="19"/>
  <c r="AH87" i="19" s="1"/>
  <c r="AI87" i="19" s="1"/>
  <c r="AF99" i="19"/>
  <c r="AH99" i="19" s="1"/>
  <c r="AI99" i="19" s="1"/>
  <c r="AF111" i="19"/>
  <c r="AH111" i="19" s="1"/>
  <c r="AI111" i="19" s="1"/>
  <c r="AF123" i="19"/>
  <c r="AH123" i="19" s="1"/>
  <c r="AI123" i="19" s="1"/>
  <c r="AF135" i="19"/>
  <c r="AH135" i="19" s="1"/>
  <c r="AI135" i="19" s="1"/>
  <c r="AF147" i="19"/>
  <c r="AH147" i="19" s="1"/>
  <c r="AI147" i="19" s="1"/>
  <c r="AF88" i="19"/>
  <c r="AH88" i="19" s="1"/>
  <c r="AI88" i="19" s="1"/>
  <c r="AF100" i="19"/>
  <c r="AH100" i="19" s="1"/>
  <c r="AI100" i="19" s="1"/>
  <c r="AF112" i="19"/>
  <c r="AH112" i="19" s="1"/>
  <c r="AI112" i="19" s="1"/>
  <c r="AF124" i="19"/>
  <c r="AH124" i="19" s="1"/>
  <c r="AI124" i="19" s="1"/>
  <c r="AF136" i="19"/>
  <c r="AH136" i="19" s="1"/>
  <c r="AI136" i="19" s="1"/>
  <c r="AF148" i="19"/>
  <c r="AH148" i="19" s="1"/>
  <c r="AI148" i="19" s="1"/>
  <c r="AF89" i="19"/>
  <c r="AH89" i="19" s="1"/>
  <c r="AI89" i="19" s="1"/>
  <c r="AF101" i="19"/>
  <c r="AH101" i="19" s="1"/>
  <c r="AI101" i="19" s="1"/>
  <c r="AF113" i="19"/>
  <c r="AH113" i="19" s="1"/>
  <c r="AI113" i="19" s="1"/>
  <c r="AF125" i="19"/>
  <c r="AH125" i="19" s="1"/>
  <c r="AI125" i="19" s="1"/>
  <c r="AF137" i="19"/>
  <c r="AH137" i="19" s="1"/>
  <c r="AI137" i="19" s="1"/>
  <c r="AF149" i="19"/>
  <c r="AH149" i="19" s="1"/>
  <c r="AI149" i="19" s="1"/>
  <c r="AF90" i="19"/>
  <c r="AH90" i="19" s="1"/>
  <c r="AI90" i="19" s="1"/>
  <c r="AF102" i="19"/>
  <c r="AH102" i="19" s="1"/>
  <c r="AI102" i="19" s="1"/>
  <c r="AF114" i="19"/>
  <c r="AH114" i="19" s="1"/>
  <c r="AI114" i="19" s="1"/>
  <c r="AF126" i="19"/>
  <c r="AH126" i="19" s="1"/>
  <c r="AI126" i="19" s="1"/>
  <c r="AF91" i="19"/>
  <c r="AH91" i="19" s="1"/>
  <c r="AI91" i="19" s="1"/>
  <c r="AF103" i="19"/>
  <c r="AH103" i="19" s="1"/>
  <c r="AI103" i="19" s="1"/>
  <c r="AF115" i="19"/>
  <c r="AH115" i="19" s="1"/>
  <c r="AI115" i="19" s="1"/>
  <c r="AF127" i="19"/>
  <c r="AH127" i="19" s="1"/>
  <c r="AI127" i="19" s="1"/>
  <c r="AF139" i="19"/>
  <c r="AH139" i="19" s="1"/>
  <c r="AI139" i="19" s="1"/>
  <c r="AF151" i="19"/>
  <c r="AH151" i="19" s="1"/>
  <c r="AI151" i="19" s="1"/>
  <c r="AF138" i="19"/>
  <c r="AH138" i="19" s="1"/>
  <c r="AI138" i="19" s="1"/>
  <c r="AF144" i="19"/>
  <c r="AH144" i="19" s="1"/>
  <c r="AI144" i="19" s="1"/>
  <c r="AF150" i="19"/>
  <c r="AH150" i="19" s="1"/>
  <c r="AI150" i="19" s="1"/>
  <c r="AI80" i="19"/>
  <c r="AI512" i="19"/>
  <c r="AI508" i="19"/>
  <c r="AI548" i="19"/>
  <c r="AB368" i="19"/>
  <c r="AF368" i="19" s="1"/>
  <c r="AH368" i="19" s="1"/>
  <c r="AI368" i="19" s="1"/>
  <c r="AF380" i="19"/>
  <c r="AH380" i="19" s="1"/>
  <c r="AI380" i="19" s="1"/>
  <c r="AF392" i="19"/>
  <c r="AH392" i="19" s="1"/>
  <c r="AI392" i="19" s="1"/>
  <c r="AF404" i="19"/>
  <c r="AH404" i="19" s="1"/>
  <c r="AI404" i="19" s="1"/>
  <c r="AF416" i="19"/>
  <c r="AH416" i="19" s="1"/>
  <c r="AI416" i="19" s="1"/>
  <c r="AF428" i="19"/>
  <c r="AH428" i="19" s="1"/>
  <c r="AI428" i="19" s="1"/>
  <c r="AF440" i="19"/>
  <c r="AH440" i="19" s="1"/>
  <c r="AI440" i="19" s="1"/>
  <c r="AF452" i="19"/>
  <c r="AH452" i="19" s="1"/>
  <c r="AI452" i="19" s="1"/>
  <c r="AF464" i="19"/>
  <c r="AH464" i="19" s="1"/>
  <c r="AI464" i="19" s="1"/>
  <c r="AF476" i="19"/>
  <c r="AH476" i="19" s="1"/>
  <c r="AI476" i="19" s="1"/>
  <c r="AF488" i="19"/>
  <c r="AH488" i="19" s="1"/>
  <c r="AI488" i="19" s="1"/>
  <c r="AF369" i="19"/>
  <c r="AH369" i="19" s="1"/>
  <c r="AI369" i="19" s="1"/>
  <c r="AF381" i="19"/>
  <c r="AH381" i="19" s="1"/>
  <c r="AI381" i="19" s="1"/>
  <c r="AF393" i="19"/>
  <c r="AH393" i="19" s="1"/>
  <c r="AI393" i="19" s="1"/>
  <c r="AF405" i="19"/>
  <c r="AH405" i="19" s="1"/>
  <c r="AI405" i="19" s="1"/>
  <c r="AF417" i="19"/>
  <c r="AH417" i="19" s="1"/>
  <c r="AI417" i="19" s="1"/>
  <c r="AF429" i="19"/>
  <c r="AH429" i="19" s="1"/>
  <c r="AI429" i="19" s="1"/>
  <c r="AF441" i="19"/>
  <c r="AH441" i="19" s="1"/>
  <c r="AI441" i="19" s="1"/>
  <c r="AF453" i="19"/>
  <c r="AH453" i="19" s="1"/>
  <c r="AI453" i="19" s="1"/>
  <c r="AF465" i="19"/>
  <c r="AH465" i="19" s="1"/>
  <c r="AI465" i="19" s="1"/>
  <c r="AF477" i="19"/>
  <c r="AH477" i="19" s="1"/>
  <c r="AI477" i="19" s="1"/>
  <c r="AF489" i="19"/>
  <c r="AH489" i="19" s="1"/>
  <c r="AI489" i="19" s="1"/>
  <c r="AF370" i="19"/>
  <c r="AH370" i="19" s="1"/>
  <c r="AI370" i="19" s="1"/>
  <c r="AF382" i="19"/>
  <c r="AH382" i="19" s="1"/>
  <c r="AI382" i="19" s="1"/>
  <c r="AF394" i="19"/>
  <c r="AH394" i="19" s="1"/>
  <c r="AI394" i="19" s="1"/>
  <c r="AF406" i="19"/>
  <c r="AH406" i="19" s="1"/>
  <c r="AI406" i="19" s="1"/>
  <c r="AF418" i="19"/>
  <c r="AH418" i="19" s="1"/>
  <c r="AI418" i="19" s="1"/>
  <c r="AF430" i="19"/>
  <c r="AH430" i="19" s="1"/>
  <c r="AI430" i="19" s="1"/>
  <c r="AF442" i="19"/>
  <c r="AH442" i="19" s="1"/>
  <c r="AI442" i="19" s="1"/>
  <c r="AF454" i="19"/>
  <c r="AH454" i="19" s="1"/>
  <c r="AI454" i="19" s="1"/>
  <c r="AF466" i="19"/>
  <c r="AH466" i="19" s="1"/>
  <c r="AI466" i="19" s="1"/>
  <c r="AF478" i="19"/>
  <c r="AH478" i="19" s="1"/>
  <c r="AI478" i="19" s="1"/>
  <c r="AF490" i="19"/>
  <c r="AH490" i="19" s="1"/>
  <c r="AI490" i="19" s="1"/>
  <c r="AF371" i="19"/>
  <c r="AH371" i="19" s="1"/>
  <c r="AI371" i="19" s="1"/>
  <c r="AF383" i="19"/>
  <c r="AH383" i="19" s="1"/>
  <c r="AI383" i="19" s="1"/>
  <c r="AF395" i="19"/>
  <c r="AH395" i="19" s="1"/>
  <c r="AI395" i="19" s="1"/>
  <c r="AF407" i="19"/>
  <c r="AH407" i="19" s="1"/>
  <c r="AI407" i="19" s="1"/>
  <c r="AF419" i="19"/>
  <c r="AH419" i="19" s="1"/>
  <c r="AI419" i="19" s="1"/>
  <c r="AF431" i="19"/>
  <c r="AH431" i="19" s="1"/>
  <c r="AI431" i="19" s="1"/>
  <c r="AF443" i="19"/>
  <c r="AH443" i="19" s="1"/>
  <c r="AI443" i="19" s="1"/>
  <c r="AF455" i="19"/>
  <c r="AH455" i="19" s="1"/>
  <c r="AI455" i="19" s="1"/>
  <c r="AF467" i="19"/>
  <c r="AH467" i="19" s="1"/>
  <c r="AI467" i="19" s="1"/>
  <c r="AF479" i="19"/>
  <c r="AH479" i="19" s="1"/>
  <c r="AI479" i="19" s="1"/>
  <c r="AF373" i="19"/>
  <c r="AH373" i="19" s="1"/>
  <c r="AI373" i="19" s="1"/>
  <c r="AF385" i="19"/>
  <c r="AH385" i="19" s="1"/>
  <c r="AI385" i="19" s="1"/>
  <c r="AF397" i="19"/>
  <c r="AH397" i="19" s="1"/>
  <c r="AI397" i="19" s="1"/>
  <c r="AF409" i="19"/>
  <c r="AH409" i="19" s="1"/>
  <c r="AI409" i="19" s="1"/>
  <c r="AF421" i="19"/>
  <c r="AH421" i="19" s="1"/>
  <c r="AI421" i="19" s="1"/>
  <c r="AF433" i="19"/>
  <c r="AH433" i="19" s="1"/>
  <c r="AI433" i="19" s="1"/>
  <c r="AF445" i="19"/>
  <c r="AH445" i="19" s="1"/>
  <c r="AI445" i="19" s="1"/>
  <c r="AF457" i="19"/>
  <c r="AH457" i="19" s="1"/>
  <c r="AI457" i="19" s="1"/>
  <c r="AF469" i="19"/>
  <c r="AH469" i="19" s="1"/>
  <c r="AI469" i="19" s="1"/>
  <c r="AF481" i="19"/>
  <c r="AH481" i="19" s="1"/>
  <c r="AI481" i="19" s="1"/>
  <c r="AF374" i="19"/>
  <c r="AH374" i="19" s="1"/>
  <c r="AI374" i="19" s="1"/>
  <c r="AF386" i="19"/>
  <c r="AH386" i="19" s="1"/>
  <c r="AI386" i="19" s="1"/>
  <c r="AF398" i="19"/>
  <c r="AH398" i="19" s="1"/>
  <c r="AI398" i="19" s="1"/>
  <c r="AF410" i="19"/>
  <c r="AH410" i="19" s="1"/>
  <c r="AI410" i="19" s="1"/>
  <c r="AF422" i="19"/>
  <c r="AH422" i="19" s="1"/>
  <c r="AI422" i="19" s="1"/>
  <c r="AF434" i="19"/>
  <c r="AH434" i="19" s="1"/>
  <c r="AI434" i="19" s="1"/>
  <c r="AF446" i="19"/>
  <c r="AH446" i="19" s="1"/>
  <c r="AI446" i="19" s="1"/>
  <c r="AF458" i="19"/>
  <c r="AH458" i="19" s="1"/>
  <c r="AI458" i="19" s="1"/>
  <c r="AF470" i="19"/>
  <c r="AH470" i="19" s="1"/>
  <c r="AI470" i="19" s="1"/>
  <c r="AF482" i="19"/>
  <c r="AH482" i="19" s="1"/>
  <c r="AI482" i="19" s="1"/>
  <c r="AF376" i="19"/>
  <c r="AH376" i="19" s="1"/>
  <c r="AI376" i="19" s="1"/>
  <c r="AF388" i="19"/>
  <c r="AH388" i="19" s="1"/>
  <c r="AI388" i="19" s="1"/>
  <c r="AF400" i="19"/>
  <c r="AH400" i="19" s="1"/>
  <c r="AI400" i="19" s="1"/>
  <c r="AF412" i="19"/>
  <c r="AH412" i="19" s="1"/>
  <c r="AI412" i="19" s="1"/>
  <c r="AF424" i="19"/>
  <c r="AH424" i="19" s="1"/>
  <c r="AI424" i="19" s="1"/>
  <c r="AF436" i="19"/>
  <c r="AH436" i="19" s="1"/>
  <c r="AI436" i="19" s="1"/>
  <c r="AF448" i="19"/>
  <c r="AH448" i="19" s="1"/>
  <c r="AI448" i="19" s="1"/>
  <c r="AF460" i="19"/>
  <c r="AH460" i="19" s="1"/>
  <c r="AI460" i="19" s="1"/>
  <c r="AF472" i="19"/>
  <c r="AH472" i="19" s="1"/>
  <c r="AI472" i="19" s="1"/>
  <c r="AF484" i="19"/>
  <c r="AH484" i="19" s="1"/>
  <c r="AI484" i="19" s="1"/>
  <c r="AF377" i="19"/>
  <c r="AH377" i="19" s="1"/>
  <c r="AI377" i="19" s="1"/>
  <c r="AF389" i="19"/>
  <c r="AH389" i="19" s="1"/>
  <c r="AI389" i="19" s="1"/>
  <c r="AF401" i="19"/>
  <c r="AH401" i="19" s="1"/>
  <c r="AI401" i="19" s="1"/>
  <c r="AF413" i="19"/>
  <c r="AH413" i="19" s="1"/>
  <c r="AI413" i="19" s="1"/>
  <c r="AF425" i="19"/>
  <c r="AH425" i="19" s="1"/>
  <c r="AI425" i="19" s="1"/>
  <c r="AF437" i="19"/>
  <c r="AH437" i="19" s="1"/>
  <c r="AI437" i="19" s="1"/>
  <c r="AF449" i="19"/>
  <c r="AH449" i="19" s="1"/>
  <c r="AI449" i="19" s="1"/>
  <c r="AF461" i="19"/>
  <c r="AH461" i="19" s="1"/>
  <c r="AI461" i="19" s="1"/>
  <c r="AF473" i="19"/>
  <c r="AH473" i="19" s="1"/>
  <c r="AI473" i="19" s="1"/>
  <c r="AF485" i="19"/>
  <c r="AH485" i="19" s="1"/>
  <c r="AI485" i="19" s="1"/>
  <c r="AF390" i="19"/>
  <c r="AH390" i="19" s="1"/>
  <c r="AI390" i="19" s="1"/>
  <c r="AF426" i="19"/>
  <c r="AH426" i="19" s="1"/>
  <c r="AI426" i="19" s="1"/>
  <c r="AF462" i="19"/>
  <c r="AH462" i="19" s="1"/>
  <c r="AI462" i="19" s="1"/>
  <c r="AF391" i="19"/>
  <c r="AH391" i="19" s="1"/>
  <c r="AI391" i="19" s="1"/>
  <c r="AF427" i="19"/>
  <c r="AH427" i="19" s="1"/>
  <c r="AI427" i="19" s="1"/>
  <c r="AF463" i="19"/>
  <c r="AH463" i="19" s="1"/>
  <c r="AI463" i="19" s="1"/>
  <c r="AF396" i="19"/>
  <c r="AH396" i="19" s="1"/>
  <c r="AI396" i="19" s="1"/>
  <c r="AF432" i="19"/>
  <c r="AH432" i="19" s="1"/>
  <c r="AI432" i="19" s="1"/>
  <c r="AF468" i="19"/>
  <c r="AH468" i="19" s="1"/>
  <c r="AI468" i="19" s="1"/>
  <c r="AF399" i="19"/>
  <c r="AH399" i="19" s="1"/>
  <c r="AI399" i="19" s="1"/>
  <c r="AF435" i="19"/>
  <c r="AH435" i="19" s="1"/>
  <c r="AI435" i="19" s="1"/>
  <c r="AF471" i="19"/>
  <c r="AH471" i="19" s="1"/>
  <c r="AI471" i="19" s="1"/>
  <c r="AF402" i="19"/>
  <c r="AH402" i="19" s="1"/>
  <c r="AI402" i="19" s="1"/>
  <c r="AF438" i="19"/>
  <c r="AH438" i="19" s="1"/>
  <c r="AI438" i="19" s="1"/>
  <c r="AF474" i="19"/>
  <c r="AH474" i="19" s="1"/>
  <c r="AI474" i="19" s="1"/>
  <c r="AF403" i="19"/>
  <c r="AH403" i="19" s="1"/>
  <c r="AI403" i="19" s="1"/>
  <c r="AF439" i="19"/>
  <c r="AH439" i="19" s="1"/>
  <c r="AI439" i="19" s="1"/>
  <c r="AF475" i="19"/>
  <c r="AH475" i="19" s="1"/>
  <c r="AI475" i="19" s="1"/>
  <c r="AF372" i="19"/>
  <c r="AH372" i="19" s="1"/>
  <c r="AI372" i="19" s="1"/>
  <c r="AF408" i="19"/>
  <c r="AH408" i="19" s="1"/>
  <c r="AI408" i="19" s="1"/>
  <c r="AF444" i="19"/>
  <c r="AH444" i="19" s="1"/>
  <c r="AI444" i="19" s="1"/>
  <c r="AF480" i="19"/>
  <c r="AH480" i="19" s="1"/>
  <c r="AI480" i="19" s="1"/>
  <c r="AF375" i="19"/>
  <c r="AH375" i="19" s="1"/>
  <c r="AI375" i="19" s="1"/>
  <c r="AF411" i="19"/>
  <c r="AH411" i="19" s="1"/>
  <c r="AI411" i="19" s="1"/>
  <c r="AF447" i="19"/>
  <c r="AH447" i="19" s="1"/>
  <c r="AI447" i="19" s="1"/>
  <c r="AF483" i="19"/>
  <c r="AH483" i="19" s="1"/>
  <c r="AI483" i="19" s="1"/>
  <c r="AF378" i="19"/>
  <c r="AH378" i="19" s="1"/>
  <c r="AI378" i="19" s="1"/>
  <c r="AF414" i="19"/>
  <c r="AH414" i="19" s="1"/>
  <c r="AI414" i="19" s="1"/>
  <c r="AF450" i="19"/>
  <c r="AH450" i="19" s="1"/>
  <c r="AI450" i="19" s="1"/>
  <c r="AF486" i="19"/>
  <c r="AH486" i="19" s="1"/>
  <c r="AI486" i="19" s="1"/>
  <c r="AF379" i="19"/>
  <c r="AH379" i="19" s="1"/>
  <c r="AI379" i="19" s="1"/>
  <c r="AF415" i="19"/>
  <c r="AH415" i="19" s="1"/>
  <c r="AI415" i="19" s="1"/>
  <c r="AF451" i="19"/>
  <c r="AH451" i="19" s="1"/>
  <c r="AI451" i="19" s="1"/>
  <c r="AF487" i="19"/>
  <c r="AH487" i="19" s="1"/>
  <c r="AI487" i="19" s="1"/>
  <c r="AF384" i="19"/>
  <c r="AH384" i="19" s="1"/>
  <c r="AI384" i="19" s="1"/>
  <c r="AF420" i="19"/>
  <c r="AH420" i="19" s="1"/>
  <c r="AI420" i="19" s="1"/>
  <c r="AF456" i="19"/>
  <c r="AH456" i="19" s="1"/>
  <c r="AI456" i="19" s="1"/>
  <c r="AF387" i="19"/>
  <c r="AH387" i="19" s="1"/>
  <c r="AI387" i="19" s="1"/>
  <c r="AF423" i="19"/>
  <c r="AH423" i="19" s="1"/>
  <c r="AI423" i="19" s="1"/>
  <c r="AF459" i="19"/>
  <c r="AH459" i="19" s="1"/>
  <c r="AI459" i="19" s="1"/>
  <c r="O204" i="9" l="1"/>
  <c r="D2" i="21" s="1"/>
  <c r="O205" i="9"/>
  <c r="D3" i="21" s="1"/>
  <c r="O206" i="9"/>
  <c r="D4" i="21" s="1"/>
  <c r="H4" i="21" s="1"/>
  <c r="AG9" i="19"/>
  <c r="AG30" i="19"/>
  <c r="AG59" i="19"/>
  <c r="AG22" i="19"/>
  <c r="AG70" i="19"/>
  <c r="AG25" i="19"/>
  <c r="AG69" i="19"/>
  <c r="AG12" i="19"/>
  <c r="AG31" i="19"/>
  <c r="AG60" i="19"/>
  <c r="AG7" i="19"/>
  <c r="AG46" i="19"/>
  <c r="AG27" i="19"/>
  <c r="AG6" i="19"/>
  <c r="AG43" i="19"/>
  <c r="AG35" i="19"/>
  <c r="AG28" i="19"/>
  <c r="AG51" i="19"/>
  <c r="AG64" i="19"/>
  <c r="AG18" i="19"/>
  <c r="AG55" i="19"/>
  <c r="AI55" i="19" s="1"/>
  <c r="AG48" i="19"/>
  <c r="AG42" i="19"/>
  <c r="AG77" i="19"/>
  <c r="AG40" i="19"/>
  <c r="AG21" i="19"/>
  <c r="AG67" i="19"/>
  <c r="AG72" i="19"/>
  <c r="AG54" i="19"/>
  <c r="AG15" i="19"/>
  <c r="AG29" i="19"/>
  <c r="AG10" i="19"/>
  <c r="AI10" i="19" s="1"/>
  <c r="AG13" i="19"/>
  <c r="AG20" i="19"/>
  <c r="AG66" i="19"/>
  <c r="AG52" i="19"/>
  <c r="AG11" i="19"/>
  <c r="AG44" i="19"/>
  <c r="AG37" i="19"/>
  <c r="AG78" i="19"/>
  <c r="AG53" i="19"/>
  <c r="AG23" i="19"/>
  <c r="AG56" i="19"/>
  <c r="AG49" i="19"/>
  <c r="AG41" i="19"/>
  <c r="AG39" i="19"/>
  <c r="AI39" i="19" s="1"/>
  <c r="AG62" i="19"/>
  <c r="AG24" i="19"/>
  <c r="AI24" i="19" s="1"/>
  <c r="AG68" i="19"/>
  <c r="AG61" i="19"/>
  <c r="AG45" i="19"/>
  <c r="AG26" i="19"/>
  <c r="AG71" i="19"/>
  <c r="AG36" i="19"/>
  <c r="AG16" i="19"/>
  <c r="AG73" i="19"/>
  <c r="AG75" i="19"/>
  <c r="AG57" i="19"/>
  <c r="AG5" i="19"/>
  <c r="AG34" i="19"/>
  <c r="AG38" i="19"/>
  <c r="AG65" i="19"/>
  <c r="AG58" i="19"/>
  <c r="AG17" i="19"/>
  <c r="AG47" i="19"/>
  <c r="AG50" i="19"/>
  <c r="AG4" i="19"/>
  <c r="AG32" i="19"/>
  <c r="AG63" i="19"/>
  <c r="AC3" i="19"/>
  <c r="AG3" i="19" s="1"/>
  <c r="AI3" i="19" s="1"/>
  <c r="AG8" i="19"/>
  <c r="AG19" i="19"/>
  <c r="AG74" i="19"/>
  <c r="AG14" i="19"/>
  <c r="AG33" i="19"/>
  <c r="AG76" i="19"/>
  <c r="AI349" i="19"/>
  <c r="AI834" i="19"/>
  <c r="AF75" i="19"/>
  <c r="AH75" i="19" s="1"/>
  <c r="AF73" i="19"/>
  <c r="AH73" i="19" s="1"/>
  <c r="AI73" i="19" s="1"/>
  <c r="AF33" i="19"/>
  <c r="AH33" i="19" s="1"/>
  <c r="AF46" i="19"/>
  <c r="AH46" i="19" s="1"/>
  <c r="AI46" i="19" s="1"/>
  <c r="AF31" i="19"/>
  <c r="AH31" i="19" s="1"/>
  <c r="AF66" i="19"/>
  <c r="AH66" i="19" s="1"/>
  <c r="AI66" i="19" s="1"/>
  <c r="AF22" i="19"/>
  <c r="AH22" i="19" s="1"/>
  <c r="AF17" i="19"/>
  <c r="AH17" i="19" s="1"/>
  <c r="AF54" i="19"/>
  <c r="AH54" i="19" s="1"/>
  <c r="AI54" i="19" s="1"/>
  <c r="AF63" i="19"/>
  <c r="AH63" i="19" s="1"/>
  <c r="AI63" i="19" s="1"/>
  <c r="AF72" i="19"/>
  <c r="AH72" i="19" s="1"/>
  <c r="AF29" i="19"/>
  <c r="AH29" i="19" s="1"/>
  <c r="AI29" i="19" s="1"/>
  <c r="AF19" i="19"/>
  <c r="AH19" i="19" s="1"/>
  <c r="AF42" i="19"/>
  <c r="AH42" i="19" s="1"/>
  <c r="AI42" i="19" s="1"/>
  <c r="AF51" i="19"/>
  <c r="AH51" i="19" s="1"/>
  <c r="AI51" i="19" s="1"/>
  <c r="AF60" i="19"/>
  <c r="AH60" i="19" s="1"/>
  <c r="AI60" i="19" s="1"/>
  <c r="AF69" i="19"/>
  <c r="AH69" i="19" s="1"/>
  <c r="AI69" i="19" s="1"/>
  <c r="AF7" i="19"/>
  <c r="AH7" i="19" s="1"/>
  <c r="AI7" i="19" s="1"/>
  <c r="AF48" i="19"/>
  <c r="AH48" i="19" s="1"/>
  <c r="AI48" i="19" s="1"/>
  <c r="AF68" i="19"/>
  <c r="AH68" i="19" s="1"/>
  <c r="AI68" i="19" s="1"/>
  <c r="AF30" i="19"/>
  <c r="AH30" i="19" s="1"/>
  <c r="AI30" i="19" s="1"/>
  <c r="AF77" i="19"/>
  <c r="AH77" i="19" s="1"/>
  <c r="AI77" i="19" s="1"/>
  <c r="AF13" i="19"/>
  <c r="AH13" i="19" s="1"/>
  <c r="AI13" i="19" s="1"/>
  <c r="AF34" i="19"/>
  <c r="AH34" i="19" s="1"/>
  <c r="AF56" i="19"/>
  <c r="AH56" i="19" s="1"/>
  <c r="AI56" i="19" s="1"/>
  <c r="AF18" i="19"/>
  <c r="AH18" i="19" s="1"/>
  <c r="AI18" i="19" s="1"/>
  <c r="AF65" i="19"/>
  <c r="AH65" i="19" s="1"/>
  <c r="AI65" i="19" s="1"/>
  <c r="AF74" i="19"/>
  <c r="AH74" i="19" s="1"/>
  <c r="AI74" i="19" s="1"/>
  <c r="AF5" i="19"/>
  <c r="AH5" i="19" s="1"/>
  <c r="AI5" i="19" s="1"/>
  <c r="AF44" i="19"/>
  <c r="AH44" i="19" s="1"/>
  <c r="AI44" i="19" s="1"/>
  <c r="AF6" i="19"/>
  <c r="AH6" i="19" s="1"/>
  <c r="AI6" i="19" s="1"/>
  <c r="AF53" i="19"/>
  <c r="AH53" i="19" s="1"/>
  <c r="AI53" i="19" s="1"/>
  <c r="AF62" i="19"/>
  <c r="AH62" i="19" s="1"/>
  <c r="AI62" i="19" s="1"/>
  <c r="AF59" i="19"/>
  <c r="AH59" i="19" s="1"/>
  <c r="AI59" i="19" s="1"/>
  <c r="AF25" i="19"/>
  <c r="AH25" i="19" s="1"/>
  <c r="AI25" i="19" s="1"/>
  <c r="AF27" i="19"/>
  <c r="AH27" i="19" s="1"/>
  <c r="AF67" i="19"/>
  <c r="AH67" i="19" s="1"/>
  <c r="AF41" i="19"/>
  <c r="AH41" i="19" s="1"/>
  <c r="AF11" i="19"/>
  <c r="AH11" i="19" s="1"/>
  <c r="AI11" i="19" s="1"/>
  <c r="AF47" i="19"/>
  <c r="AH47" i="19" s="1"/>
  <c r="AI47" i="19" s="1"/>
  <c r="AF36" i="19"/>
  <c r="AH36" i="19" s="1"/>
  <c r="AI36" i="19" s="1"/>
  <c r="AF15" i="19"/>
  <c r="AH15" i="19" s="1"/>
  <c r="AI15" i="19" s="1"/>
  <c r="AF43" i="19"/>
  <c r="AH43" i="19" s="1"/>
  <c r="AI43" i="19" s="1"/>
  <c r="AF52" i="19"/>
  <c r="AH52" i="19" s="1"/>
  <c r="AI52" i="19" s="1"/>
  <c r="AF61" i="19"/>
  <c r="AH61" i="19" s="1"/>
  <c r="AI61" i="19" s="1"/>
  <c r="AF4" i="19"/>
  <c r="AH4" i="19" s="1"/>
  <c r="AI4" i="19" s="1"/>
  <c r="AF12" i="19"/>
  <c r="AH12" i="19" s="1"/>
  <c r="AI12" i="19" s="1"/>
  <c r="AF23" i="19"/>
  <c r="AH23" i="19" s="1"/>
  <c r="AI23" i="19" s="1"/>
  <c r="AF40" i="19"/>
  <c r="AH40" i="19" s="1"/>
  <c r="AF49" i="19"/>
  <c r="AH49" i="19" s="1"/>
  <c r="AI49" i="19" s="1"/>
  <c r="AF70" i="19"/>
  <c r="AH70" i="19" s="1"/>
  <c r="AI70" i="19" s="1"/>
  <c r="AF21" i="19"/>
  <c r="AH21" i="19" s="1"/>
  <c r="AI21" i="19" s="1"/>
  <c r="AF78" i="19"/>
  <c r="AH78" i="19" s="1"/>
  <c r="AF16" i="19"/>
  <c r="AH16" i="19" s="1"/>
  <c r="AI16" i="19" s="1"/>
  <c r="AF35" i="19"/>
  <c r="AH35" i="19" s="1"/>
  <c r="AI35" i="19" s="1"/>
  <c r="AF58" i="19"/>
  <c r="AH58" i="19" s="1"/>
  <c r="AF9" i="19"/>
  <c r="AH9" i="19" s="1"/>
  <c r="AI9" i="19" s="1"/>
  <c r="AF38" i="19"/>
  <c r="AH38" i="19" s="1"/>
  <c r="AI38" i="19" s="1"/>
  <c r="AF57" i="19"/>
  <c r="AH57" i="19" s="1"/>
  <c r="AI57" i="19" s="1"/>
  <c r="AF32" i="19"/>
  <c r="AH32" i="19" s="1"/>
  <c r="AF26" i="19"/>
  <c r="AH26" i="19" s="1"/>
  <c r="AF76" i="19"/>
  <c r="AH76" i="19" s="1"/>
  <c r="AF50" i="19"/>
  <c r="AH50" i="19" s="1"/>
  <c r="AI50" i="19" s="1"/>
  <c r="AF45" i="19"/>
  <c r="AH45" i="19" s="1"/>
  <c r="AI45" i="19" s="1"/>
  <c r="AF20" i="19"/>
  <c r="AH20" i="19" s="1"/>
  <c r="AF14" i="19"/>
  <c r="AH14" i="19" s="1"/>
  <c r="AI14" i="19" s="1"/>
  <c r="AF64" i="19"/>
  <c r="AH64" i="19" s="1"/>
  <c r="AI64" i="19" s="1"/>
  <c r="AF37" i="19"/>
  <c r="AH37" i="19" s="1"/>
  <c r="AI37" i="19" s="1"/>
  <c r="AF71" i="19"/>
  <c r="AH71" i="19" s="1"/>
  <c r="AI71" i="19" s="1"/>
  <c r="AF28" i="19"/>
  <c r="AH28" i="19" s="1"/>
  <c r="AI28" i="19" s="1"/>
  <c r="AF8" i="19"/>
  <c r="AH8" i="19" s="1"/>
  <c r="AI8" i="19" s="1"/>
  <c r="AI72" i="19" l="1"/>
  <c r="AI58" i="19"/>
  <c r="AI17" i="19"/>
  <c r="AI22" i="19"/>
  <c r="AI20" i="19"/>
  <c r="AI78" i="19"/>
  <c r="AI31" i="19"/>
  <c r="H3" i="21"/>
  <c r="AI40" i="19"/>
  <c r="AI75" i="19"/>
  <c r="AI33" i="19"/>
  <c r="AI76" i="19"/>
  <c r="AI41" i="19"/>
  <c r="AI26" i="19"/>
  <c r="AI67" i="19"/>
  <c r="AI19" i="19"/>
  <c r="AI32" i="19"/>
  <c r="AI27" i="19"/>
  <c r="AI34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<sst xmlns="http://schemas.openxmlformats.org/spreadsheetml/2006/main" count="365" uniqueCount="64">
  <si>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</si>
  <si>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</si>
  <si>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</si>
  <si>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</si>
  <si>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</si>
  <si>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</si>
  <si>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</si>
  <si>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</si>
  <si>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</si>
  <si>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</si>
  <si>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Time Step</t>
  </si>
  <si>
    <t>Number of Infections per timestep</t>
  </si>
  <si>
    <t>Average</t>
  </si>
  <si>
    <t>Mobility per timestep</t>
  </si>
  <si>
    <t># Out per timestep</t>
  </si>
  <si>
    <t>DNC4 per timestep</t>
  </si>
  <si>
    <t>Mobility Curve Data</t>
  </si>
  <si>
    <t>DNC</t>
  </si>
  <si>
    <t>Out</t>
  </si>
  <si>
    <t>% New Active Cases</t>
  </si>
  <si>
    <t>Mobility</t>
  </si>
  <si>
    <t>Best Fit Exp Line</t>
  </si>
  <si>
    <t>Residuals</t>
  </si>
  <si>
    <t>Cumulative New Infections</t>
  </si>
  <si>
    <t>Mobility Calculated for people going out</t>
  </si>
  <si>
    <t>Average for 25ts</t>
  </si>
  <si>
    <t>Average of Average for 25ts</t>
  </si>
  <si>
    <t>Max run</t>
  </si>
  <si>
    <t>Min run</t>
  </si>
  <si>
    <t>Min</t>
  </si>
  <si>
    <t>Max</t>
  </si>
  <si>
    <t>average</t>
  </si>
  <si>
    <t>Cummulative</t>
  </si>
  <si>
    <t>Cumullative Sums</t>
  </si>
  <si>
    <t>95 min</t>
  </si>
  <si>
    <t>95 max</t>
  </si>
  <si>
    <t>Largest Peak in Cases</t>
  </si>
  <si>
    <t>Epidemic Duration</t>
  </si>
  <si>
    <t>Average amount of time steps</t>
  </si>
  <si>
    <t>Average number of ts</t>
  </si>
  <si>
    <t>Average #ts</t>
  </si>
  <si>
    <t>Redo average of largest peaks</t>
  </si>
  <si>
    <t>BAR without top 10 and low 10. so drop 2 runs for bar</t>
  </si>
  <si>
    <t>median peak, 80% CI</t>
  </si>
  <si>
    <t>Median</t>
  </si>
  <si>
    <t>10% Run</t>
  </si>
  <si>
    <t>90%Run</t>
  </si>
  <si>
    <t>Cumulative Cases</t>
  </si>
  <si>
    <t>TS</t>
  </si>
  <si>
    <t>90%'</t>
  </si>
  <si>
    <t>Bottom 10%</t>
  </si>
  <si>
    <t>Top 90%</t>
  </si>
  <si>
    <t>Largest Peak</t>
  </si>
  <si>
    <t>Median of Average</t>
  </si>
  <si>
    <t>Low 10%</t>
  </si>
  <si>
    <t>Top 10%</t>
  </si>
  <si>
    <t>Mobility in First Twenty-Five Time Steps (# Out)</t>
  </si>
  <si>
    <t>Cumulative Median</t>
  </si>
  <si>
    <t>Bot 10%</t>
  </si>
  <si>
    <t>Diff10%</t>
  </si>
  <si>
    <t>Diff90%</t>
  </si>
  <si>
    <t>Base Run</t>
  </si>
  <si>
    <t>Symptom Information</t>
  </si>
  <si>
    <t>Full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</si>
</sst>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8">
    <xf numFmtId="0" fontId="0" fillId="0" borderId="0" xfId="0"/>
    <xf numFmtId="9" fontId="0" fillId="0" borderId="0" xfId="1" applyFont="1"/>
    <xf numFmtId="164" fontId="0" fillId="0" borderId="0" xfId="1" applyNumberFormat="1" applyFont="1"/>
    <xf numFmtId="0" fontId="4" fillId="0" borderId="0" xfId="0" applyFont="1"/>
    <xf numFmtId="0" fontId="3" fillId="2" borderId="0" xfId="2"/>
    <xf numFmtId="9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</cellXfs>
  <cellStyles count="3">
    <cellStyle name="Neutral" xfId="2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23.xml"/><Relationship Id="rId47" Type="http://schemas.openxmlformats.org/officeDocument/2006/relationships/externalLink" Target="externalLinks/externalLink28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0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21.xml"/><Relationship Id="rId45" Type="http://schemas.openxmlformats.org/officeDocument/2006/relationships/externalLink" Target="externalLinks/externalLink26.xml"/><Relationship Id="rId53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4" Type="http://schemas.openxmlformats.org/officeDocument/2006/relationships/externalLink" Target="externalLinks/externalLink25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24.xml"/><Relationship Id="rId48" Type="http://schemas.openxmlformats.org/officeDocument/2006/relationships/externalLink" Target="externalLinks/externalLink29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19.xml"/><Relationship Id="rId46" Type="http://schemas.openxmlformats.org/officeDocument/2006/relationships/externalLink" Target="externalLinks/externalLink27.xml"/><Relationship Id="rId20" Type="http://schemas.openxmlformats.org/officeDocument/2006/relationships/externalLink" Target="externalLinks/externalLink1.xml"/><Relationship Id="rId41" Type="http://schemas.openxmlformats.org/officeDocument/2006/relationships/externalLink" Target="externalLinks/externalLink22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49" Type="http://schemas.openxmlformats.org/officeDocument/2006/relationships/externalLink" Target="externalLinks/externalLink3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 Medians'!$Y$5</c:f>
              <c:strCache>
                <c:ptCount val="1"/>
              </c:strCache>
            </c:strRef>
          </c:tx>
          <c:spPr>
            <a:solidFill>
              <a:schemeClr val="accent4">
                <a:lumMod val="75000"/>
              </a:schemeClr>
            </a:solidFill>
            <a:ln w="22225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'Bar Chart Medians'!$B$9:$D$9</c:f>
                <c:numCache>
                  <c:formatCode>General</c:formatCode>
                  <c:ptCount val="3"/>
                  <c:pt idx="0">
                    <c:v>7.9999999999968985E-5</c:v>
                  </c:pt>
                  <c:pt idx="1">
                    <c:v>1.6599999999997728E-3</c:v>
                  </c:pt>
                  <c:pt idx="2">
                    <c:v>2.0680000000000143E-2</c:v>
                  </c:pt>
                </c:numCache>
              </c:numRef>
            </c:plus>
            <c:minus>
              <c:numRef>
                <c:f>'Bar Chart Medians'!$B$8:$D$8</c:f>
                <c:numCache>
                  <c:formatCode>General</c:formatCode>
                  <c:ptCount val="3"/>
                  <c:pt idx="0">
                    <c:v>1.1999999999998678E-3</c:v>
                  </c:pt>
                  <c:pt idx="1">
                    <c:v>4.2200000000002236E-3</c:v>
                  </c:pt>
                  <c:pt idx="2">
                    <c:v>1.8840000000000079E-2</c:v>
                  </c:pt>
                </c:numCache>
              </c:numRef>
            </c:minus>
            <c:spPr>
              <a:noFill/>
              <a:ln w="19050" cap="flat" cmpd="sng" algn="ctr">
                <a:solidFill>
                  <a:srgbClr val="C00000"/>
                </a:solidFill>
                <a:round/>
              </a:ln>
              <a:effectLst/>
            </c:spPr>
          </c:errBars>
          <c:cat>
            <c:strRef>
              <c:f>'Bar Graphs Means'!$B$1:$D$1</c:f>
              <c:strCache>
                <c:ptCount val="3"/>
                <c:pt idx="0">
                  <c:v>Base Run</c:v>
                </c:pt>
                <c:pt idx="1">
                  <c:v>Symptom Information</c:v>
                </c:pt>
                <c:pt idx="2">
                  <c:v>Full Feedback</c:v>
                </c:pt>
              </c:strCache>
            </c:strRef>
          </c:cat>
          <c:val>
            <c:numRef>
              <c:f>'Bar Chart Medians'!$B$4:$D$4</c:f>
              <c:numCache>
                <c:formatCode>General</c:formatCode>
                <c:ptCount val="3"/>
                <c:pt idx="0">
                  <c:v>0.99992000000000003</c:v>
                </c:pt>
                <c:pt idx="1">
                  <c:v>0.8781000000000001</c:v>
                </c:pt>
                <c:pt idx="2">
                  <c:v>0.71815999999999991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9-4308-869C-F59BFDFDA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6330032"/>
        <c:axId val="1663089040"/>
      </c:barChart>
      <c:catAx>
        <c:axId val="27633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089040"/>
        <c:crosses val="autoZero"/>
        <c:auto val="1"/>
        <c:lblAlgn val="ctr"/>
        <c:lblOffset val="100"/>
        <c:noMultiLvlLbl val="0"/>
      </c:catAx>
      <c:valAx>
        <c:axId val="16630890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</a:t>
                </a:r>
                <a:r>
                  <a:rPr lang="en-US" baseline="0"/>
                  <a:t> mobility in the first 25 time steps, 80% bounds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33003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 Medians'!$H$4:$J$4</c:f>
              <c:strCache>
                <c:ptCount val="3"/>
                <c:pt idx="0">
                  <c:v>998</c:v>
                </c:pt>
                <c:pt idx="1">
                  <c:v>775</c:v>
                </c:pt>
                <c:pt idx="2">
                  <c:v>377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 w="22225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'Bar Chart Medians'!$H$9:$J$9</c:f>
                <c:numCache>
                  <c:formatCode>General</c:formatCode>
                  <c:ptCount val="3"/>
                  <c:pt idx="0">
                    <c:v>1</c:v>
                  </c:pt>
                  <c:pt idx="1">
                    <c:v>18</c:v>
                  </c:pt>
                  <c:pt idx="2">
                    <c:v>101</c:v>
                  </c:pt>
                </c:numCache>
              </c:numRef>
            </c:plus>
            <c:minus>
              <c:numRef>
                <c:f>'Bar Chart Medians'!$H$8:$J$8</c:f>
                <c:numCache>
                  <c:formatCode>General</c:formatCode>
                  <c:ptCount val="3"/>
                  <c:pt idx="0">
                    <c:v>1</c:v>
                  </c:pt>
                  <c:pt idx="1">
                    <c:v>14</c:v>
                  </c:pt>
                  <c:pt idx="2">
                    <c:v>32</c:v>
                  </c:pt>
                </c:numCache>
              </c:numRef>
            </c:minus>
            <c:spPr>
              <a:noFill/>
              <a:ln w="19050" cap="flat" cmpd="sng" algn="ctr">
                <a:solidFill>
                  <a:srgbClr val="C00000"/>
                </a:solidFill>
                <a:round/>
              </a:ln>
              <a:effectLst/>
            </c:spPr>
          </c:errBars>
          <c:cat>
            <c:strRef>
              <c:f>'Bar Graphs Means'!$O$1:$Q$1</c:f>
              <c:strCache>
                <c:ptCount val="3"/>
                <c:pt idx="0">
                  <c:v>Base Run</c:v>
                </c:pt>
                <c:pt idx="1">
                  <c:v>Symptom Information</c:v>
                </c:pt>
                <c:pt idx="2">
                  <c:v>Full Feedback</c:v>
                </c:pt>
              </c:strCache>
            </c:strRef>
          </c:cat>
          <c:val>
            <c:numRef>
              <c:f>'Bar Chart Medians'!$H$4:$J$4</c:f>
              <c:numCache>
                <c:formatCode>General</c:formatCode>
                <c:ptCount val="3"/>
                <c:pt idx="0">
                  <c:v>998</c:v>
                </c:pt>
                <c:pt idx="1">
                  <c:v>775</c:v>
                </c:pt>
                <c:pt idx="2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B-4542-A18B-6FFB937C0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144848"/>
        <c:axId val="146862496"/>
      </c:barChart>
      <c:catAx>
        <c:axId val="179914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62496"/>
        <c:crosses val="autoZero"/>
        <c:auto val="1"/>
        <c:lblAlgn val="ctr"/>
        <c:lblOffset val="100"/>
        <c:noMultiLvlLbl val="0"/>
      </c:catAx>
      <c:valAx>
        <c:axId val="14686249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</a:t>
                </a:r>
                <a:r>
                  <a:rPr lang="en-US" baseline="0"/>
                  <a:t> cumulative cases, 80% bounds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144848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 Medians'!$N$4:$P$4</c:f>
              <c:strCache>
                <c:ptCount val="3"/>
                <c:pt idx="0">
                  <c:v>189.5</c:v>
                </c:pt>
                <c:pt idx="1">
                  <c:v>94.5</c:v>
                </c:pt>
                <c:pt idx="2">
                  <c:v>20</c:v>
                </c:pt>
              </c:strCache>
            </c:strRef>
          </c:tx>
          <c:spPr>
            <a:solidFill>
              <a:schemeClr val="accent1"/>
            </a:solidFill>
            <a:ln w="22225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'Bar Chart Medians'!$N$9:$P$9</c:f>
                <c:numCache>
                  <c:formatCode>General</c:formatCode>
                  <c:ptCount val="3"/>
                  <c:pt idx="0">
                    <c:v>8.5</c:v>
                  </c:pt>
                  <c:pt idx="1">
                    <c:v>9.5</c:v>
                  </c:pt>
                  <c:pt idx="2">
                    <c:v>9</c:v>
                  </c:pt>
                </c:numCache>
              </c:numRef>
            </c:plus>
            <c:minus>
              <c:numRef>
                <c:f>'Bar Chart Medians'!$N$8:$P$8</c:f>
                <c:numCache>
                  <c:formatCode>General</c:formatCode>
                  <c:ptCount val="3"/>
                  <c:pt idx="0">
                    <c:v>11.5</c:v>
                  </c:pt>
                  <c:pt idx="1">
                    <c:v>7.5</c:v>
                  </c:pt>
                  <c:pt idx="2">
                    <c:v>3</c:v>
                  </c:pt>
                </c:numCache>
              </c:numRef>
            </c:minus>
            <c:spPr>
              <a:noFill/>
              <a:ln w="19050" cap="flat" cmpd="sng" algn="ctr">
                <a:solidFill>
                  <a:srgbClr val="C00000"/>
                </a:solidFill>
                <a:round/>
              </a:ln>
              <a:effectLst/>
            </c:spPr>
          </c:errBars>
          <c:cat>
            <c:strRef>
              <c:f>'Bar Graphs Means'!$Z$1:$AB$4</c:f>
              <c:strCache>
                <c:ptCount val="3"/>
                <c:pt idx="0">
                  <c:v>Base Run</c:v>
                </c:pt>
                <c:pt idx="1">
                  <c:v>Symptom Information</c:v>
                </c:pt>
                <c:pt idx="2">
                  <c:v>Full Feedback</c:v>
                </c:pt>
              </c:strCache>
            </c:strRef>
          </c:cat>
          <c:val>
            <c:numRef>
              <c:f>'Bar Chart Medians'!$N$4:$P$4</c:f>
              <c:numCache>
                <c:formatCode>General</c:formatCode>
                <c:ptCount val="3"/>
                <c:pt idx="0">
                  <c:v>189.5</c:v>
                </c:pt>
                <c:pt idx="1">
                  <c:v>94.5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4-4587-BA52-A4F2BACD6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144848"/>
        <c:axId val="146862496"/>
      </c:barChart>
      <c:catAx>
        <c:axId val="179914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62496"/>
        <c:crosses val="autoZero"/>
        <c:auto val="1"/>
        <c:lblAlgn val="ctr"/>
        <c:lblOffset val="100"/>
        <c:noMultiLvlLbl val="0"/>
      </c:catAx>
      <c:valAx>
        <c:axId val="146862496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largest</a:t>
                </a:r>
                <a:r>
                  <a:rPr lang="en-US" baseline="0"/>
                  <a:t> peak, 80% bounds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144848"/>
        <c:crosses val="autoZero"/>
        <c:crossBetween val="between"/>
        <c:majorUnit val="4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50000"/>
              </a:schemeClr>
            </a:solidFill>
            <a:ln w="22225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'Bar Chart Medians'!$T$9:$V$9</c:f>
                <c:numCache>
                  <c:formatCode>General</c:formatCode>
                  <c:ptCount val="3"/>
                  <c:pt idx="0">
                    <c:v>1</c:v>
                  </c:pt>
                  <c:pt idx="1">
                    <c:v>2.5</c:v>
                  </c:pt>
                  <c:pt idx="2">
                    <c:v>36</c:v>
                  </c:pt>
                </c:numCache>
              </c:numRef>
            </c:plus>
            <c:minus>
              <c:numRef>
                <c:f>'Bar Chart Medians'!$T$8:$V$8</c:f>
                <c:numCache>
                  <c:formatCode>General</c:formatCode>
                  <c:ptCount val="3"/>
                  <c:pt idx="0">
                    <c:v>2</c:v>
                  </c:pt>
                  <c:pt idx="1">
                    <c:v>4.5</c:v>
                  </c:pt>
                  <c:pt idx="2">
                    <c:v>12</c:v>
                  </c:pt>
                </c:numCache>
              </c:numRef>
            </c:minus>
            <c:spPr>
              <a:noFill/>
              <a:ln w="19050" cap="flat" cmpd="sng" algn="ctr">
                <a:solidFill>
                  <a:srgbClr val="C00000"/>
                </a:solidFill>
                <a:round/>
              </a:ln>
              <a:effectLst/>
            </c:spPr>
          </c:errBars>
          <c:cat>
            <c:strRef>
              <c:f>'Bar Graphs Means'!$AF$1:$AH$1</c:f>
              <c:strCache>
                <c:ptCount val="3"/>
                <c:pt idx="0">
                  <c:v>Base Run</c:v>
                </c:pt>
                <c:pt idx="1">
                  <c:v>Symptom Information</c:v>
                </c:pt>
                <c:pt idx="2">
                  <c:v>Full Feedback</c:v>
                </c:pt>
              </c:strCache>
            </c:strRef>
          </c:cat>
          <c:val>
            <c:numRef>
              <c:f>'Bar Chart Medians'!$T$4:$V$4</c:f>
              <c:numCache>
                <c:formatCode>General</c:formatCode>
                <c:ptCount val="3"/>
                <c:pt idx="0">
                  <c:v>24</c:v>
                </c:pt>
                <c:pt idx="1">
                  <c:v>30.5</c:v>
                </c:pt>
                <c:pt idx="2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0-449F-94C2-45403D542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144848"/>
        <c:axId val="146862496"/>
      </c:barChart>
      <c:catAx>
        <c:axId val="179914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62496"/>
        <c:crosses val="autoZero"/>
        <c:auto val="1"/>
        <c:lblAlgn val="ctr"/>
        <c:lblOffset val="100"/>
        <c:noMultiLvlLbl val="0"/>
      </c:catAx>
      <c:valAx>
        <c:axId val="146862496"/>
        <c:scaling>
          <c:orientation val="minMax"/>
          <c:max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Epidemic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14484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 Medians'!$H$4:$J$4</c:f>
              <c:strCache>
                <c:ptCount val="3"/>
                <c:pt idx="0">
                  <c:v>998</c:v>
                </c:pt>
                <c:pt idx="1">
                  <c:v>775</c:v>
                </c:pt>
                <c:pt idx="2">
                  <c:v>377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 w="22225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'Bar Chart Medians'!$H$9:$J$9</c:f>
                <c:numCache>
                  <c:formatCode>General</c:formatCode>
                  <c:ptCount val="3"/>
                  <c:pt idx="0">
                    <c:v>1</c:v>
                  </c:pt>
                  <c:pt idx="1">
                    <c:v>18</c:v>
                  </c:pt>
                  <c:pt idx="2">
                    <c:v>101</c:v>
                  </c:pt>
                </c:numCache>
              </c:numRef>
            </c:plus>
            <c:minus>
              <c:numRef>
                <c:f>'Bar Chart Medians'!$H$8:$J$8</c:f>
                <c:numCache>
                  <c:formatCode>General</c:formatCode>
                  <c:ptCount val="3"/>
                  <c:pt idx="0">
                    <c:v>1</c:v>
                  </c:pt>
                  <c:pt idx="1">
                    <c:v>14</c:v>
                  </c:pt>
                  <c:pt idx="2">
                    <c:v>32</c:v>
                  </c:pt>
                </c:numCache>
              </c:numRef>
            </c:minus>
            <c:spPr>
              <a:noFill/>
              <a:ln w="19050" cap="flat" cmpd="sng" algn="ctr">
                <a:solidFill>
                  <a:srgbClr val="C00000"/>
                </a:solidFill>
                <a:round/>
              </a:ln>
              <a:effectLst/>
            </c:spPr>
          </c:errBars>
          <c:cat>
            <c:strRef>
              <c:f>'Bar Graphs Means'!$O$1:$Q$1</c:f>
              <c:strCache>
                <c:ptCount val="3"/>
                <c:pt idx="0">
                  <c:v>Base Run</c:v>
                </c:pt>
                <c:pt idx="1">
                  <c:v>Symptom Information</c:v>
                </c:pt>
                <c:pt idx="2">
                  <c:v>Full Feedback</c:v>
                </c:pt>
              </c:strCache>
            </c:strRef>
          </c:cat>
          <c:val>
            <c:numRef>
              <c:f>'Bar Chart Medians'!$H$4:$J$4</c:f>
              <c:numCache>
                <c:formatCode>General</c:formatCode>
                <c:ptCount val="3"/>
                <c:pt idx="0">
                  <c:v>998</c:v>
                </c:pt>
                <c:pt idx="1">
                  <c:v>775</c:v>
                </c:pt>
                <c:pt idx="2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2-408B-BB58-9E121DA5A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144848"/>
        <c:axId val="146862496"/>
      </c:barChart>
      <c:catAx>
        <c:axId val="179914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62496"/>
        <c:crosses val="autoZero"/>
        <c:auto val="1"/>
        <c:lblAlgn val="ctr"/>
        <c:lblOffset val="100"/>
        <c:noMultiLvlLbl val="0"/>
      </c:catAx>
      <c:valAx>
        <c:axId val="14686249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Cumulative Cases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144848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50000"/>
              </a:schemeClr>
            </a:solidFill>
            <a:ln w="22225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'Bar Chart Medians'!$T$9:$V$9</c:f>
                <c:numCache>
                  <c:formatCode>General</c:formatCode>
                  <c:ptCount val="3"/>
                  <c:pt idx="0">
                    <c:v>1</c:v>
                  </c:pt>
                  <c:pt idx="1">
                    <c:v>2.5</c:v>
                  </c:pt>
                  <c:pt idx="2">
                    <c:v>36</c:v>
                  </c:pt>
                </c:numCache>
              </c:numRef>
            </c:plus>
            <c:minus>
              <c:numRef>
                <c:f>'Bar Chart Medians'!$T$8:$V$8</c:f>
                <c:numCache>
                  <c:formatCode>General</c:formatCode>
                  <c:ptCount val="3"/>
                  <c:pt idx="0">
                    <c:v>2</c:v>
                  </c:pt>
                  <c:pt idx="1">
                    <c:v>4.5</c:v>
                  </c:pt>
                  <c:pt idx="2">
                    <c:v>12</c:v>
                  </c:pt>
                </c:numCache>
              </c:numRef>
            </c:minus>
            <c:spPr>
              <a:noFill/>
              <a:ln w="19050" cap="flat" cmpd="sng" algn="ctr">
                <a:solidFill>
                  <a:srgbClr val="C00000"/>
                </a:solidFill>
                <a:round/>
              </a:ln>
              <a:effectLst/>
            </c:spPr>
          </c:errBars>
          <c:cat>
            <c:strRef>
              <c:f>'Bar Graphs Means'!$AF$1:$AH$1</c:f>
              <c:strCache>
                <c:ptCount val="3"/>
                <c:pt idx="0">
                  <c:v>Base Run</c:v>
                </c:pt>
                <c:pt idx="1">
                  <c:v>Symptom Information</c:v>
                </c:pt>
                <c:pt idx="2">
                  <c:v>Full Feedback</c:v>
                </c:pt>
              </c:strCache>
            </c:strRef>
          </c:cat>
          <c:val>
            <c:numRef>
              <c:f>'Bar Chart Medians'!$T$4:$V$4</c:f>
              <c:numCache>
                <c:formatCode>General</c:formatCode>
                <c:ptCount val="3"/>
                <c:pt idx="0">
                  <c:v>24</c:v>
                </c:pt>
                <c:pt idx="1">
                  <c:v>30.5</c:v>
                </c:pt>
                <c:pt idx="2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6-4253-BE9E-450EDBBAC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144848"/>
        <c:axId val="146862496"/>
      </c:barChart>
      <c:catAx>
        <c:axId val="179914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62496"/>
        <c:crosses val="autoZero"/>
        <c:auto val="1"/>
        <c:lblAlgn val="ctr"/>
        <c:lblOffset val="100"/>
        <c:noMultiLvlLbl val="0"/>
      </c:catAx>
      <c:valAx>
        <c:axId val="14686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Epidemic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14484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 Medians'!$Y$5</c:f>
              <c:strCache>
                <c:ptCount val="1"/>
              </c:strCache>
            </c:strRef>
          </c:tx>
          <c:spPr>
            <a:solidFill>
              <a:schemeClr val="accent4">
                <a:lumMod val="75000"/>
              </a:schemeClr>
            </a:solidFill>
            <a:ln w="22225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'Bar Chart Medians'!$B$9:$D$9</c:f>
                <c:numCache>
                  <c:formatCode>General</c:formatCode>
                  <c:ptCount val="3"/>
                  <c:pt idx="0">
                    <c:v>7.9999999999968985E-5</c:v>
                  </c:pt>
                  <c:pt idx="1">
                    <c:v>1.6599999999997728E-3</c:v>
                  </c:pt>
                  <c:pt idx="2">
                    <c:v>2.0680000000000143E-2</c:v>
                  </c:pt>
                </c:numCache>
              </c:numRef>
            </c:plus>
            <c:minus>
              <c:numRef>
                <c:f>'Bar Chart Medians'!$B$8:$D$8</c:f>
                <c:numCache>
                  <c:formatCode>General</c:formatCode>
                  <c:ptCount val="3"/>
                  <c:pt idx="0">
                    <c:v>1.1999999999998678E-3</c:v>
                  </c:pt>
                  <c:pt idx="1">
                    <c:v>4.2200000000002236E-3</c:v>
                  </c:pt>
                  <c:pt idx="2">
                    <c:v>1.8840000000000079E-2</c:v>
                  </c:pt>
                </c:numCache>
              </c:numRef>
            </c:minus>
            <c:spPr>
              <a:noFill/>
              <a:ln w="19050" cap="flat" cmpd="sng" algn="ctr">
                <a:solidFill>
                  <a:srgbClr val="C00000"/>
                </a:solidFill>
                <a:round/>
              </a:ln>
              <a:effectLst/>
            </c:spPr>
          </c:errBars>
          <c:cat>
            <c:strRef>
              <c:f>'Bar Graphs Means'!$B$1:$D$1</c:f>
              <c:strCache>
                <c:ptCount val="3"/>
                <c:pt idx="0">
                  <c:v>Base Run</c:v>
                </c:pt>
                <c:pt idx="1">
                  <c:v>Symptom Information</c:v>
                </c:pt>
                <c:pt idx="2">
                  <c:v>Full Feedback</c:v>
                </c:pt>
              </c:strCache>
            </c:strRef>
          </c:cat>
          <c:val>
            <c:numRef>
              <c:f>'Bar Chart Medians'!$B$4:$D$4</c:f>
              <c:numCache>
                <c:formatCode>General</c:formatCode>
                <c:ptCount val="3"/>
                <c:pt idx="0">
                  <c:v>0.99992000000000003</c:v>
                </c:pt>
                <c:pt idx="1">
                  <c:v>0.8781000000000001</c:v>
                </c:pt>
                <c:pt idx="2">
                  <c:v>0.71815999999999991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3-47D5-A4F6-0BC20F566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6330032"/>
        <c:axId val="1663089040"/>
      </c:barChart>
      <c:catAx>
        <c:axId val="27633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089040"/>
        <c:crosses val="autoZero"/>
        <c:auto val="1"/>
        <c:lblAlgn val="ctr"/>
        <c:lblOffset val="100"/>
        <c:noMultiLvlLbl val="0"/>
      </c:catAx>
      <c:valAx>
        <c:axId val="16630890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 in the First 25 Time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33003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 Medians'!$N$4:$P$4</c:f>
              <c:strCache>
                <c:ptCount val="3"/>
                <c:pt idx="0">
                  <c:v>189.5</c:v>
                </c:pt>
                <c:pt idx="1">
                  <c:v>94.5</c:v>
                </c:pt>
                <c:pt idx="2">
                  <c:v>20</c:v>
                </c:pt>
              </c:strCache>
            </c:strRef>
          </c:tx>
          <c:spPr>
            <a:solidFill>
              <a:schemeClr val="accent1"/>
            </a:solidFill>
            <a:ln w="22225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'Bar Chart Medians'!$N$9:$P$9</c:f>
                <c:numCache>
                  <c:formatCode>General</c:formatCode>
                  <c:ptCount val="3"/>
                  <c:pt idx="0">
                    <c:v>8.5</c:v>
                  </c:pt>
                  <c:pt idx="1">
                    <c:v>9.5</c:v>
                  </c:pt>
                  <c:pt idx="2">
                    <c:v>9</c:v>
                  </c:pt>
                </c:numCache>
              </c:numRef>
            </c:plus>
            <c:minus>
              <c:numRef>
                <c:f>'Bar Chart Medians'!$N$8:$P$8</c:f>
                <c:numCache>
                  <c:formatCode>General</c:formatCode>
                  <c:ptCount val="3"/>
                  <c:pt idx="0">
                    <c:v>11.5</c:v>
                  </c:pt>
                  <c:pt idx="1">
                    <c:v>7.5</c:v>
                  </c:pt>
                  <c:pt idx="2">
                    <c:v>3</c:v>
                  </c:pt>
                </c:numCache>
              </c:numRef>
            </c:minus>
            <c:spPr>
              <a:noFill/>
              <a:ln w="19050" cap="flat" cmpd="sng" algn="ctr">
                <a:solidFill>
                  <a:srgbClr val="C00000"/>
                </a:solidFill>
                <a:round/>
              </a:ln>
              <a:effectLst/>
            </c:spPr>
          </c:errBars>
          <c:cat>
            <c:strRef>
              <c:f>'Bar Graphs Means'!$Z$1:$AB$4</c:f>
              <c:strCache>
                <c:ptCount val="3"/>
                <c:pt idx="0">
                  <c:v>Base Run</c:v>
                </c:pt>
                <c:pt idx="1">
                  <c:v>Symptom Information</c:v>
                </c:pt>
                <c:pt idx="2">
                  <c:v>Full Feedback</c:v>
                </c:pt>
              </c:strCache>
            </c:strRef>
          </c:cat>
          <c:val>
            <c:numRef>
              <c:f>'Bar Chart Medians'!$N$4:$P$4</c:f>
              <c:numCache>
                <c:formatCode>General</c:formatCode>
                <c:ptCount val="3"/>
                <c:pt idx="0">
                  <c:v>189.5</c:v>
                </c:pt>
                <c:pt idx="1">
                  <c:v>94.5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3-4046-BB61-A7D525A81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144848"/>
        <c:axId val="146862496"/>
      </c:barChart>
      <c:catAx>
        <c:axId val="179914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62496"/>
        <c:crosses val="autoZero"/>
        <c:auto val="1"/>
        <c:lblAlgn val="ctr"/>
        <c:lblOffset val="100"/>
        <c:noMultiLvlLbl val="0"/>
      </c:catAx>
      <c:valAx>
        <c:axId val="146862496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Largest Peak in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144848"/>
        <c:crosses val="autoZero"/>
        <c:crossBetween val="between"/>
        <c:majorUnit val="4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'Infected SF'!$B$2</c:f>
              <c:strCache>
                <c:ptCount val="1"/>
                <c:pt idx="0">
                  <c:v>Run 1</c:v>
                </c:pt>
              </c:strCache>
            </c:strRef>
          </c:tx>
          <c:spPr>
            <a:ln w="19050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SF'!$B$3:$B$37</c:f>
              <c:numCache>
                <c:formatCode>General</c:formatCode>
                <c:ptCount val="35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21</c:v>
                </c:pt>
                <c:pt idx="4">
                  <c:v>37</c:v>
                </c:pt>
                <c:pt idx="5">
                  <c:v>66</c:v>
                </c:pt>
                <c:pt idx="6">
                  <c:v>101</c:v>
                </c:pt>
                <c:pt idx="7">
                  <c:v>154</c:v>
                </c:pt>
                <c:pt idx="8">
                  <c:v>212</c:v>
                </c:pt>
                <c:pt idx="9">
                  <c:v>273</c:v>
                </c:pt>
                <c:pt idx="10">
                  <c:v>344</c:v>
                </c:pt>
                <c:pt idx="11">
                  <c:v>397</c:v>
                </c:pt>
                <c:pt idx="12">
                  <c:v>449</c:v>
                </c:pt>
                <c:pt idx="13">
                  <c:v>466</c:v>
                </c:pt>
                <c:pt idx="14">
                  <c:v>456</c:v>
                </c:pt>
                <c:pt idx="15">
                  <c:v>427</c:v>
                </c:pt>
                <c:pt idx="16">
                  <c:v>362</c:v>
                </c:pt>
                <c:pt idx="17">
                  <c:v>298</c:v>
                </c:pt>
                <c:pt idx="18">
                  <c:v>216</c:v>
                </c:pt>
                <c:pt idx="19">
                  <c:v>148</c:v>
                </c:pt>
                <c:pt idx="20">
                  <c:v>100</c:v>
                </c:pt>
                <c:pt idx="21">
                  <c:v>58</c:v>
                </c:pt>
                <c:pt idx="22">
                  <c:v>36</c:v>
                </c:pt>
                <c:pt idx="23">
                  <c:v>19</c:v>
                </c:pt>
                <c:pt idx="24">
                  <c:v>13</c:v>
                </c:pt>
                <c:pt idx="25">
                  <c:v>9</c:v>
                </c:pt>
                <c:pt idx="26">
                  <c:v>5</c:v>
                </c:pt>
                <c:pt idx="27">
                  <c:v>4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C1-47E6-B75C-C7ABA200B475}"/>
            </c:ext>
          </c:extLst>
        </c:ser>
        <c:ser>
          <c:idx val="1"/>
          <c:order val="1"/>
          <c:tx>
            <c:strRef>
              <c:f>'Infected SF'!$C$2</c:f>
              <c:strCache>
                <c:ptCount val="1"/>
                <c:pt idx="0">
                  <c:v>Run 2</c:v>
                </c:pt>
              </c:strCache>
            </c:strRef>
          </c:tx>
          <c:spPr>
            <a:ln w="19050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SF'!$C$3:$C$37</c:f>
              <c:numCache>
                <c:formatCode>General</c:formatCode>
                <c:ptCount val="35"/>
                <c:pt idx="0">
                  <c:v>2</c:v>
                </c:pt>
                <c:pt idx="1">
                  <c:v>4</c:v>
                </c:pt>
                <c:pt idx="2">
                  <c:v>12</c:v>
                </c:pt>
                <c:pt idx="3">
                  <c:v>17</c:v>
                </c:pt>
                <c:pt idx="4">
                  <c:v>26</c:v>
                </c:pt>
                <c:pt idx="5">
                  <c:v>40</c:v>
                </c:pt>
                <c:pt idx="6">
                  <c:v>53</c:v>
                </c:pt>
                <c:pt idx="7">
                  <c:v>79</c:v>
                </c:pt>
                <c:pt idx="8">
                  <c:v>107</c:v>
                </c:pt>
                <c:pt idx="9">
                  <c:v>152</c:v>
                </c:pt>
                <c:pt idx="10">
                  <c:v>208</c:v>
                </c:pt>
                <c:pt idx="11">
                  <c:v>269</c:v>
                </c:pt>
                <c:pt idx="12">
                  <c:v>343</c:v>
                </c:pt>
                <c:pt idx="13">
                  <c:v>410</c:v>
                </c:pt>
                <c:pt idx="14">
                  <c:v>455</c:v>
                </c:pt>
                <c:pt idx="15">
                  <c:v>472</c:v>
                </c:pt>
                <c:pt idx="16">
                  <c:v>460</c:v>
                </c:pt>
                <c:pt idx="17">
                  <c:v>419</c:v>
                </c:pt>
                <c:pt idx="18">
                  <c:v>354</c:v>
                </c:pt>
                <c:pt idx="19">
                  <c:v>274</c:v>
                </c:pt>
                <c:pt idx="20">
                  <c:v>198</c:v>
                </c:pt>
                <c:pt idx="21">
                  <c:v>135</c:v>
                </c:pt>
                <c:pt idx="22">
                  <c:v>86</c:v>
                </c:pt>
                <c:pt idx="23">
                  <c:v>53</c:v>
                </c:pt>
                <c:pt idx="24">
                  <c:v>29</c:v>
                </c:pt>
                <c:pt idx="25">
                  <c:v>14</c:v>
                </c:pt>
                <c:pt idx="26">
                  <c:v>9</c:v>
                </c:pt>
                <c:pt idx="27">
                  <c:v>5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C1-47E6-B75C-C7ABA200B475}"/>
            </c:ext>
          </c:extLst>
        </c:ser>
        <c:ser>
          <c:idx val="2"/>
          <c:order val="2"/>
          <c:tx>
            <c:strRef>
              <c:f>'Infected SF'!$D$2</c:f>
              <c:strCache>
                <c:ptCount val="1"/>
                <c:pt idx="0">
                  <c:v>Run 3</c:v>
                </c:pt>
              </c:strCache>
            </c:strRef>
          </c:tx>
          <c:spPr>
            <a:ln w="19050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SF'!$D$3:$D$37</c:f>
              <c:numCache>
                <c:formatCode>General</c:formatCode>
                <c:ptCount val="35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11</c:v>
                </c:pt>
                <c:pt idx="4">
                  <c:v>19</c:v>
                </c:pt>
                <c:pt idx="5">
                  <c:v>30</c:v>
                </c:pt>
                <c:pt idx="6">
                  <c:v>47</c:v>
                </c:pt>
                <c:pt idx="7">
                  <c:v>64</c:v>
                </c:pt>
                <c:pt idx="8">
                  <c:v>94</c:v>
                </c:pt>
                <c:pt idx="9">
                  <c:v>132</c:v>
                </c:pt>
                <c:pt idx="10">
                  <c:v>183</c:v>
                </c:pt>
                <c:pt idx="11">
                  <c:v>231</c:v>
                </c:pt>
                <c:pt idx="12">
                  <c:v>296</c:v>
                </c:pt>
                <c:pt idx="13">
                  <c:v>363</c:v>
                </c:pt>
                <c:pt idx="14">
                  <c:v>417</c:v>
                </c:pt>
                <c:pt idx="15">
                  <c:v>451</c:v>
                </c:pt>
                <c:pt idx="16">
                  <c:v>450</c:v>
                </c:pt>
                <c:pt idx="17">
                  <c:v>434</c:v>
                </c:pt>
                <c:pt idx="18">
                  <c:v>378</c:v>
                </c:pt>
                <c:pt idx="19">
                  <c:v>311</c:v>
                </c:pt>
                <c:pt idx="20">
                  <c:v>234</c:v>
                </c:pt>
                <c:pt idx="21">
                  <c:v>169</c:v>
                </c:pt>
                <c:pt idx="22">
                  <c:v>115</c:v>
                </c:pt>
                <c:pt idx="23">
                  <c:v>75</c:v>
                </c:pt>
                <c:pt idx="24">
                  <c:v>49</c:v>
                </c:pt>
                <c:pt idx="25">
                  <c:v>31</c:v>
                </c:pt>
                <c:pt idx="26">
                  <c:v>21</c:v>
                </c:pt>
                <c:pt idx="27">
                  <c:v>10</c:v>
                </c:pt>
                <c:pt idx="28">
                  <c:v>6</c:v>
                </c:pt>
                <c:pt idx="29">
                  <c:v>3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C1-47E6-B75C-C7ABA200B475}"/>
            </c:ext>
          </c:extLst>
        </c:ser>
        <c:ser>
          <c:idx val="3"/>
          <c:order val="3"/>
          <c:tx>
            <c:strRef>
              <c:f>'Infected SF'!$E$2</c:f>
              <c:strCache>
                <c:ptCount val="1"/>
                <c:pt idx="0">
                  <c:v>Run 4</c:v>
                </c:pt>
              </c:strCache>
            </c:strRef>
          </c:tx>
          <c:spPr>
            <a:ln w="19050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SF'!$E$3:$E$37</c:f>
              <c:numCache>
                <c:formatCode>General</c:formatCode>
                <c:ptCount val="3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C1-47E6-B75C-C7ABA200B475}"/>
            </c:ext>
          </c:extLst>
        </c:ser>
        <c:ser>
          <c:idx val="4"/>
          <c:order val="4"/>
          <c:tx>
            <c:strRef>
              <c:f>'Infected SF'!$F$2</c:f>
              <c:strCache>
                <c:ptCount val="1"/>
                <c:pt idx="0">
                  <c:v>Run 5</c:v>
                </c:pt>
              </c:strCache>
            </c:strRef>
          </c:tx>
          <c:spPr>
            <a:ln w="19050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SF'!$F$3:$F$37</c:f>
              <c:numCache>
                <c:formatCode>General</c:formatCode>
                <c:ptCount val="35"/>
                <c:pt idx="0">
                  <c:v>2</c:v>
                </c:pt>
                <c:pt idx="1">
                  <c:v>5</c:v>
                </c:pt>
                <c:pt idx="2">
                  <c:v>11</c:v>
                </c:pt>
                <c:pt idx="3">
                  <c:v>18</c:v>
                </c:pt>
                <c:pt idx="4">
                  <c:v>25</c:v>
                </c:pt>
                <c:pt idx="5">
                  <c:v>41</c:v>
                </c:pt>
                <c:pt idx="6">
                  <c:v>64</c:v>
                </c:pt>
                <c:pt idx="7">
                  <c:v>101</c:v>
                </c:pt>
                <c:pt idx="8">
                  <c:v>155</c:v>
                </c:pt>
                <c:pt idx="9">
                  <c:v>219</c:v>
                </c:pt>
                <c:pt idx="10">
                  <c:v>316</c:v>
                </c:pt>
                <c:pt idx="11">
                  <c:v>399</c:v>
                </c:pt>
                <c:pt idx="12">
                  <c:v>466</c:v>
                </c:pt>
                <c:pt idx="13">
                  <c:v>505</c:v>
                </c:pt>
                <c:pt idx="14">
                  <c:v>490</c:v>
                </c:pt>
                <c:pt idx="15">
                  <c:v>458</c:v>
                </c:pt>
                <c:pt idx="16">
                  <c:v>373</c:v>
                </c:pt>
                <c:pt idx="17">
                  <c:v>289</c:v>
                </c:pt>
                <c:pt idx="18">
                  <c:v>211</c:v>
                </c:pt>
                <c:pt idx="19">
                  <c:v>138</c:v>
                </c:pt>
                <c:pt idx="20">
                  <c:v>99</c:v>
                </c:pt>
                <c:pt idx="21">
                  <c:v>63</c:v>
                </c:pt>
                <c:pt idx="22">
                  <c:v>46</c:v>
                </c:pt>
                <c:pt idx="23">
                  <c:v>32</c:v>
                </c:pt>
                <c:pt idx="24">
                  <c:v>19</c:v>
                </c:pt>
                <c:pt idx="25">
                  <c:v>13</c:v>
                </c:pt>
                <c:pt idx="26">
                  <c:v>7</c:v>
                </c:pt>
                <c:pt idx="27">
                  <c:v>4</c:v>
                </c:pt>
                <c:pt idx="28">
                  <c:v>2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C1-47E6-B75C-C7ABA200B475}"/>
            </c:ext>
          </c:extLst>
        </c:ser>
        <c:ser>
          <c:idx val="5"/>
          <c:order val="5"/>
          <c:tx>
            <c:strRef>
              <c:f>'Infected SF'!$G$2</c:f>
              <c:strCache>
                <c:ptCount val="1"/>
                <c:pt idx="0">
                  <c:v>Run 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SF'!$G$3:$G$37</c:f>
              <c:numCache>
                <c:formatCode>General</c:formatCode>
                <c:ptCount val="35"/>
                <c:pt idx="0">
                  <c:v>2</c:v>
                </c:pt>
                <c:pt idx="1">
                  <c:v>4</c:v>
                </c:pt>
                <c:pt idx="2">
                  <c:v>9</c:v>
                </c:pt>
                <c:pt idx="3">
                  <c:v>20</c:v>
                </c:pt>
                <c:pt idx="4">
                  <c:v>30</c:v>
                </c:pt>
                <c:pt idx="5">
                  <c:v>47</c:v>
                </c:pt>
                <c:pt idx="6">
                  <c:v>71</c:v>
                </c:pt>
                <c:pt idx="7">
                  <c:v>118</c:v>
                </c:pt>
                <c:pt idx="8">
                  <c:v>169</c:v>
                </c:pt>
                <c:pt idx="9">
                  <c:v>241</c:v>
                </c:pt>
                <c:pt idx="10">
                  <c:v>316</c:v>
                </c:pt>
                <c:pt idx="11">
                  <c:v>413</c:v>
                </c:pt>
                <c:pt idx="12">
                  <c:v>498</c:v>
                </c:pt>
                <c:pt idx="13">
                  <c:v>532</c:v>
                </c:pt>
                <c:pt idx="14">
                  <c:v>543</c:v>
                </c:pt>
                <c:pt idx="15">
                  <c:v>500</c:v>
                </c:pt>
                <c:pt idx="16">
                  <c:v>438</c:v>
                </c:pt>
                <c:pt idx="17">
                  <c:v>341</c:v>
                </c:pt>
                <c:pt idx="18">
                  <c:v>237</c:v>
                </c:pt>
                <c:pt idx="19">
                  <c:v>156</c:v>
                </c:pt>
                <c:pt idx="20">
                  <c:v>91</c:v>
                </c:pt>
                <c:pt idx="21">
                  <c:v>51</c:v>
                </c:pt>
                <c:pt idx="22">
                  <c:v>28</c:v>
                </c:pt>
                <c:pt idx="23">
                  <c:v>11</c:v>
                </c:pt>
                <c:pt idx="24">
                  <c:v>4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C1-47E6-B75C-C7ABA200B475}"/>
            </c:ext>
          </c:extLst>
        </c:ser>
        <c:ser>
          <c:idx val="6"/>
          <c:order val="6"/>
          <c:tx>
            <c:strRef>
              <c:f>'Infected SF'!$H$2</c:f>
              <c:strCache>
                <c:ptCount val="1"/>
                <c:pt idx="0">
                  <c:v>Run 7</c:v>
                </c:pt>
              </c:strCache>
            </c:strRef>
          </c:tx>
          <c:spPr>
            <a:ln w="19050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SF'!$H$3:$H$37</c:f>
              <c:numCache>
                <c:formatCode>General</c:formatCode>
                <c:ptCount val="35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13</c:v>
                </c:pt>
                <c:pt idx="4">
                  <c:v>20</c:v>
                </c:pt>
                <c:pt idx="5">
                  <c:v>34</c:v>
                </c:pt>
                <c:pt idx="6">
                  <c:v>56</c:v>
                </c:pt>
                <c:pt idx="7">
                  <c:v>93</c:v>
                </c:pt>
                <c:pt idx="8">
                  <c:v>136</c:v>
                </c:pt>
                <c:pt idx="9">
                  <c:v>200</c:v>
                </c:pt>
                <c:pt idx="10">
                  <c:v>269</c:v>
                </c:pt>
                <c:pt idx="11">
                  <c:v>348</c:v>
                </c:pt>
                <c:pt idx="12">
                  <c:v>411</c:v>
                </c:pt>
                <c:pt idx="13">
                  <c:v>463</c:v>
                </c:pt>
                <c:pt idx="14">
                  <c:v>488</c:v>
                </c:pt>
                <c:pt idx="15">
                  <c:v>473</c:v>
                </c:pt>
                <c:pt idx="16">
                  <c:v>434</c:v>
                </c:pt>
                <c:pt idx="17">
                  <c:v>358</c:v>
                </c:pt>
                <c:pt idx="18">
                  <c:v>281</c:v>
                </c:pt>
                <c:pt idx="19">
                  <c:v>203</c:v>
                </c:pt>
                <c:pt idx="20">
                  <c:v>136</c:v>
                </c:pt>
                <c:pt idx="21">
                  <c:v>83</c:v>
                </c:pt>
                <c:pt idx="22">
                  <c:v>49</c:v>
                </c:pt>
                <c:pt idx="23">
                  <c:v>34</c:v>
                </c:pt>
                <c:pt idx="24">
                  <c:v>25</c:v>
                </c:pt>
                <c:pt idx="25">
                  <c:v>14</c:v>
                </c:pt>
                <c:pt idx="26">
                  <c:v>10</c:v>
                </c:pt>
                <c:pt idx="27">
                  <c:v>8</c:v>
                </c:pt>
                <c:pt idx="28">
                  <c:v>5</c:v>
                </c:pt>
                <c:pt idx="29">
                  <c:v>3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5C1-47E6-B75C-C7ABA200B475}"/>
            </c:ext>
          </c:extLst>
        </c:ser>
        <c:ser>
          <c:idx val="7"/>
          <c:order val="7"/>
          <c:tx>
            <c:strRef>
              <c:f>'Infected SF'!$I$2</c:f>
              <c:strCache>
                <c:ptCount val="1"/>
                <c:pt idx="0">
                  <c:v>Run 8</c:v>
                </c:pt>
              </c:strCache>
            </c:strRef>
          </c:tx>
          <c:spPr>
            <a:ln w="19050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SF'!$I$3:$I$37</c:f>
              <c:numCache>
                <c:formatCode>General</c:formatCode>
                <c:ptCount val="35"/>
                <c:pt idx="0">
                  <c:v>2</c:v>
                </c:pt>
                <c:pt idx="1">
                  <c:v>6</c:v>
                </c:pt>
                <c:pt idx="2">
                  <c:v>11</c:v>
                </c:pt>
                <c:pt idx="3">
                  <c:v>22</c:v>
                </c:pt>
                <c:pt idx="4">
                  <c:v>38</c:v>
                </c:pt>
                <c:pt idx="5">
                  <c:v>63</c:v>
                </c:pt>
                <c:pt idx="6">
                  <c:v>102</c:v>
                </c:pt>
                <c:pt idx="7">
                  <c:v>159</c:v>
                </c:pt>
                <c:pt idx="8">
                  <c:v>231</c:v>
                </c:pt>
                <c:pt idx="9">
                  <c:v>315</c:v>
                </c:pt>
                <c:pt idx="10">
                  <c:v>392</c:v>
                </c:pt>
                <c:pt idx="11">
                  <c:v>466</c:v>
                </c:pt>
                <c:pt idx="12">
                  <c:v>513</c:v>
                </c:pt>
                <c:pt idx="13">
                  <c:v>521</c:v>
                </c:pt>
                <c:pt idx="14">
                  <c:v>496</c:v>
                </c:pt>
                <c:pt idx="15">
                  <c:v>428</c:v>
                </c:pt>
                <c:pt idx="16">
                  <c:v>343</c:v>
                </c:pt>
                <c:pt idx="17">
                  <c:v>252</c:v>
                </c:pt>
                <c:pt idx="18">
                  <c:v>166</c:v>
                </c:pt>
                <c:pt idx="19">
                  <c:v>101</c:v>
                </c:pt>
                <c:pt idx="20">
                  <c:v>50</c:v>
                </c:pt>
                <c:pt idx="21">
                  <c:v>24</c:v>
                </c:pt>
                <c:pt idx="22">
                  <c:v>17</c:v>
                </c:pt>
                <c:pt idx="23">
                  <c:v>10</c:v>
                </c:pt>
                <c:pt idx="24">
                  <c:v>9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5C1-47E6-B75C-C7ABA200B475}"/>
            </c:ext>
          </c:extLst>
        </c:ser>
        <c:ser>
          <c:idx val="8"/>
          <c:order val="8"/>
          <c:tx>
            <c:strRef>
              <c:f>'Infected SF'!$J$2</c:f>
              <c:strCache>
                <c:ptCount val="1"/>
                <c:pt idx="0">
                  <c:v>Run 9</c:v>
                </c:pt>
              </c:strCache>
            </c:strRef>
          </c:tx>
          <c:spPr>
            <a:ln w="19050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SF'!$J$3:$J$37</c:f>
              <c:numCache>
                <c:formatCode>General</c:formatCode>
                <c:ptCount val="35"/>
                <c:pt idx="0">
                  <c:v>2</c:v>
                </c:pt>
                <c:pt idx="1">
                  <c:v>4</c:v>
                </c:pt>
                <c:pt idx="2">
                  <c:v>11</c:v>
                </c:pt>
                <c:pt idx="3">
                  <c:v>17</c:v>
                </c:pt>
                <c:pt idx="4">
                  <c:v>27</c:v>
                </c:pt>
                <c:pt idx="5">
                  <c:v>41</c:v>
                </c:pt>
                <c:pt idx="6">
                  <c:v>55</c:v>
                </c:pt>
                <c:pt idx="7">
                  <c:v>84</c:v>
                </c:pt>
                <c:pt idx="8">
                  <c:v>109</c:v>
                </c:pt>
                <c:pt idx="9">
                  <c:v>157</c:v>
                </c:pt>
                <c:pt idx="10">
                  <c:v>214</c:v>
                </c:pt>
                <c:pt idx="11">
                  <c:v>278</c:v>
                </c:pt>
                <c:pt idx="12">
                  <c:v>356</c:v>
                </c:pt>
                <c:pt idx="13">
                  <c:v>399</c:v>
                </c:pt>
                <c:pt idx="14">
                  <c:v>448</c:v>
                </c:pt>
                <c:pt idx="15">
                  <c:v>455</c:v>
                </c:pt>
                <c:pt idx="16">
                  <c:v>438</c:v>
                </c:pt>
                <c:pt idx="17">
                  <c:v>397</c:v>
                </c:pt>
                <c:pt idx="18">
                  <c:v>326</c:v>
                </c:pt>
                <c:pt idx="19">
                  <c:v>266</c:v>
                </c:pt>
                <c:pt idx="20">
                  <c:v>190</c:v>
                </c:pt>
                <c:pt idx="21">
                  <c:v>131</c:v>
                </c:pt>
                <c:pt idx="22">
                  <c:v>82</c:v>
                </c:pt>
                <c:pt idx="23">
                  <c:v>45</c:v>
                </c:pt>
                <c:pt idx="24">
                  <c:v>22</c:v>
                </c:pt>
                <c:pt idx="25">
                  <c:v>8</c:v>
                </c:pt>
                <c:pt idx="26">
                  <c:v>3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5C1-47E6-B75C-C7ABA200B475}"/>
            </c:ext>
          </c:extLst>
        </c:ser>
        <c:ser>
          <c:idx val="9"/>
          <c:order val="9"/>
          <c:tx>
            <c:strRef>
              <c:f>'Infected SF'!$K$2</c:f>
              <c:strCache>
                <c:ptCount val="1"/>
                <c:pt idx="0">
                  <c:v>Run 10</c:v>
                </c:pt>
              </c:strCache>
            </c:strRef>
          </c:tx>
          <c:spPr>
            <a:ln w="19050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SF'!$K$3:$K$37</c:f>
              <c:numCache>
                <c:formatCode>General</c:formatCode>
                <c:ptCount val="35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9</c:v>
                </c:pt>
                <c:pt idx="4">
                  <c:v>14</c:v>
                </c:pt>
                <c:pt idx="5">
                  <c:v>22</c:v>
                </c:pt>
                <c:pt idx="6">
                  <c:v>32</c:v>
                </c:pt>
                <c:pt idx="7">
                  <c:v>45</c:v>
                </c:pt>
                <c:pt idx="8">
                  <c:v>66</c:v>
                </c:pt>
                <c:pt idx="9">
                  <c:v>97</c:v>
                </c:pt>
                <c:pt idx="10">
                  <c:v>131</c:v>
                </c:pt>
                <c:pt idx="11">
                  <c:v>182</c:v>
                </c:pt>
                <c:pt idx="12">
                  <c:v>253</c:v>
                </c:pt>
                <c:pt idx="13">
                  <c:v>342</c:v>
                </c:pt>
                <c:pt idx="14">
                  <c:v>415</c:v>
                </c:pt>
                <c:pt idx="15">
                  <c:v>469</c:v>
                </c:pt>
                <c:pt idx="16">
                  <c:v>500</c:v>
                </c:pt>
                <c:pt idx="17">
                  <c:v>490</c:v>
                </c:pt>
                <c:pt idx="18">
                  <c:v>439</c:v>
                </c:pt>
                <c:pt idx="19">
                  <c:v>350</c:v>
                </c:pt>
                <c:pt idx="20">
                  <c:v>263</c:v>
                </c:pt>
                <c:pt idx="21">
                  <c:v>181</c:v>
                </c:pt>
                <c:pt idx="22">
                  <c:v>117</c:v>
                </c:pt>
                <c:pt idx="23">
                  <c:v>71</c:v>
                </c:pt>
                <c:pt idx="24">
                  <c:v>41</c:v>
                </c:pt>
                <c:pt idx="25">
                  <c:v>29</c:v>
                </c:pt>
                <c:pt idx="26">
                  <c:v>19</c:v>
                </c:pt>
                <c:pt idx="27">
                  <c:v>13</c:v>
                </c:pt>
                <c:pt idx="28">
                  <c:v>8</c:v>
                </c:pt>
                <c:pt idx="29">
                  <c:v>5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5C1-47E6-B75C-C7ABA200B475}"/>
            </c:ext>
          </c:extLst>
        </c:ser>
        <c:ser>
          <c:idx val="10"/>
          <c:order val="10"/>
          <c:tx>
            <c:strRef>
              <c:f>'Infected SF'!$L$2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SF'!$L$3:$L$37</c:f>
              <c:numCache>
                <c:formatCode>General</c:formatCode>
                <c:ptCount val="35"/>
                <c:pt idx="0">
                  <c:v>2</c:v>
                </c:pt>
                <c:pt idx="1">
                  <c:v>4</c:v>
                </c:pt>
                <c:pt idx="2">
                  <c:v>8.5</c:v>
                </c:pt>
                <c:pt idx="3">
                  <c:v>15</c:v>
                </c:pt>
                <c:pt idx="4">
                  <c:v>23.8</c:v>
                </c:pt>
                <c:pt idx="5">
                  <c:v>38.6</c:v>
                </c:pt>
                <c:pt idx="6">
                  <c:v>58.1</c:v>
                </c:pt>
                <c:pt idx="7">
                  <c:v>89.7</c:v>
                </c:pt>
                <c:pt idx="8">
                  <c:v>127.9</c:v>
                </c:pt>
                <c:pt idx="9">
                  <c:v>178.6</c:v>
                </c:pt>
                <c:pt idx="10">
                  <c:v>237.3</c:v>
                </c:pt>
                <c:pt idx="11">
                  <c:v>298.3</c:v>
                </c:pt>
                <c:pt idx="12">
                  <c:v>358.5</c:v>
                </c:pt>
                <c:pt idx="13">
                  <c:v>400.1</c:v>
                </c:pt>
                <c:pt idx="14">
                  <c:v>420.8</c:v>
                </c:pt>
                <c:pt idx="15">
                  <c:v>413.3</c:v>
                </c:pt>
                <c:pt idx="16">
                  <c:v>379.8</c:v>
                </c:pt>
                <c:pt idx="17">
                  <c:v>327.8</c:v>
                </c:pt>
                <c:pt idx="18">
                  <c:v>260.8</c:v>
                </c:pt>
                <c:pt idx="19">
                  <c:v>194.7</c:v>
                </c:pt>
                <c:pt idx="20">
                  <c:v>136.1</c:v>
                </c:pt>
                <c:pt idx="21">
                  <c:v>89.5</c:v>
                </c:pt>
                <c:pt idx="22">
                  <c:v>57.6</c:v>
                </c:pt>
                <c:pt idx="23">
                  <c:v>35</c:v>
                </c:pt>
                <c:pt idx="24">
                  <c:v>21.1</c:v>
                </c:pt>
                <c:pt idx="25">
                  <c:v>12.5</c:v>
                </c:pt>
                <c:pt idx="26">
                  <c:v>7.9</c:v>
                </c:pt>
                <c:pt idx="27">
                  <c:v>4.9000000000000004</c:v>
                </c:pt>
                <c:pt idx="28">
                  <c:v>2.9</c:v>
                </c:pt>
                <c:pt idx="29">
                  <c:v>1.7</c:v>
                </c:pt>
                <c:pt idx="30">
                  <c:v>0.9</c:v>
                </c:pt>
                <c:pt idx="31">
                  <c:v>0.4</c:v>
                </c:pt>
                <c:pt idx="32">
                  <c:v>0.2</c:v>
                </c:pt>
                <c:pt idx="33">
                  <c:v>0.1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5C1-47E6-B75C-C7ABA200B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90784"/>
        <c:axId val="1318262624"/>
      </c:scatterChart>
      <c:valAx>
        <c:axId val="107739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62624"/>
        <c:crosses val="autoZero"/>
        <c:crossBetween val="midCat"/>
      </c:valAx>
      <c:valAx>
        <c:axId val="1318262624"/>
        <c:scaling>
          <c:orientation val="minMax"/>
          <c:max val="6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0784"/>
        <c:crosses val="autoZero"/>
        <c:crossBetween val="midCat"/>
        <c:majorUnit val="200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863951163567305E-2"/>
          <c:y val="2.4896265560165973E-2"/>
          <c:w val="0.88801881280803074"/>
          <c:h val="0.84674050598446982"/>
        </c:manualLayout>
      </c:layout>
      <c:scatterChart>
        <c:scatterStyle val="lineMarker"/>
        <c:varyColors val="0"/>
        <c:ser>
          <c:idx val="0"/>
          <c:order val="0"/>
          <c:tx>
            <c:strRef>
              <c:f>'Mobility Curve FF'!$AG$2</c:f>
              <c:strCache>
                <c:ptCount val="1"/>
                <c:pt idx="0">
                  <c:v>Mobility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2700">
                <a:solidFill>
                  <a:schemeClr val="accent3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C00000"/>
                </a:solidFill>
                <a:prstDash val="lgDash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4.5992554060890659E-2"/>
                  <c:y val="-0.595744908419382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'Mobility Curve FF'!$AF$3:$AF$987</c:f>
              <c:numCache>
                <c:formatCode>0.0%</c:formatCode>
                <c:ptCount val="9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2E-3</c:v>
                </c:pt>
                <c:pt idx="4">
                  <c:v>3.0000000000000001E-3</c:v>
                </c:pt>
                <c:pt idx="5">
                  <c:v>8.9999999999999993E-3</c:v>
                </c:pt>
                <c:pt idx="6">
                  <c:v>8.0000000000000002E-3</c:v>
                </c:pt>
                <c:pt idx="7">
                  <c:v>1.2999999999999999E-2</c:v>
                </c:pt>
                <c:pt idx="8">
                  <c:v>1.4999999999999999E-2</c:v>
                </c:pt>
                <c:pt idx="9">
                  <c:v>0.02</c:v>
                </c:pt>
                <c:pt idx="10">
                  <c:v>1.6E-2</c:v>
                </c:pt>
                <c:pt idx="11">
                  <c:v>1.2999999999999999E-2</c:v>
                </c:pt>
                <c:pt idx="12">
                  <c:v>5.0000000000000001E-3</c:v>
                </c:pt>
                <c:pt idx="13">
                  <c:v>5.0000000000000001E-3</c:v>
                </c:pt>
                <c:pt idx="14">
                  <c:v>4.0000000000000001E-3</c:v>
                </c:pt>
                <c:pt idx="15">
                  <c:v>6.0000000000000001E-3</c:v>
                </c:pt>
                <c:pt idx="16">
                  <c:v>7.0000000000000001E-3</c:v>
                </c:pt>
                <c:pt idx="17">
                  <c:v>8.0000000000000002E-3</c:v>
                </c:pt>
                <c:pt idx="18">
                  <c:v>8.9999999999999993E-3</c:v>
                </c:pt>
                <c:pt idx="19">
                  <c:v>0.01</c:v>
                </c:pt>
                <c:pt idx="20">
                  <c:v>1.2E-2</c:v>
                </c:pt>
                <c:pt idx="21">
                  <c:v>7.0000000000000001E-3</c:v>
                </c:pt>
                <c:pt idx="22">
                  <c:v>1.4999999999999999E-2</c:v>
                </c:pt>
                <c:pt idx="23">
                  <c:v>1.4999999999999999E-2</c:v>
                </c:pt>
                <c:pt idx="24">
                  <c:v>8.0000000000000002E-3</c:v>
                </c:pt>
                <c:pt idx="25">
                  <c:v>6.0000000000000001E-3</c:v>
                </c:pt>
                <c:pt idx="26">
                  <c:v>1E-3</c:v>
                </c:pt>
                <c:pt idx="27">
                  <c:v>0</c:v>
                </c:pt>
                <c:pt idx="28">
                  <c:v>2E-3</c:v>
                </c:pt>
                <c:pt idx="29">
                  <c:v>0</c:v>
                </c:pt>
                <c:pt idx="30">
                  <c:v>1E-3</c:v>
                </c:pt>
                <c:pt idx="31">
                  <c:v>5.0000000000000001E-3</c:v>
                </c:pt>
                <c:pt idx="32">
                  <c:v>6.0000000000000001E-3</c:v>
                </c:pt>
                <c:pt idx="33">
                  <c:v>7.0000000000000001E-3</c:v>
                </c:pt>
                <c:pt idx="34">
                  <c:v>3.0000000000000001E-3</c:v>
                </c:pt>
                <c:pt idx="35">
                  <c:v>2E-3</c:v>
                </c:pt>
                <c:pt idx="36">
                  <c:v>4.0000000000000001E-3</c:v>
                </c:pt>
                <c:pt idx="37">
                  <c:v>2E-3</c:v>
                </c:pt>
                <c:pt idx="38">
                  <c:v>2E-3</c:v>
                </c:pt>
                <c:pt idx="39">
                  <c:v>4.0000000000000001E-3</c:v>
                </c:pt>
                <c:pt idx="40">
                  <c:v>1E-3</c:v>
                </c:pt>
                <c:pt idx="41">
                  <c:v>3.0000000000000001E-3</c:v>
                </c:pt>
                <c:pt idx="42">
                  <c:v>3.0000000000000001E-3</c:v>
                </c:pt>
                <c:pt idx="43">
                  <c:v>4.0000000000000001E-3</c:v>
                </c:pt>
                <c:pt idx="44">
                  <c:v>2E-3</c:v>
                </c:pt>
                <c:pt idx="45">
                  <c:v>1E-3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1E-3</c:v>
                </c:pt>
                <c:pt idx="50">
                  <c:v>2E-3</c:v>
                </c:pt>
                <c:pt idx="51">
                  <c:v>6.0000000000000001E-3</c:v>
                </c:pt>
                <c:pt idx="52">
                  <c:v>6.0000000000000001E-3</c:v>
                </c:pt>
                <c:pt idx="53">
                  <c:v>5.0000000000000001E-3</c:v>
                </c:pt>
                <c:pt idx="54">
                  <c:v>6.0000000000000001E-3</c:v>
                </c:pt>
                <c:pt idx="55">
                  <c:v>5.0000000000000001E-3</c:v>
                </c:pt>
                <c:pt idx="56">
                  <c:v>7.0000000000000001E-3</c:v>
                </c:pt>
                <c:pt idx="57">
                  <c:v>1E-3</c:v>
                </c:pt>
                <c:pt idx="58">
                  <c:v>4.0000000000000001E-3</c:v>
                </c:pt>
                <c:pt idx="59">
                  <c:v>0</c:v>
                </c:pt>
                <c:pt idx="60">
                  <c:v>2E-3</c:v>
                </c:pt>
                <c:pt idx="61">
                  <c:v>2E-3</c:v>
                </c:pt>
                <c:pt idx="62">
                  <c:v>1E-3</c:v>
                </c:pt>
                <c:pt idx="63">
                  <c:v>6.0000000000000001E-3</c:v>
                </c:pt>
                <c:pt idx="64">
                  <c:v>2E-3</c:v>
                </c:pt>
                <c:pt idx="65">
                  <c:v>2E-3</c:v>
                </c:pt>
                <c:pt idx="66">
                  <c:v>2E-3</c:v>
                </c:pt>
                <c:pt idx="67">
                  <c:v>3.0000000000000001E-3</c:v>
                </c:pt>
                <c:pt idx="68">
                  <c:v>5.0000000000000001E-3</c:v>
                </c:pt>
                <c:pt idx="69">
                  <c:v>4.0000000000000001E-3</c:v>
                </c:pt>
                <c:pt idx="70">
                  <c:v>1E-3</c:v>
                </c:pt>
                <c:pt idx="71">
                  <c:v>2E-3</c:v>
                </c:pt>
                <c:pt idx="72">
                  <c:v>1E-3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2E-3</c:v>
                </c:pt>
                <c:pt idx="80">
                  <c:v>1E-3</c:v>
                </c:pt>
                <c:pt idx="81">
                  <c:v>4.0000000000000001E-3</c:v>
                </c:pt>
                <c:pt idx="82">
                  <c:v>0.01</c:v>
                </c:pt>
                <c:pt idx="83">
                  <c:v>1.6E-2</c:v>
                </c:pt>
                <c:pt idx="84">
                  <c:v>1.4999999999999999E-2</c:v>
                </c:pt>
                <c:pt idx="85">
                  <c:v>1.7999999999999999E-2</c:v>
                </c:pt>
                <c:pt idx="86">
                  <c:v>2.5999999999999999E-2</c:v>
                </c:pt>
                <c:pt idx="87">
                  <c:v>7.0000000000000001E-3</c:v>
                </c:pt>
                <c:pt idx="88">
                  <c:v>4.0000000000000001E-3</c:v>
                </c:pt>
                <c:pt idx="89">
                  <c:v>4.0000000000000001E-3</c:v>
                </c:pt>
                <c:pt idx="90">
                  <c:v>2E-3</c:v>
                </c:pt>
                <c:pt idx="91">
                  <c:v>2E-3</c:v>
                </c:pt>
                <c:pt idx="92">
                  <c:v>6.0000000000000001E-3</c:v>
                </c:pt>
                <c:pt idx="93">
                  <c:v>5.0000000000000001E-3</c:v>
                </c:pt>
                <c:pt idx="94">
                  <c:v>5.0000000000000001E-3</c:v>
                </c:pt>
                <c:pt idx="95">
                  <c:v>8.9999999999999993E-3</c:v>
                </c:pt>
                <c:pt idx="96">
                  <c:v>8.9999999999999993E-3</c:v>
                </c:pt>
                <c:pt idx="97">
                  <c:v>8.0000000000000002E-3</c:v>
                </c:pt>
                <c:pt idx="98">
                  <c:v>5.0000000000000001E-3</c:v>
                </c:pt>
                <c:pt idx="99">
                  <c:v>6.0000000000000001E-3</c:v>
                </c:pt>
                <c:pt idx="100">
                  <c:v>4.0000000000000001E-3</c:v>
                </c:pt>
                <c:pt idx="101">
                  <c:v>3.0000000000000001E-3</c:v>
                </c:pt>
                <c:pt idx="102">
                  <c:v>2E-3</c:v>
                </c:pt>
                <c:pt idx="103">
                  <c:v>4.0000000000000001E-3</c:v>
                </c:pt>
                <c:pt idx="104">
                  <c:v>6.0000000000000001E-3</c:v>
                </c:pt>
                <c:pt idx="105">
                  <c:v>8.0000000000000002E-3</c:v>
                </c:pt>
                <c:pt idx="106">
                  <c:v>1.0999999999999999E-2</c:v>
                </c:pt>
                <c:pt idx="107">
                  <c:v>1.2999999999999999E-2</c:v>
                </c:pt>
                <c:pt idx="108">
                  <c:v>1.2E-2</c:v>
                </c:pt>
                <c:pt idx="109">
                  <c:v>6.0000000000000001E-3</c:v>
                </c:pt>
                <c:pt idx="110">
                  <c:v>4.0000000000000001E-3</c:v>
                </c:pt>
                <c:pt idx="111">
                  <c:v>2E-3</c:v>
                </c:pt>
                <c:pt idx="112">
                  <c:v>4.0000000000000001E-3</c:v>
                </c:pt>
                <c:pt idx="113">
                  <c:v>2E-3</c:v>
                </c:pt>
                <c:pt idx="114">
                  <c:v>6.0000000000000001E-3</c:v>
                </c:pt>
                <c:pt idx="115">
                  <c:v>4.0000000000000001E-3</c:v>
                </c:pt>
                <c:pt idx="116">
                  <c:v>2E-3</c:v>
                </c:pt>
                <c:pt idx="117">
                  <c:v>6.0000000000000001E-3</c:v>
                </c:pt>
                <c:pt idx="118">
                  <c:v>8.0000000000000002E-3</c:v>
                </c:pt>
                <c:pt idx="119">
                  <c:v>8.0000000000000002E-3</c:v>
                </c:pt>
                <c:pt idx="120">
                  <c:v>8.9999999999999993E-3</c:v>
                </c:pt>
                <c:pt idx="121">
                  <c:v>1.0999999999999999E-2</c:v>
                </c:pt>
                <c:pt idx="122">
                  <c:v>8.0000000000000002E-3</c:v>
                </c:pt>
                <c:pt idx="123">
                  <c:v>8.0000000000000002E-3</c:v>
                </c:pt>
                <c:pt idx="124">
                  <c:v>6.0000000000000001E-3</c:v>
                </c:pt>
                <c:pt idx="125">
                  <c:v>8.9999999999999993E-3</c:v>
                </c:pt>
                <c:pt idx="126">
                  <c:v>5.0000000000000001E-3</c:v>
                </c:pt>
                <c:pt idx="127">
                  <c:v>8.0000000000000002E-3</c:v>
                </c:pt>
                <c:pt idx="128">
                  <c:v>7.0000000000000001E-3</c:v>
                </c:pt>
                <c:pt idx="129">
                  <c:v>1E-3</c:v>
                </c:pt>
                <c:pt idx="130">
                  <c:v>2E-3</c:v>
                </c:pt>
                <c:pt idx="131">
                  <c:v>1E-3</c:v>
                </c:pt>
                <c:pt idx="132">
                  <c:v>2E-3</c:v>
                </c:pt>
                <c:pt idx="133">
                  <c:v>7.0000000000000001E-3</c:v>
                </c:pt>
                <c:pt idx="134">
                  <c:v>4.0000000000000001E-3</c:v>
                </c:pt>
                <c:pt idx="135">
                  <c:v>5.0000000000000001E-3</c:v>
                </c:pt>
                <c:pt idx="136">
                  <c:v>5.0000000000000001E-3</c:v>
                </c:pt>
                <c:pt idx="137">
                  <c:v>4.0000000000000001E-3</c:v>
                </c:pt>
                <c:pt idx="138">
                  <c:v>1E-3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1E-3</c:v>
                </c:pt>
                <c:pt idx="144">
                  <c:v>3.0000000000000001E-3</c:v>
                </c:pt>
                <c:pt idx="145">
                  <c:v>3.0000000000000001E-3</c:v>
                </c:pt>
                <c:pt idx="146">
                  <c:v>1E-3</c:v>
                </c:pt>
                <c:pt idx="147">
                  <c:v>1E-3</c:v>
                </c:pt>
                <c:pt idx="148">
                  <c:v>1E-3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2E-3</c:v>
                </c:pt>
                <c:pt idx="155">
                  <c:v>4.0000000000000001E-3</c:v>
                </c:pt>
                <c:pt idx="156">
                  <c:v>5.0000000000000001E-3</c:v>
                </c:pt>
                <c:pt idx="157">
                  <c:v>8.9999999999999993E-3</c:v>
                </c:pt>
                <c:pt idx="158">
                  <c:v>7.0000000000000001E-3</c:v>
                </c:pt>
                <c:pt idx="159">
                  <c:v>7.0000000000000001E-3</c:v>
                </c:pt>
                <c:pt idx="160">
                  <c:v>6.0000000000000001E-3</c:v>
                </c:pt>
                <c:pt idx="161">
                  <c:v>1.2E-2</c:v>
                </c:pt>
                <c:pt idx="162">
                  <c:v>1.0999999999999999E-2</c:v>
                </c:pt>
                <c:pt idx="163">
                  <c:v>1.7999999999999999E-2</c:v>
                </c:pt>
                <c:pt idx="164">
                  <c:v>1.7000000000000001E-2</c:v>
                </c:pt>
                <c:pt idx="165">
                  <c:v>6.0000000000000001E-3</c:v>
                </c:pt>
                <c:pt idx="166">
                  <c:v>0.01</c:v>
                </c:pt>
                <c:pt idx="167">
                  <c:v>8.0000000000000002E-3</c:v>
                </c:pt>
                <c:pt idx="168">
                  <c:v>3.0000000000000001E-3</c:v>
                </c:pt>
                <c:pt idx="169">
                  <c:v>7.0000000000000001E-3</c:v>
                </c:pt>
                <c:pt idx="170">
                  <c:v>1.2E-2</c:v>
                </c:pt>
                <c:pt idx="171">
                  <c:v>6.0000000000000001E-3</c:v>
                </c:pt>
                <c:pt idx="172">
                  <c:v>8.0000000000000002E-3</c:v>
                </c:pt>
                <c:pt idx="173">
                  <c:v>6.0000000000000001E-3</c:v>
                </c:pt>
                <c:pt idx="174">
                  <c:v>5.0000000000000001E-3</c:v>
                </c:pt>
                <c:pt idx="175">
                  <c:v>4.0000000000000001E-3</c:v>
                </c:pt>
                <c:pt idx="176">
                  <c:v>4.0000000000000001E-3</c:v>
                </c:pt>
                <c:pt idx="177">
                  <c:v>4.0000000000000001E-3</c:v>
                </c:pt>
                <c:pt idx="178">
                  <c:v>3.0000000000000001E-3</c:v>
                </c:pt>
                <c:pt idx="179">
                  <c:v>5.0000000000000001E-3</c:v>
                </c:pt>
                <c:pt idx="180">
                  <c:v>4.0000000000000001E-3</c:v>
                </c:pt>
                <c:pt idx="181">
                  <c:v>7.0000000000000001E-3</c:v>
                </c:pt>
                <c:pt idx="182">
                  <c:v>5.0000000000000001E-3</c:v>
                </c:pt>
                <c:pt idx="183">
                  <c:v>3.0000000000000001E-3</c:v>
                </c:pt>
                <c:pt idx="184">
                  <c:v>2E-3</c:v>
                </c:pt>
                <c:pt idx="185">
                  <c:v>2E-3</c:v>
                </c:pt>
                <c:pt idx="186">
                  <c:v>0</c:v>
                </c:pt>
                <c:pt idx="187">
                  <c:v>2E-3</c:v>
                </c:pt>
                <c:pt idx="188">
                  <c:v>0</c:v>
                </c:pt>
                <c:pt idx="189">
                  <c:v>2E-3</c:v>
                </c:pt>
                <c:pt idx="190">
                  <c:v>3.0000000000000001E-3</c:v>
                </c:pt>
                <c:pt idx="191">
                  <c:v>1E-3</c:v>
                </c:pt>
                <c:pt idx="192">
                  <c:v>4.0000000000000001E-3</c:v>
                </c:pt>
                <c:pt idx="193">
                  <c:v>2E-3</c:v>
                </c:pt>
                <c:pt idx="194">
                  <c:v>4.0000000000000001E-3</c:v>
                </c:pt>
                <c:pt idx="195">
                  <c:v>2E-3</c:v>
                </c:pt>
                <c:pt idx="196">
                  <c:v>2E-3</c:v>
                </c:pt>
                <c:pt idx="197">
                  <c:v>0</c:v>
                </c:pt>
                <c:pt idx="198">
                  <c:v>1E-3</c:v>
                </c:pt>
                <c:pt idx="199">
                  <c:v>0</c:v>
                </c:pt>
                <c:pt idx="200">
                  <c:v>0</c:v>
                </c:pt>
                <c:pt idx="201">
                  <c:v>1E-3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2E-3</c:v>
                </c:pt>
                <c:pt idx="208">
                  <c:v>0</c:v>
                </c:pt>
                <c:pt idx="209">
                  <c:v>3.0000000000000001E-3</c:v>
                </c:pt>
                <c:pt idx="210">
                  <c:v>8.0000000000000002E-3</c:v>
                </c:pt>
                <c:pt idx="211">
                  <c:v>7.0000000000000001E-3</c:v>
                </c:pt>
                <c:pt idx="212">
                  <c:v>1.9E-2</c:v>
                </c:pt>
                <c:pt idx="213">
                  <c:v>1.4999999999999999E-2</c:v>
                </c:pt>
                <c:pt idx="214">
                  <c:v>1.4999999999999999E-2</c:v>
                </c:pt>
                <c:pt idx="215">
                  <c:v>0.02</c:v>
                </c:pt>
                <c:pt idx="216">
                  <c:v>1.4E-2</c:v>
                </c:pt>
                <c:pt idx="217">
                  <c:v>6.0000000000000001E-3</c:v>
                </c:pt>
                <c:pt idx="218">
                  <c:v>3.0000000000000001E-3</c:v>
                </c:pt>
                <c:pt idx="219">
                  <c:v>2E-3</c:v>
                </c:pt>
                <c:pt idx="220">
                  <c:v>4.0000000000000001E-3</c:v>
                </c:pt>
                <c:pt idx="221">
                  <c:v>2E-3</c:v>
                </c:pt>
                <c:pt idx="222">
                  <c:v>3.0000000000000001E-3</c:v>
                </c:pt>
                <c:pt idx="223">
                  <c:v>6.0000000000000001E-3</c:v>
                </c:pt>
                <c:pt idx="224">
                  <c:v>7.0000000000000001E-3</c:v>
                </c:pt>
                <c:pt idx="225">
                  <c:v>8.9999999999999993E-3</c:v>
                </c:pt>
                <c:pt idx="226">
                  <c:v>8.9999999999999993E-3</c:v>
                </c:pt>
                <c:pt idx="227">
                  <c:v>8.9999999999999993E-3</c:v>
                </c:pt>
                <c:pt idx="228">
                  <c:v>6.0000000000000001E-3</c:v>
                </c:pt>
                <c:pt idx="229">
                  <c:v>0.01</c:v>
                </c:pt>
                <c:pt idx="230">
                  <c:v>7.0000000000000001E-3</c:v>
                </c:pt>
                <c:pt idx="231">
                  <c:v>1.0999999999999999E-2</c:v>
                </c:pt>
                <c:pt idx="232">
                  <c:v>7.0000000000000001E-3</c:v>
                </c:pt>
                <c:pt idx="233">
                  <c:v>1.2E-2</c:v>
                </c:pt>
                <c:pt idx="234">
                  <c:v>1.2E-2</c:v>
                </c:pt>
                <c:pt idx="235">
                  <c:v>8.9999999999999993E-3</c:v>
                </c:pt>
                <c:pt idx="236">
                  <c:v>1.7000000000000001E-2</c:v>
                </c:pt>
                <c:pt idx="237">
                  <c:v>0.01</c:v>
                </c:pt>
                <c:pt idx="238">
                  <c:v>8.0000000000000002E-3</c:v>
                </c:pt>
                <c:pt idx="239">
                  <c:v>7.0000000000000001E-3</c:v>
                </c:pt>
                <c:pt idx="240">
                  <c:v>5.0000000000000001E-3</c:v>
                </c:pt>
                <c:pt idx="241">
                  <c:v>8.9999999999999993E-3</c:v>
                </c:pt>
                <c:pt idx="242">
                  <c:v>5.0000000000000001E-3</c:v>
                </c:pt>
                <c:pt idx="243">
                  <c:v>4.0000000000000001E-3</c:v>
                </c:pt>
                <c:pt idx="244">
                  <c:v>0</c:v>
                </c:pt>
                <c:pt idx="245">
                  <c:v>1E-3</c:v>
                </c:pt>
                <c:pt idx="246">
                  <c:v>0</c:v>
                </c:pt>
                <c:pt idx="247">
                  <c:v>2E-3</c:v>
                </c:pt>
                <c:pt idx="248">
                  <c:v>4.0000000000000001E-3</c:v>
                </c:pt>
                <c:pt idx="249">
                  <c:v>3.0000000000000001E-3</c:v>
                </c:pt>
                <c:pt idx="250">
                  <c:v>5.0000000000000001E-3</c:v>
                </c:pt>
                <c:pt idx="251">
                  <c:v>2E-3</c:v>
                </c:pt>
                <c:pt idx="252">
                  <c:v>6.0000000000000001E-3</c:v>
                </c:pt>
                <c:pt idx="253">
                  <c:v>2E-3</c:v>
                </c:pt>
                <c:pt idx="254">
                  <c:v>1E-3</c:v>
                </c:pt>
                <c:pt idx="255">
                  <c:v>0</c:v>
                </c:pt>
                <c:pt idx="256">
                  <c:v>1E-3</c:v>
                </c:pt>
                <c:pt idx="257">
                  <c:v>1E-3</c:v>
                </c:pt>
                <c:pt idx="258">
                  <c:v>0</c:v>
                </c:pt>
                <c:pt idx="259">
                  <c:v>2E-3</c:v>
                </c:pt>
                <c:pt idx="260">
                  <c:v>2E-3</c:v>
                </c:pt>
                <c:pt idx="261">
                  <c:v>2E-3</c:v>
                </c:pt>
                <c:pt idx="262">
                  <c:v>5.0000000000000001E-3</c:v>
                </c:pt>
                <c:pt idx="263">
                  <c:v>4.0000000000000001E-3</c:v>
                </c:pt>
                <c:pt idx="264">
                  <c:v>5.0000000000000001E-3</c:v>
                </c:pt>
                <c:pt idx="265">
                  <c:v>8.0000000000000002E-3</c:v>
                </c:pt>
                <c:pt idx="266">
                  <c:v>5.0000000000000001E-3</c:v>
                </c:pt>
                <c:pt idx="267">
                  <c:v>5.0000000000000001E-3</c:v>
                </c:pt>
                <c:pt idx="268">
                  <c:v>1E-3</c:v>
                </c:pt>
                <c:pt idx="269">
                  <c:v>2E-3</c:v>
                </c:pt>
                <c:pt idx="270">
                  <c:v>0</c:v>
                </c:pt>
                <c:pt idx="271">
                  <c:v>1E-3</c:v>
                </c:pt>
                <c:pt idx="272">
                  <c:v>1E-3</c:v>
                </c:pt>
                <c:pt idx="273">
                  <c:v>0</c:v>
                </c:pt>
                <c:pt idx="274">
                  <c:v>1E-3</c:v>
                </c:pt>
                <c:pt idx="275">
                  <c:v>1E-3</c:v>
                </c:pt>
                <c:pt idx="276">
                  <c:v>1E-3</c:v>
                </c:pt>
                <c:pt idx="277">
                  <c:v>1E-3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2E-3</c:v>
                </c:pt>
                <c:pt idx="284">
                  <c:v>2E-3</c:v>
                </c:pt>
                <c:pt idx="285">
                  <c:v>5.0000000000000001E-3</c:v>
                </c:pt>
                <c:pt idx="286">
                  <c:v>6.0000000000000001E-3</c:v>
                </c:pt>
                <c:pt idx="287">
                  <c:v>8.0000000000000002E-3</c:v>
                </c:pt>
                <c:pt idx="288">
                  <c:v>0.01</c:v>
                </c:pt>
                <c:pt idx="289">
                  <c:v>0.01</c:v>
                </c:pt>
                <c:pt idx="290">
                  <c:v>8.9999999999999993E-3</c:v>
                </c:pt>
                <c:pt idx="291">
                  <c:v>1.4999999999999999E-2</c:v>
                </c:pt>
                <c:pt idx="292">
                  <c:v>1.7000000000000001E-2</c:v>
                </c:pt>
                <c:pt idx="293">
                  <c:v>3.4000000000000002E-2</c:v>
                </c:pt>
                <c:pt idx="294">
                  <c:v>2.7E-2</c:v>
                </c:pt>
                <c:pt idx="295">
                  <c:v>7.0000000000000001E-3</c:v>
                </c:pt>
                <c:pt idx="296">
                  <c:v>8.0000000000000002E-3</c:v>
                </c:pt>
                <c:pt idx="297">
                  <c:v>1E-3</c:v>
                </c:pt>
                <c:pt idx="298">
                  <c:v>4.0000000000000001E-3</c:v>
                </c:pt>
                <c:pt idx="299">
                  <c:v>2E-3</c:v>
                </c:pt>
                <c:pt idx="300">
                  <c:v>2E-3</c:v>
                </c:pt>
                <c:pt idx="301">
                  <c:v>5.0000000000000001E-3</c:v>
                </c:pt>
                <c:pt idx="302">
                  <c:v>8.9999999999999993E-3</c:v>
                </c:pt>
                <c:pt idx="303">
                  <c:v>1.0999999999999999E-2</c:v>
                </c:pt>
                <c:pt idx="304">
                  <c:v>0.01</c:v>
                </c:pt>
                <c:pt idx="305">
                  <c:v>5.0000000000000001E-3</c:v>
                </c:pt>
                <c:pt idx="306">
                  <c:v>8.9999999999999993E-3</c:v>
                </c:pt>
                <c:pt idx="307">
                  <c:v>4.0000000000000001E-3</c:v>
                </c:pt>
                <c:pt idx="308">
                  <c:v>1.2999999999999999E-2</c:v>
                </c:pt>
                <c:pt idx="309">
                  <c:v>4.0000000000000001E-3</c:v>
                </c:pt>
                <c:pt idx="310">
                  <c:v>8.0000000000000002E-3</c:v>
                </c:pt>
                <c:pt idx="311">
                  <c:v>3.0000000000000001E-3</c:v>
                </c:pt>
                <c:pt idx="312">
                  <c:v>0</c:v>
                </c:pt>
                <c:pt idx="313">
                  <c:v>4.0000000000000001E-3</c:v>
                </c:pt>
                <c:pt idx="314">
                  <c:v>1E-3</c:v>
                </c:pt>
                <c:pt idx="315">
                  <c:v>1E-3</c:v>
                </c:pt>
                <c:pt idx="316">
                  <c:v>0.01</c:v>
                </c:pt>
                <c:pt idx="317">
                  <c:v>4.0000000000000001E-3</c:v>
                </c:pt>
                <c:pt idx="318">
                  <c:v>8.0000000000000002E-3</c:v>
                </c:pt>
                <c:pt idx="319">
                  <c:v>7.0000000000000001E-3</c:v>
                </c:pt>
                <c:pt idx="320">
                  <c:v>8.9999999999999993E-3</c:v>
                </c:pt>
                <c:pt idx="321">
                  <c:v>1.2999999999999999E-2</c:v>
                </c:pt>
                <c:pt idx="322">
                  <c:v>4.0000000000000001E-3</c:v>
                </c:pt>
                <c:pt idx="323">
                  <c:v>1.2E-2</c:v>
                </c:pt>
                <c:pt idx="324">
                  <c:v>7.0000000000000001E-3</c:v>
                </c:pt>
                <c:pt idx="325">
                  <c:v>4.0000000000000001E-3</c:v>
                </c:pt>
                <c:pt idx="326">
                  <c:v>4.0000000000000001E-3</c:v>
                </c:pt>
                <c:pt idx="327">
                  <c:v>2E-3</c:v>
                </c:pt>
                <c:pt idx="328">
                  <c:v>1E-3</c:v>
                </c:pt>
                <c:pt idx="329">
                  <c:v>3.0000000000000001E-3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4.0000000000000001E-3</c:v>
                </c:pt>
                <c:pt idx="336">
                  <c:v>2E-3</c:v>
                </c:pt>
                <c:pt idx="337">
                  <c:v>4.0000000000000001E-3</c:v>
                </c:pt>
                <c:pt idx="338">
                  <c:v>5.0000000000000001E-3</c:v>
                </c:pt>
                <c:pt idx="339">
                  <c:v>6.0000000000000001E-3</c:v>
                </c:pt>
                <c:pt idx="340">
                  <c:v>3.0000000000000001E-3</c:v>
                </c:pt>
                <c:pt idx="341">
                  <c:v>4.0000000000000001E-3</c:v>
                </c:pt>
                <c:pt idx="342">
                  <c:v>0</c:v>
                </c:pt>
                <c:pt idx="343">
                  <c:v>2E-3</c:v>
                </c:pt>
                <c:pt idx="344">
                  <c:v>0</c:v>
                </c:pt>
                <c:pt idx="345">
                  <c:v>0</c:v>
                </c:pt>
                <c:pt idx="346">
                  <c:v>5.0000000000000001E-3</c:v>
                </c:pt>
                <c:pt idx="347">
                  <c:v>2E-3</c:v>
                </c:pt>
                <c:pt idx="348">
                  <c:v>2E-3</c:v>
                </c:pt>
                <c:pt idx="349">
                  <c:v>7.0000000000000001E-3</c:v>
                </c:pt>
                <c:pt idx="350">
                  <c:v>1E-3</c:v>
                </c:pt>
                <c:pt idx="351">
                  <c:v>1E-3</c:v>
                </c:pt>
                <c:pt idx="352">
                  <c:v>1E-3</c:v>
                </c:pt>
                <c:pt idx="353">
                  <c:v>0</c:v>
                </c:pt>
                <c:pt idx="354">
                  <c:v>2E-3</c:v>
                </c:pt>
                <c:pt idx="355">
                  <c:v>0</c:v>
                </c:pt>
                <c:pt idx="356">
                  <c:v>2E-3</c:v>
                </c:pt>
                <c:pt idx="357">
                  <c:v>4.0000000000000001E-3</c:v>
                </c:pt>
                <c:pt idx="358">
                  <c:v>2E-3</c:v>
                </c:pt>
                <c:pt idx="359">
                  <c:v>4.0000000000000001E-3</c:v>
                </c:pt>
                <c:pt idx="360">
                  <c:v>3.0000000000000001E-3</c:v>
                </c:pt>
                <c:pt idx="361">
                  <c:v>1E-3</c:v>
                </c:pt>
                <c:pt idx="362">
                  <c:v>2E-3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2E-3</c:v>
                </c:pt>
                <c:pt idx="369">
                  <c:v>0</c:v>
                </c:pt>
                <c:pt idx="370">
                  <c:v>2E-3</c:v>
                </c:pt>
                <c:pt idx="371">
                  <c:v>2E-3</c:v>
                </c:pt>
                <c:pt idx="372">
                  <c:v>3.0000000000000001E-3</c:v>
                </c:pt>
                <c:pt idx="373">
                  <c:v>8.0000000000000002E-3</c:v>
                </c:pt>
                <c:pt idx="374">
                  <c:v>4.0000000000000001E-3</c:v>
                </c:pt>
                <c:pt idx="375">
                  <c:v>0.01</c:v>
                </c:pt>
                <c:pt idx="376">
                  <c:v>1.2E-2</c:v>
                </c:pt>
                <c:pt idx="377">
                  <c:v>1.4E-2</c:v>
                </c:pt>
                <c:pt idx="378">
                  <c:v>0.02</c:v>
                </c:pt>
                <c:pt idx="379">
                  <c:v>2.9000000000000001E-2</c:v>
                </c:pt>
                <c:pt idx="380">
                  <c:v>1.7999999999999999E-2</c:v>
                </c:pt>
                <c:pt idx="381">
                  <c:v>8.9999999999999993E-3</c:v>
                </c:pt>
                <c:pt idx="382">
                  <c:v>8.9999999999999993E-3</c:v>
                </c:pt>
                <c:pt idx="383">
                  <c:v>3.0000000000000001E-3</c:v>
                </c:pt>
                <c:pt idx="384">
                  <c:v>3.0000000000000001E-3</c:v>
                </c:pt>
                <c:pt idx="385">
                  <c:v>2E-3</c:v>
                </c:pt>
                <c:pt idx="386">
                  <c:v>4.0000000000000001E-3</c:v>
                </c:pt>
                <c:pt idx="387">
                  <c:v>1E-3</c:v>
                </c:pt>
                <c:pt idx="388">
                  <c:v>5.0000000000000001E-3</c:v>
                </c:pt>
                <c:pt idx="389">
                  <c:v>5.0000000000000001E-3</c:v>
                </c:pt>
                <c:pt idx="390">
                  <c:v>5.0000000000000001E-3</c:v>
                </c:pt>
                <c:pt idx="391">
                  <c:v>5.0000000000000001E-3</c:v>
                </c:pt>
                <c:pt idx="392">
                  <c:v>2E-3</c:v>
                </c:pt>
                <c:pt idx="393">
                  <c:v>4.0000000000000001E-3</c:v>
                </c:pt>
                <c:pt idx="394">
                  <c:v>1E-3</c:v>
                </c:pt>
                <c:pt idx="395">
                  <c:v>2E-3</c:v>
                </c:pt>
                <c:pt idx="396">
                  <c:v>1E-3</c:v>
                </c:pt>
                <c:pt idx="397">
                  <c:v>1E-3</c:v>
                </c:pt>
                <c:pt idx="398">
                  <c:v>2E-3</c:v>
                </c:pt>
                <c:pt idx="399">
                  <c:v>1E-3</c:v>
                </c:pt>
                <c:pt idx="400">
                  <c:v>4.0000000000000001E-3</c:v>
                </c:pt>
                <c:pt idx="401">
                  <c:v>2E-3</c:v>
                </c:pt>
                <c:pt idx="402">
                  <c:v>2E-3</c:v>
                </c:pt>
                <c:pt idx="403">
                  <c:v>1E-3</c:v>
                </c:pt>
                <c:pt idx="404">
                  <c:v>2E-3</c:v>
                </c:pt>
                <c:pt idx="405">
                  <c:v>2E-3</c:v>
                </c:pt>
                <c:pt idx="406">
                  <c:v>3.0000000000000001E-3</c:v>
                </c:pt>
                <c:pt idx="407">
                  <c:v>4.0000000000000001E-3</c:v>
                </c:pt>
                <c:pt idx="408">
                  <c:v>2E-3</c:v>
                </c:pt>
                <c:pt idx="409">
                  <c:v>3.0000000000000001E-3</c:v>
                </c:pt>
                <c:pt idx="410">
                  <c:v>2E-3</c:v>
                </c:pt>
                <c:pt idx="411">
                  <c:v>4.0000000000000001E-3</c:v>
                </c:pt>
                <c:pt idx="412">
                  <c:v>2E-3</c:v>
                </c:pt>
                <c:pt idx="413">
                  <c:v>2E-3</c:v>
                </c:pt>
                <c:pt idx="414">
                  <c:v>1E-3</c:v>
                </c:pt>
                <c:pt idx="415">
                  <c:v>1E-3</c:v>
                </c:pt>
                <c:pt idx="416">
                  <c:v>2E-3</c:v>
                </c:pt>
                <c:pt idx="417">
                  <c:v>5.0000000000000001E-3</c:v>
                </c:pt>
                <c:pt idx="418">
                  <c:v>2E-3</c:v>
                </c:pt>
                <c:pt idx="419">
                  <c:v>5.0000000000000001E-3</c:v>
                </c:pt>
                <c:pt idx="420">
                  <c:v>5.0000000000000001E-3</c:v>
                </c:pt>
                <c:pt idx="421">
                  <c:v>4.0000000000000001E-3</c:v>
                </c:pt>
                <c:pt idx="422">
                  <c:v>4.0000000000000001E-3</c:v>
                </c:pt>
                <c:pt idx="423">
                  <c:v>2E-3</c:v>
                </c:pt>
                <c:pt idx="424">
                  <c:v>4.0000000000000001E-3</c:v>
                </c:pt>
                <c:pt idx="425">
                  <c:v>3.0000000000000001E-3</c:v>
                </c:pt>
                <c:pt idx="426">
                  <c:v>1E-3</c:v>
                </c:pt>
                <c:pt idx="427">
                  <c:v>2E-3</c:v>
                </c:pt>
                <c:pt idx="428">
                  <c:v>2E-3</c:v>
                </c:pt>
                <c:pt idx="429">
                  <c:v>4.0000000000000001E-3</c:v>
                </c:pt>
                <c:pt idx="430">
                  <c:v>4.0000000000000001E-3</c:v>
                </c:pt>
                <c:pt idx="431">
                  <c:v>3.0000000000000001E-3</c:v>
                </c:pt>
                <c:pt idx="432">
                  <c:v>2E-3</c:v>
                </c:pt>
                <c:pt idx="433">
                  <c:v>5.0000000000000001E-3</c:v>
                </c:pt>
                <c:pt idx="434">
                  <c:v>4.0000000000000001E-3</c:v>
                </c:pt>
                <c:pt idx="435">
                  <c:v>5.0000000000000001E-3</c:v>
                </c:pt>
                <c:pt idx="436">
                  <c:v>5.0000000000000001E-3</c:v>
                </c:pt>
                <c:pt idx="437">
                  <c:v>2E-3</c:v>
                </c:pt>
                <c:pt idx="438">
                  <c:v>0</c:v>
                </c:pt>
                <c:pt idx="439">
                  <c:v>1E-3</c:v>
                </c:pt>
                <c:pt idx="440">
                  <c:v>1E-3</c:v>
                </c:pt>
                <c:pt idx="441">
                  <c:v>4.0000000000000001E-3</c:v>
                </c:pt>
                <c:pt idx="442">
                  <c:v>2E-3</c:v>
                </c:pt>
                <c:pt idx="443">
                  <c:v>2E-3</c:v>
                </c:pt>
                <c:pt idx="444">
                  <c:v>1E-3</c:v>
                </c:pt>
                <c:pt idx="445">
                  <c:v>3.0000000000000001E-3</c:v>
                </c:pt>
                <c:pt idx="446">
                  <c:v>3.0000000000000001E-3</c:v>
                </c:pt>
                <c:pt idx="447">
                  <c:v>1E-3</c:v>
                </c:pt>
                <c:pt idx="448">
                  <c:v>2E-3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1E-3</c:v>
                </c:pt>
                <c:pt idx="453">
                  <c:v>1E-3</c:v>
                </c:pt>
                <c:pt idx="454">
                  <c:v>3.0000000000000001E-3</c:v>
                </c:pt>
                <c:pt idx="455">
                  <c:v>2E-3</c:v>
                </c:pt>
                <c:pt idx="456">
                  <c:v>3.0000000000000001E-3</c:v>
                </c:pt>
                <c:pt idx="457">
                  <c:v>2E-3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1E-3</c:v>
                </c:pt>
                <c:pt idx="463">
                  <c:v>3.0000000000000001E-3</c:v>
                </c:pt>
                <c:pt idx="464">
                  <c:v>2E-3</c:v>
                </c:pt>
                <c:pt idx="465">
                  <c:v>3.0000000000000001E-3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2E-3</c:v>
                </c:pt>
                <c:pt idx="471">
                  <c:v>1E-3</c:v>
                </c:pt>
                <c:pt idx="472">
                  <c:v>1E-3</c:v>
                </c:pt>
                <c:pt idx="473">
                  <c:v>1E-3</c:v>
                </c:pt>
                <c:pt idx="474">
                  <c:v>1E-3</c:v>
                </c:pt>
                <c:pt idx="475">
                  <c:v>1E-3</c:v>
                </c:pt>
                <c:pt idx="476">
                  <c:v>1E-3</c:v>
                </c:pt>
                <c:pt idx="477">
                  <c:v>4.0000000000000001E-3</c:v>
                </c:pt>
                <c:pt idx="478">
                  <c:v>3.0000000000000001E-3</c:v>
                </c:pt>
                <c:pt idx="479">
                  <c:v>2E-3</c:v>
                </c:pt>
                <c:pt idx="480">
                  <c:v>4.0000000000000001E-3</c:v>
                </c:pt>
                <c:pt idx="481">
                  <c:v>5.0000000000000001E-3</c:v>
                </c:pt>
                <c:pt idx="482">
                  <c:v>2E-3</c:v>
                </c:pt>
                <c:pt idx="483">
                  <c:v>4.0000000000000001E-3</c:v>
                </c:pt>
                <c:pt idx="484">
                  <c:v>2E-3</c:v>
                </c:pt>
                <c:pt idx="485">
                  <c:v>1E-3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2E-3</c:v>
                </c:pt>
                <c:pt idx="492">
                  <c:v>1E-3</c:v>
                </c:pt>
                <c:pt idx="493">
                  <c:v>2E-3</c:v>
                </c:pt>
                <c:pt idx="494">
                  <c:v>5.0000000000000001E-3</c:v>
                </c:pt>
                <c:pt idx="495">
                  <c:v>4.0000000000000001E-3</c:v>
                </c:pt>
                <c:pt idx="496">
                  <c:v>2E-3</c:v>
                </c:pt>
                <c:pt idx="497">
                  <c:v>5.0000000000000001E-3</c:v>
                </c:pt>
                <c:pt idx="498">
                  <c:v>2E-3</c:v>
                </c:pt>
                <c:pt idx="499">
                  <c:v>7.0000000000000001E-3</c:v>
                </c:pt>
                <c:pt idx="500">
                  <c:v>6.0000000000000001E-3</c:v>
                </c:pt>
                <c:pt idx="501">
                  <c:v>7.0000000000000001E-3</c:v>
                </c:pt>
                <c:pt idx="502">
                  <c:v>4.0000000000000001E-3</c:v>
                </c:pt>
                <c:pt idx="503">
                  <c:v>7.0000000000000001E-3</c:v>
                </c:pt>
                <c:pt idx="504">
                  <c:v>3.0000000000000001E-3</c:v>
                </c:pt>
                <c:pt idx="505">
                  <c:v>6.0000000000000001E-3</c:v>
                </c:pt>
                <c:pt idx="506">
                  <c:v>5.0000000000000001E-3</c:v>
                </c:pt>
                <c:pt idx="507">
                  <c:v>3.0000000000000001E-3</c:v>
                </c:pt>
                <c:pt idx="508">
                  <c:v>4.0000000000000001E-3</c:v>
                </c:pt>
                <c:pt idx="509">
                  <c:v>6.0000000000000001E-3</c:v>
                </c:pt>
                <c:pt idx="510">
                  <c:v>5.0000000000000001E-3</c:v>
                </c:pt>
                <c:pt idx="511">
                  <c:v>8.0000000000000002E-3</c:v>
                </c:pt>
                <c:pt idx="512">
                  <c:v>0.01</c:v>
                </c:pt>
                <c:pt idx="513">
                  <c:v>0.01</c:v>
                </c:pt>
                <c:pt idx="514">
                  <c:v>7.0000000000000001E-3</c:v>
                </c:pt>
                <c:pt idx="515">
                  <c:v>7.0000000000000001E-3</c:v>
                </c:pt>
                <c:pt idx="516">
                  <c:v>1.2E-2</c:v>
                </c:pt>
                <c:pt idx="517">
                  <c:v>1.7999999999999999E-2</c:v>
                </c:pt>
                <c:pt idx="518">
                  <c:v>1.6E-2</c:v>
                </c:pt>
                <c:pt idx="519">
                  <c:v>1.9E-2</c:v>
                </c:pt>
                <c:pt idx="520">
                  <c:v>1.2999999999999999E-2</c:v>
                </c:pt>
                <c:pt idx="521">
                  <c:v>0.01</c:v>
                </c:pt>
                <c:pt idx="522">
                  <c:v>6.0000000000000001E-3</c:v>
                </c:pt>
                <c:pt idx="523">
                  <c:v>7.0000000000000001E-3</c:v>
                </c:pt>
                <c:pt idx="524">
                  <c:v>5.0000000000000001E-3</c:v>
                </c:pt>
                <c:pt idx="525">
                  <c:v>7.0000000000000001E-3</c:v>
                </c:pt>
                <c:pt idx="526">
                  <c:v>7.0000000000000001E-3</c:v>
                </c:pt>
                <c:pt idx="527">
                  <c:v>8.9999999999999993E-3</c:v>
                </c:pt>
                <c:pt idx="528">
                  <c:v>3.0000000000000001E-3</c:v>
                </c:pt>
                <c:pt idx="529">
                  <c:v>8.0000000000000002E-3</c:v>
                </c:pt>
                <c:pt idx="530">
                  <c:v>3.0000000000000001E-3</c:v>
                </c:pt>
                <c:pt idx="531">
                  <c:v>5.0000000000000001E-3</c:v>
                </c:pt>
                <c:pt idx="532">
                  <c:v>5.0000000000000001E-3</c:v>
                </c:pt>
                <c:pt idx="533">
                  <c:v>3.0000000000000001E-3</c:v>
                </c:pt>
                <c:pt idx="534">
                  <c:v>3.0000000000000001E-3</c:v>
                </c:pt>
                <c:pt idx="535">
                  <c:v>2E-3</c:v>
                </c:pt>
                <c:pt idx="536">
                  <c:v>1E-3</c:v>
                </c:pt>
                <c:pt idx="537">
                  <c:v>2E-3</c:v>
                </c:pt>
                <c:pt idx="538">
                  <c:v>3.0000000000000001E-3</c:v>
                </c:pt>
                <c:pt idx="539">
                  <c:v>1E-3</c:v>
                </c:pt>
                <c:pt idx="540">
                  <c:v>3.0000000000000001E-3</c:v>
                </c:pt>
                <c:pt idx="541">
                  <c:v>0</c:v>
                </c:pt>
                <c:pt idx="542">
                  <c:v>0</c:v>
                </c:pt>
                <c:pt idx="543">
                  <c:v>1E-3</c:v>
                </c:pt>
                <c:pt idx="544">
                  <c:v>0</c:v>
                </c:pt>
                <c:pt idx="545">
                  <c:v>0</c:v>
                </c:pt>
                <c:pt idx="546">
                  <c:v>3.0000000000000001E-3</c:v>
                </c:pt>
                <c:pt idx="547">
                  <c:v>1E-3</c:v>
                </c:pt>
                <c:pt idx="548">
                  <c:v>3.0000000000000001E-3</c:v>
                </c:pt>
                <c:pt idx="549">
                  <c:v>2E-3</c:v>
                </c:pt>
                <c:pt idx="550">
                  <c:v>2E-3</c:v>
                </c:pt>
                <c:pt idx="551">
                  <c:v>1E-3</c:v>
                </c:pt>
                <c:pt idx="552">
                  <c:v>2E-3</c:v>
                </c:pt>
                <c:pt idx="553">
                  <c:v>1E-3</c:v>
                </c:pt>
                <c:pt idx="554">
                  <c:v>1E-3</c:v>
                </c:pt>
                <c:pt idx="555">
                  <c:v>2E-3</c:v>
                </c:pt>
                <c:pt idx="556">
                  <c:v>2E-3</c:v>
                </c:pt>
                <c:pt idx="557">
                  <c:v>3.0000000000000001E-3</c:v>
                </c:pt>
                <c:pt idx="558">
                  <c:v>1E-3</c:v>
                </c:pt>
                <c:pt idx="559">
                  <c:v>0</c:v>
                </c:pt>
                <c:pt idx="560">
                  <c:v>3.0000000000000001E-3</c:v>
                </c:pt>
                <c:pt idx="561">
                  <c:v>2E-3</c:v>
                </c:pt>
                <c:pt idx="562">
                  <c:v>2E-3</c:v>
                </c:pt>
                <c:pt idx="563">
                  <c:v>8.0000000000000002E-3</c:v>
                </c:pt>
                <c:pt idx="564">
                  <c:v>0</c:v>
                </c:pt>
                <c:pt idx="565">
                  <c:v>2E-3</c:v>
                </c:pt>
                <c:pt idx="566">
                  <c:v>1E-3</c:v>
                </c:pt>
                <c:pt idx="567">
                  <c:v>0</c:v>
                </c:pt>
                <c:pt idx="568">
                  <c:v>1E-3</c:v>
                </c:pt>
                <c:pt idx="569">
                  <c:v>0</c:v>
                </c:pt>
                <c:pt idx="570">
                  <c:v>0</c:v>
                </c:pt>
                <c:pt idx="571">
                  <c:v>2E-3</c:v>
                </c:pt>
                <c:pt idx="572">
                  <c:v>1E-3</c:v>
                </c:pt>
                <c:pt idx="573">
                  <c:v>0</c:v>
                </c:pt>
                <c:pt idx="574">
                  <c:v>1E-3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2E-3</c:v>
                </c:pt>
                <c:pt idx="581">
                  <c:v>3.0000000000000001E-3</c:v>
                </c:pt>
                <c:pt idx="582">
                  <c:v>7.0000000000000001E-3</c:v>
                </c:pt>
                <c:pt idx="583">
                  <c:v>1.0999999999999999E-2</c:v>
                </c:pt>
                <c:pt idx="584">
                  <c:v>8.0000000000000002E-3</c:v>
                </c:pt>
                <c:pt idx="585">
                  <c:v>1.2999999999999999E-2</c:v>
                </c:pt>
                <c:pt idx="586">
                  <c:v>1.4E-2</c:v>
                </c:pt>
                <c:pt idx="587">
                  <c:v>1.4E-2</c:v>
                </c:pt>
                <c:pt idx="588">
                  <c:v>7.0000000000000001E-3</c:v>
                </c:pt>
                <c:pt idx="589">
                  <c:v>8.0000000000000002E-3</c:v>
                </c:pt>
                <c:pt idx="590">
                  <c:v>5.0000000000000001E-3</c:v>
                </c:pt>
                <c:pt idx="591">
                  <c:v>6.0000000000000001E-3</c:v>
                </c:pt>
                <c:pt idx="592">
                  <c:v>4.0000000000000001E-3</c:v>
                </c:pt>
                <c:pt idx="593">
                  <c:v>5.0000000000000001E-3</c:v>
                </c:pt>
                <c:pt idx="594">
                  <c:v>2E-3</c:v>
                </c:pt>
                <c:pt idx="595">
                  <c:v>3.0000000000000001E-3</c:v>
                </c:pt>
                <c:pt idx="596">
                  <c:v>5.0000000000000001E-3</c:v>
                </c:pt>
                <c:pt idx="597">
                  <c:v>2E-3</c:v>
                </c:pt>
                <c:pt idx="598">
                  <c:v>3.0000000000000001E-3</c:v>
                </c:pt>
                <c:pt idx="599">
                  <c:v>7.0000000000000001E-3</c:v>
                </c:pt>
                <c:pt idx="600">
                  <c:v>1E-3</c:v>
                </c:pt>
                <c:pt idx="601">
                  <c:v>4.0000000000000001E-3</c:v>
                </c:pt>
                <c:pt idx="602">
                  <c:v>4.0000000000000001E-3</c:v>
                </c:pt>
                <c:pt idx="603">
                  <c:v>3.0000000000000001E-3</c:v>
                </c:pt>
                <c:pt idx="604">
                  <c:v>3.0000000000000001E-3</c:v>
                </c:pt>
                <c:pt idx="605">
                  <c:v>0</c:v>
                </c:pt>
                <c:pt idx="606">
                  <c:v>2E-3</c:v>
                </c:pt>
                <c:pt idx="607">
                  <c:v>1E-3</c:v>
                </c:pt>
                <c:pt idx="608">
                  <c:v>0</c:v>
                </c:pt>
                <c:pt idx="609">
                  <c:v>5.0000000000000001E-3</c:v>
                </c:pt>
                <c:pt idx="610">
                  <c:v>5.0000000000000001E-3</c:v>
                </c:pt>
                <c:pt idx="611">
                  <c:v>6.0000000000000001E-3</c:v>
                </c:pt>
                <c:pt idx="612">
                  <c:v>1.6E-2</c:v>
                </c:pt>
                <c:pt idx="613">
                  <c:v>4.0000000000000001E-3</c:v>
                </c:pt>
                <c:pt idx="614">
                  <c:v>8.0000000000000002E-3</c:v>
                </c:pt>
                <c:pt idx="615">
                  <c:v>1.0999999999999999E-2</c:v>
                </c:pt>
                <c:pt idx="616">
                  <c:v>4.0000000000000001E-3</c:v>
                </c:pt>
                <c:pt idx="617">
                  <c:v>5.0000000000000001E-3</c:v>
                </c:pt>
                <c:pt idx="618">
                  <c:v>7.0000000000000001E-3</c:v>
                </c:pt>
                <c:pt idx="619">
                  <c:v>4.0000000000000001E-3</c:v>
                </c:pt>
                <c:pt idx="620">
                  <c:v>0.01</c:v>
                </c:pt>
                <c:pt idx="621">
                  <c:v>3.0000000000000001E-3</c:v>
                </c:pt>
                <c:pt idx="622">
                  <c:v>6.0000000000000001E-3</c:v>
                </c:pt>
                <c:pt idx="623">
                  <c:v>8.0000000000000002E-3</c:v>
                </c:pt>
                <c:pt idx="624">
                  <c:v>8.0000000000000002E-3</c:v>
                </c:pt>
                <c:pt idx="625">
                  <c:v>8.0000000000000002E-3</c:v>
                </c:pt>
                <c:pt idx="626">
                  <c:v>8.9999999999999993E-3</c:v>
                </c:pt>
                <c:pt idx="627">
                  <c:v>0.01</c:v>
                </c:pt>
                <c:pt idx="628">
                  <c:v>1.0999999999999999E-2</c:v>
                </c:pt>
                <c:pt idx="629">
                  <c:v>0.01</c:v>
                </c:pt>
                <c:pt idx="630">
                  <c:v>8.0000000000000002E-3</c:v>
                </c:pt>
                <c:pt idx="631">
                  <c:v>1.4E-2</c:v>
                </c:pt>
                <c:pt idx="632">
                  <c:v>0.01</c:v>
                </c:pt>
                <c:pt idx="633">
                  <c:v>1.4999999999999999E-2</c:v>
                </c:pt>
                <c:pt idx="634">
                  <c:v>8.0000000000000002E-3</c:v>
                </c:pt>
                <c:pt idx="635">
                  <c:v>7.0000000000000001E-3</c:v>
                </c:pt>
                <c:pt idx="636">
                  <c:v>7.0000000000000001E-3</c:v>
                </c:pt>
                <c:pt idx="637">
                  <c:v>1E-3</c:v>
                </c:pt>
                <c:pt idx="638">
                  <c:v>4.0000000000000001E-3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2E-3</c:v>
                </c:pt>
                <c:pt idx="645">
                  <c:v>0</c:v>
                </c:pt>
                <c:pt idx="646">
                  <c:v>1E-3</c:v>
                </c:pt>
                <c:pt idx="647">
                  <c:v>2E-3</c:v>
                </c:pt>
                <c:pt idx="648">
                  <c:v>1E-3</c:v>
                </c:pt>
                <c:pt idx="649">
                  <c:v>5.0000000000000001E-3</c:v>
                </c:pt>
                <c:pt idx="650">
                  <c:v>2E-3</c:v>
                </c:pt>
                <c:pt idx="651">
                  <c:v>0</c:v>
                </c:pt>
                <c:pt idx="652">
                  <c:v>2E-3</c:v>
                </c:pt>
                <c:pt idx="653">
                  <c:v>0</c:v>
                </c:pt>
                <c:pt idx="654">
                  <c:v>2E-3</c:v>
                </c:pt>
                <c:pt idx="655">
                  <c:v>8.0000000000000002E-3</c:v>
                </c:pt>
                <c:pt idx="656">
                  <c:v>3.0000000000000001E-3</c:v>
                </c:pt>
                <c:pt idx="657">
                  <c:v>1.4E-2</c:v>
                </c:pt>
                <c:pt idx="658">
                  <c:v>6.0000000000000001E-3</c:v>
                </c:pt>
                <c:pt idx="659">
                  <c:v>1E-3</c:v>
                </c:pt>
                <c:pt idx="660">
                  <c:v>4.0000000000000001E-3</c:v>
                </c:pt>
                <c:pt idx="661">
                  <c:v>1E-3</c:v>
                </c:pt>
                <c:pt idx="662">
                  <c:v>1E-3</c:v>
                </c:pt>
                <c:pt idx="663">
                  <c:v>0</c:v>
                </c:pt>
                <c:pt idx="664">
                  <c:v>1E-3</c:v>
                </c:pt>
                <c:pt idx="665">
                  <c:v>1E-3</c:v>
                </c:pt>
                <c:pt idx="666">
                  <c:v>0</c:v>
                </c:pt>
                <c:pt idx="667">
                  <c:v>2E-3</c:v>
                </c:pt>
                <c:pt idx="668">
                  <c:v>1E-3</c:v>
                </c:pt>
                <c:pt idx="669">
                  <c:v>0</c:v>
                </c:pt>
                <c:pt idx="670">
                  <c:v>8.0000000000000002E-3</c:v>
                </c:pt>
                <c:pt idx="671">
                  <c:v>1E-3</c:v>
                </c:pt>
                <c:pt idx="672">
                  <c:v>2E-3</c:v>
                </c:pt>
                <c:pt idx="673">
                  <c:v>7.0000000000000001E-3</c:v>
                </c:pt>
                <c:pt idx="674">
                  <c:v>4.0000000000000001E-3</c:v>
                </c:pt>
                <c:pt idx="675">
                  <c:v>2E-3</c:v>
                </c:pt>
                <c:pt idx="676">
                  <c:v>1E-3</c:v>
                </c:pt>
                <c:pt idx="677">
                  <c:v>4.0000000000000001E-3</c:v>
                </c:pt>
                <c:pt idx="678">
                  <c:v>1E-3</c:v>
                </c:pt>
                <c:pt idx="679">
                  <c:v>2E-3</c:v>
                </c:pt>
                <c:pt idx="680">
                  <c:v>1E-3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2E-3</c:v>
                </c:pt>
                <c:pt idx="686">
                  <c:v>1E-3</c:v>
                </c:pt>
                <c:pt idx="687">
                  <c:v>1E-3</c:v>
                </c:pt>
                <c:pt idx="688">
                  <c:v>1E-3</c:v>
                </c:pt>
                <c:pt idx="689">
                  <c:v>1E-3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2E-3</c:v>
                </c:pt>
                <c:pt idx="696">
                  <c:v>3.0000000000000001E-3</c:v>
                </c:pt>
                <c:pt idx="697">
                  <c:v>2E-3</c:v>
                </c:pt>
                <c:pt idx="698">
                  <c:v>5.0000000000000001E-3</c:v>
                </c:pt>
                <c:pt idx="699">
                  <c:v>1E-3</c:v>
                </c:pt>
                <c:pt idx="700">
                  <c:v>4.0000000000000001E-3</c:v>
                </c:pt>
                <c:pt idx="701">
                  <c:v>3.0000000000000001E-3</c:v>
                </c:pt>
                <c:pt idx="702">
                  <c:v>3.0000000000000001E-3</c:v>
                </c:pt>
                <c:pt idx="703">
                  <c:v>3.0000000000000001E-3</c:v>
                </c:pt>
                <c:pt idx="704">
                  <c:v>2E-3</c:v>
                </c:pt>
                <c:pt idx="705">
                  <c:v>6.0000000000000001E-3</c:v>
                </c:pt>
                <c:pt idx="706">
                  <c:v>5.0000000000000001E-3</c:v>
                </c:pt>
                <c:pt idx="707">
                  <c:v>1.4999999999999999E-2</c:v>
                </c:pt>
                <c:pt idx="708">
                  <c:v>1.2999999999999999E-2</c:v>
                </c:pt>
                <c:pt idx="709">
                  <c:v>2.4E-2</c:v>
                </c:pt>
                <c:pt idx="710">
                  <c:v>1.2E-2</c:v>
                </c:pt>
                <c:pt idx="711">
                  <c:v>4.0000000000000001E-3</c:v>
                </c:pt>
                <c:pt idx="712">
                  <c:v>6.0000000000000001E-3</c:v>
                </c:pt>
                <c:pt idx="713">
                  <c:v>0</c:v>
                </c:pt>
                <c:pt idx="714">
                  <c:v>2E-3</c:v>
                </c:pt>
                <c:pt idx="715">
                  <c:v>2E-3</c:v>
                </c:pt>
                <c:pt idx="716">
                  <c:v>0</c:v>
                </c:pt>
                <c:pt idx="717">
                  <c:v>8.9999999999999993E-3</c:v>
                </c:pt>
                <c:pt idx="718">
                  <c:v>6.0000000000000001E-3</c:v>
                </c:pt>
                <c:pt idx="719">
                  <c:v>8.9999999999999993E-3</c:v>
                </c:pt>
                <c:pt idx="720">
                  <c:v>2.1000000000000001E-2</c:v>
                </c:pt>
                <c:pt idx="721">
                  <c:v>8.9999999999999993E-3</c:v>
                </c:pt>
                <c:pt idx="722">
                  <c:v>1.4999999999999999E-2</c:v>
                </c:pt>
                <c:pt idx="723">
                  <c:v>1.4999999999999999E-2</c:v>
                </c:pt>
                <c:pt idx="724">
                  <c:v>5.0000000000000001E-3</c:v>
                </c:pt>
                <c:pt idx="725">
                  <c:v>6.0000000000000001E-3</c:v>
                </c:pt>
                <c:pt idx="726">
                  <c:v>2E-3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2E-3</c:v>
                </c:pt>
                <c:pt idx="732">
                  <c:v>1E-3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4.0000000000000001E-3</c:v>
                </c:pt>
                <c:pt idx="738">
                  <c:v>7.0000000000000001E-3</c:v>
                </c:pt>
                <c:pt idx="739">
                  <c:v>8.0000000000000002E-3</c:v>
                </c:pt>
                <c:pt idx="740">
                  <c:v>1.7000000000000001E-2</c:v>
                </c:pt>
                <c:pt idx="741">
                  <c:v>1.2999999999999999E-2</c:v>
                </c:pt>
                <c:pt idx="742">
                  <c:v>1.7000000000000001E-2</c:v>
                </c:pt>
                <c:pt idx="743">
                  <c:v>1.2E-2</c:v>
                </c:pt>
                <c:pt idx="744">
                  <c:v>3.0000000000000001E-3</c:v>
                </c:pt>
                <c:pt idx="745">
                  <c:v>6.0000000000000001E-3</c:v>
                </c:pt>
                <c:pt idx="746">
                  <c:v>3.0000000000000001E-3</c:v>
                </c:pt>
                <c:pt idx="747">
                  <c:v>2E-3</c:v>
                </c:pt>
                <c:pt idx="748">
                  <c:v>3.0000000000000001E-3</c:v>
                </c:pt>
                <c:pt idx="749">
                  <c:v>1E-3</c:v>
                </c:pt>
                <c:pt idx="750">
                  <c:v>2E-3</c:v>
                </c:pt>
                <c:pt idx="751">
                  <c:v>1E-3</c:v>
                </c:pt>
                <c:pt idx="752">
                  <c:v>1E-3</c:v>
                </c:pt>
                <c:pt idx="753">
                  <c:v>4.0000000000000001E-3</c:v>
                </c:pt>
                <c:pt idx="754">
                  <c:v>2E-3</c:v>
                </c:pt>
                <c:pt idx="755">
                  <c:v>2E-3</c:v>
                </c:pt>
                <c:pt idx="756">
                  <c:v>1E-3</c:v>
                </c:pt>
                <c:pt idx="757">
                  <c:v>2E-3</c:v>
                </c:pt>
                <c:pt idx="758">
                  <c:v>1E-3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3.0000000000000001E-3</c:v>
                </c:pt>
                <c:pt idx="764">
                  <c:v>0</c:v>
                </c:pt>
                <c:pt idx="765">
                  <c:v>0</c:v>
                </c:pt>
                <c:pt idx="766">
                  <c:v>1E-3</c:v>
                </c:pt>
                <c:pt idx="767">
                  <c:v>0</c:v>
                </c:pt>
                <c:pt idx="768">
                  <c:v>0</c:v>
                </c:pt>
                <c:pt idx="769">
                  <c:v>1E-3</c:v>
                </c:pt>
                <c:pt idx="770">
                  <c:v>0</c:v>
                </c:pt>
                <c:pt idx="771">
                  <c:v>1E-3</c:v>
                </c:pt>
                <c:pt idx="772">
                  <c:v>0</c:v>
                </c:pt>
                <c:pt idx="773">
                  <c:v>0</c:v>
                </c:pt>
                <c:pt idx="774">
                  <c:v>1E-3</c:v>
                </c:pt>
                <c:pt idx="775">
                  <c:v>1E-3</c:v>
                </c:pt>
                <c:pt idx="776">
                  <c:v>1E-3</c:v>
                </c:pt>
                <c:pt idx="777">
                  <c:v>3.0000000000000001E-3</c:v>
                </c:pt>
                <c:pt idx="778">
                  <c:v>3.0000000000000001E-3</c:v>
                </c:pt>
                <c:pt idx="779">
                  <c:v>1E-3</c:v>
                </c:pt>
                <c:pt idx="780">
                  <c:v>1E-3</c:v>
                </c:pt>
                <c:pt idx="781">
                  <c:v>0</c:v>
                </c:pt>
                <c:pt idx="782">
                  <c:v>1E-3</c:v>
                </c:pt>
                <c:pt idx="783">
                  <c:v>1E-3</c:v>
                </c:pt>
                <c:pt idx="784">
                  <c:v>0</c:v>
                </c:pt>
                <c:pt idx="785">
                  <c:v>1E-3</c:v>
                </c:pt>
                <c:pt idx="786">
                  <c:v>1E-3</c:v>
                </c:pt>
                <c:pt idx="787">
                  <c:v>2E-3</c:v>
                </c:pt>
                <c:pt idx="788">
                  <c:v>1E-3</c:v>
                </c:pt>
                <c:pt idx="789">
                  <c:v>1E-3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2E-3</c:v>
                </c:pt>
                <c:pt idx="795">
                  <c:v>1E-3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2E-3</c:v>
                </c:pt>
                <c:pt idx="801">
                  <c:v>1E-3</c:v>
                </c:pt>
                <c:pt idx="802">
                  <c:v>0</c:v>
                </c:pt>
                <c:pt idx="803">
                  <c:v>3.0000000000000001E-3</c:v>
                </c:pt>
                <c:pt idx="804">
                  <c:v>1E-3</c:v>
                </c:pt>
                <c:pt idx="805">
                  <c:v>0</c:v>
                </c:pt>
                <c:pt idx="806">
                  <c:v>2E-3</c:v>
                </c:pt>
                <c:pt idx="807">
                  <c:v>2E-3</c:v>
                </c:pt>
                <c:pt idx="808">
                  <c:v>1E-3</c:v>
                </c:pt>
                <c:pt idx="809">
                  <c:v>8.9999999999999993E-3</c:v>
                </c:pt>
                <c:pt idx="810">
                  <c:v>2E-3</c:v>
                </c:pt>
                <c:pt idx="811">
                  <c:v>2E-3</c:v>
                </c:pt>
                <c:pt idx="812">
                  <c:v>2E-3</c:v>
                </c:pt>
                <c:pt idx="813">
                  <c:v>1E-3</c:v>
                </c:pt>
                <c:pt idx="814">
                  <c:v>3.0000000000000001E-3</c:v>
                </c:pt>
                <c:pt idx="815">
                  <c:v>2E-3</c:v>
                </c:pt>
                <c:pt idx="816">
                  <c:v>4.0000000000000001E-3</c:v>
                </c:pt>
                <c:pt idx="817">
                  <c:v>3.0000000000000001E-3</c:v>
                </c:pt>
                <c:pt idx="818">
                  <c:v>5.0000000000000001E-3</c:v>
                </c:pt>
                <c:pt idx="819">
                  <c:v>3.0000000000000001E-3</c:v>
                </c:pt>
                <c:pt idx="820">
                  <c:v>1E-3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2E-3</c:v>
                </c:pt>
                <c:pt idx="827">
                  <c:v>1E-3</c:v>
                </c:pt>
                <c:pt idx="828">
                  <c:v>2E-3</c:v>
                </c:pt>
                <c:pt idx="829">
                  <c:v>3.0000000000000001E-3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2E-3</c:v>
                </c:pt>
                <c:pt idx="836">
                  <c:v>1E-3</c:v>
                </c:pt>
                <c:pt idx="837">
                  <c:v>3.0000000000000001E-3</c:v>
                </c:pt>
                <c:pt idx="838">
                  <c:v>5.0000000000000001E-3</c:v>
                </c:pt>
                <c:pt idx="839">
                  <c:v>4.0000000000000001E-3</c:v>
                </c:pt>
                <c:pt idx="840">
                  <c:v>4.0000000000000001E-3</c:v>
                </c:pt>
                <c:pt idx="841">
                  <c:v>5.0000000000000001E-3</c:v>
                </c:pt>
                <c:pt idx="842">
                  <c:v>3.0000000000000001E-3</c:v>
                </c:pt>
                <c:pt idx="843">
                  <c:v>4.0000000000000001E-3</c:v>
                </c:pt>
                <c:pt idx="844">
                  <c:v>0</c:v>
                </c:pt>
                <c:pt idx="845">
                  <c:v>2E-3</c:v>
                </c:pt>
                <c:pt idx="846">
                  <c:v>0</c:v>
                </c:pt>
                <c:pt idx="847">
                  <c:v>1E-3</c:v>
                </c:pt>
                <c:pt idx="848">
                  <c:v>1E-3</c:v>
                </c:pt>
                <c:pt idx="849">
                  <c:v>1E-3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1E-3</c:v>
                </c:pt>
                <c:pt idx="856">
                  <c:v>0</c:v>
                </c:pt>
                <c:pt idx="857">
                  <c:v>2E-3</c:v>
                </c:pt>
                <c:pt idx="858">
                  <c:v>3.0000000000000001E-3</c:v>
                </c:pt>
                <c:pt idx="859">
                  <c:v>3.0000000000000001E-3</c:v>
                </c:pt>
                <c:pt idx="860">
                  <c:v>6.0000000000000001E-3</c:v>
                </c:pt>
                <c:pt idx="861">
                  <c:v>6.0000000000000001E-3</c:v>
                </c:pt>
                <c:pt idx="862">
                  <c:v>4.0000000000000001E-3</c:v>
                </c:pt>
                <c:pt idx="863">
                  <c:v>6.0000000000000001E-3</c:v>
                </c:pt>
                <c:pt idx="864">
                  <c:v>2E-3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1E-3</c:v>
                </c:pt>
                <c:pt idx="870">
                  <c:v>1E-3</c:v>
                </c:pt>
                <c:pt idx="871">
                  <c:v>1E-3</c:v>
                </c:pt>
                <c:pt idx="872">
                  <c:v>2E-3</c:v>
                </c:pt>
                <c:pt idx="873">
                  <c:v>0</c:v>
                </c:pt>
                <c:pt idx="874">
                  <c:v>1E-3</c:v>
                </c:pt>
                <c:pt idx="875">
                  <c:v>1E-3</c:v>
                </c:pt>
                <c:pt idx="876">
                  <c:v>0</c:v>
                </c:pt>
                <c:pt idx="877">
                  <c:v>2E-3</c:v>
                </c:pt>
                <c:pt idx="878">
                  <c:v>1E-3</c:v>
                </c:pt>
                <c:pt idx="879">
                  <c:v>1E-3</c:v>
                </c:pt>
                <c:pt idx="880">
                  <c:v>1E-3</c:v>
                </c:pt>
                <c:pt idx="881">
                  <c:v>2E-3</c:v>
                </c:pt>
                <c:pt idx="882">
                  <c:v>2E-3</c:v>
                </c:pt>
                <c:pt idx="883">
                  <c:v>1E-3</c:v>
                </c:pt>
                <c:pt idx="884">
                  <c:v>1E-3</c:v>
                </c:pt>
                <c:pt idx="885">
                  <c:v>1E-3</c:v>
                </c:pt>
                <c:pt idx="886">
                  <c:v>1E-3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2E-3</c:v>
                </c:pt>
                <c:pt idx="893">
                  <c:v>5.0000000000000001E-3</c:v>
                </c:pt>
                <c:pt idx="894">
                  <c:v>3.0000000000000001E-3</c:v>
                </c:pt>
                <c:pt idx="895">
                  <c:v>5.0000000000000001E-3</c:v>
                </c:pt>
                <c:pt idx="896">
                  <c:v>5.0000000000000001E-3</c:v>
                </c:pt>
                <c:pt idx="897">
                  <c:v>2E-3</c:v>
                </c:pt>
                <c:pt idx="898">
                  <c:v>4.0000000000000001E-3</c:v>
                </c:pt>
                <c:pt idx="899">
                  <c:v>2E-3</c:v>
                </c:pt>
                <c:pt idx="900">
                  <c:v>4.0000000000000001E-3</c:v>
                </c:pt>
                <c:pt idx="901">
                  <c:v>4.0000000000000001E-3</c:v>
                </c:pt>
                <c:pt idx="902">
                  <c:v>5.0000000000000001E-3</c:v>
                </c:pt>
                <c:pt idx="903">
                  <c:v>7.0000000000000001E-3</c:v>
                </c:pt>
                <c:pt idx="904">
                  <c:v>5.0000000000000001E-3</c:v>
                </c:pt>
                <c:pt idx="905">
                  <c:v>0.01</c:v>
                </c:pt>
                <c:pt idx="906">
                  <c:v>3.0000000000000001E-3</c:v>
                </c:pt>
                <c:pt idx="907">
                  <c:v>8.0000000000000002E-3</c:v>
                </c:pt>
                <c:pt idx="908">
                  <c:v>8.0000000000000002E-3</c:v>
                </c:pt>
                <c:pt idx="909">
                  <c:v>1.7000000000000001E-2</c:v>
                </c:pt>
                <c:pt idx="910">
                  <c:v>1.7000000000000001E-2</c:v>
                </c:pt>
                <c:pt idx="911">
                  <c:v>1.2999999999999999E-2</c:v>
                </c:pt>
                <c:pt idx="912">
                  <c:v>0.01</c:v>
                </c:pt>
                <c:pt idx="913">
                  <c:v>7.0000000000000001E-3</c:v>
                </c:pt>
                <c:pt idx="914">
                  <c:v>7.0000000000000001E-3</c:v>
                </c:pt>
                <c:pt idx="915">
                  <c:v>5.0000000000000001E-3</c:v>
                </c:pt>
                <c:pt idx="916">
                  <c:v>1.0999999999999999E-2</c:v>
                </c:pt>
                <c:pt idx="917">
                  <c:v>7.0000000000000001E-3</c:v>
                </c:pt>
                <c:pt idx="918">
                  <c:v>1.2E-2</c:v>
                </c:pt>
                <c:pt idx="919">
                  <c:v>5.0000000000000001E-3</c:v>
                </c:pt>
                <c:pt idx="920">
                  <c:v>8.0000000000000002E-3</c:v>
                </c:pt>
                <c:pt idx="921">
                  <c:v>8.0000000000000002E-3</c:v>
                </c:pt>
                <c:pt idx="922">
                  <c:v>3.0000000000000001E-3</c:v>
                </c:pt>
                <c:pt idx="923">
                  <c:v>2E-3</c:v>
                </c:pt>
                <c:pt idx="924">
                  <c:v>7.0000000000000001E-3</c:v>
                </c:pt>
                <c:pt idx="925">
                  <c:v>3.0000000000000001E-3</c:v>
                </c:pt>
                <c:pt idx="926">
                  <c:v>7.0000000000000001E-3</c:v>
                </c:pt>
                <c:pt idx="927">
                  <c:v>8.0000000000000002E-3</c:v>
                </c:pt>
                <c:pt idx="928">
                  <c:v>5.0000000000000001E-3</c:v>
                </c:pt>
                <c:pt idx="929">
                  <c:v>6.0000000000000001E-3</c:v>
                </c:pt>
                <c:pt idx="930">
                  <c:v>6.0000000000000001E-3</c:v>
                </c:pt>
                <c:pt idx="931">
                  <c:v>6.0000000000000001E-3</c:v>
                </c:pt>
                <c:pt idx="932">
                  <c:v>1E-3</c:v>
                </c:pt>
                <c:pt idx="933">
                  <c:v>4.0000000000000001E-3</c:v>
                </c:pt>
                <c:pt idx="934">
                  <c:v>1E-3</c:v>
                </c:pt>
                <c:pt idx="935">
                  <c:v>2E-3</c:v>
                </c:pt>
                <c:pt idx="936">
                  <c:v>2E-3</c:v>
                </c:pt>
                <c:pt idx="937">
                  <c:v>1E-3</c:v>
                </c:pt>
                <c:pt idx="938">
                  <c:v>1E-3</c:v>
                </c:pt>
                <c:pt idx="939">
                  <c:v>1E-3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2E-3</c:v>
                </c:pt>
                <c:pt idx="945">
                  <c:v>0</c:v>
                </c:pt>
                <c:pt idx="946">
                  <c:v>2E-3</c:v>
                </c:pt>
                <c:pt idx="947">
                  <c:v>3.0000000000000001E-3</c:v>
                </c:pt>
                <c:pt idx="948">
                  <c:v>1E-3</c:v>
                </c:pt>
                <c:pt idx="949">
                  <c:v>7.0000000000000001E-3</c:v>
                </c:pt>
                <c:pt idx="950">
                  <c:v>4.0000000000000001E-3</c:v>
                </c:pt>
                <c:pt idx="951">
                  <c:v>5.0000000000000001E-3</c:v>
                </c:pt>
                <c:pt idx="952">
                  <c:v>4.0000000000000001E-3</c:v>
                </c:pt>
                <c:pt idx="953">
                  <c:v>5.0000000000000001E-3</c:v>
                </c:pt>
                <c:pt idx="954">
                  <c:v>4.0000000000000001E-3</c:v>
                </c:pt>
                <c:pt idx="955">
                  <c:v>4.0000000000000001E-3</c:v>
                </c:pt>
                <c:pt idx="956">
                  <c:v>3.0000000000000001E-3</c:v>
                </c:pt>
                <c:pt idx="957">
                  <c:v>2E-3</c:v>
                </c:pt>
                <c:pt idx="958">
                  <c:v>2E-3</c:v>
                </c:pt>
                <c:pt idx="959">
                  <c:v>3.0000000000000001E-3</c:v>
                </c:pt>
                <c:pt idx="960">
                  <c:v>0</c:v>
                </c:pt>
                <c:pt idx="961">
                  <c:v>2E-3</c:v>
                </c:pt>
                <c:pt idx="962">
                  <c:v>0</c:v>
                </c:pt>
                <c:pt idx="963">
                  <c:v>1E-3</c:v>
                </c:pt>
                <c:pt idx="964">
                  <c:v>2E-3</c:v>
                </c:pt>
                <c:pt idx="965">
                  <c:v>1E-3</c:v>
                </c:pt>
                <c:pt idx="966">
                  <c:v>0</c:v>
                </c:pt>
                <c:pt idx="967">
                  <c:v>2E-3</c:v>
                </c:pt>
                <c:pt idx="968">
                  <c:v>1E-3</c:v>
                </c:pt>
                <c:pt idx="969">
                  <c:v>2E-3</c:v>
                </c:pt>
                <c:pt idx="970">
                  <c:v>4.0000000000000001E-3</c:v>
                </c:pt>
                <c:pt idx="971">
                  <c:v>0</c:v>
                </c:pt>
                <c:pt idx="972">
                  <c:v>2E-3</c:v>
                </c:pt>
                <c:pt idx="973">
                  <c:v>1E-3</c:v>
                </c:pt>
                <c:pt idx="974">
                  <c:v>1E-3</c:v>
                </c:pt>
                <c:pt idx="975">
                  <c:v>1E-3</c:v>
                </c:pt>
                <c:pt idx="976">
                  <c:v>1E-3</c:v>
                </c:pt>
                <c:pt idx="977">
                  <c:v>1E-3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1E-3</c:v>
                </c:pt>
                <c:pt idx="983">
                  <c:v>0</c:v>
                </c:pt>
                <c:pt idx="984">
                  <c:v>0</c:v>
                </c:pt>
              </c:numCache>
            </c:numRef>
          </c:xVal>
          <c:yVal>
            <c:numRef>
              <c:f>'Mobility Curve FF'!$AG$3:$AG$987</c:f>
              <c:numCache>
                <c:formatCode>General</c:formatCode>
                <c:ptCount val="985"/>
                <c:pt idx="0">
                  <c:v>0.998</c:v>
                </c:pt>
                <c:pt idx="1">
                  <c:v>0.997</c:v>
                </c:pt>
                <c:pt idx="2">
                  <c:v>0.999</c:v>
                </c:pt>
                <c:pt idx="3">
                  <c:v>0.78200000000000003</c:v>
                </c:pt>
                <c:pt idx="4">
                  <c:v>0.77100000000000002</c:v>
                </c:pt>
                <c:pt idx="5">
                  <c:v>0.71</c:v>
                </c:pt>
                <c:pt idx="6">
                  <c:v>0.65800000000000003</c:v>
                </c:pt>
                <c:pt idx="7">
                  <c:v>0.45300000000000001</c:v>
                </c:pt>
                <c:pt idx="8">
                  <c:v>0.34599999999999997</c:v>
                </c:pt>
                <c:pt idx="9">
                  <c:v>0.51100000000000001</c:v>
                </c:pt>
                <c:pt idx="10">
                  <c:v>0.44700000000000001</c:v>
                </c:pt>
                <c:pt idx="11">
                  <c:v>0.439</c:v>
                </c:pt>
                <c:pt idx="12">
                  <c:v>0.53500000000000003</c:v>
                </c:pt>
                <c:pt idx="13">
                  <c:v>0.54700000000000004</c:v>
                </c:pt>
                <c:pt idx="14">
                  <c:v>0.76600000000000001</c:v>
                </c:pt>
                <c:pt idx="15">
                  <c:v>0.71799999999999997</c:v>
                </c:pt>
                <c:pt idx="16">
                  <c:v>0.73799999999999999</c:v>
                </c:pt>
                <c:pt idx="17">
                  <c:v>0.66500000000000004</c:v>
                </c:pt>
                <c:pt idx="18">
                  <c:v>0.71299999999999997</c:v>
                </c:pt>
                <c:pt idx="19">
                  <c:v>0.84799999999999998</c:v>
                </c:pt>
                <c:pt idx="20">
                  <c:v>0.55800000000000005</c:v>
                </c:pt>
                <c:pt idx="21">
                  <c:v>0.71899999999999997</c:v>
                </c:pt>
                <c:pt idx="22">
                  <c:v>0.35699999999999998</c:v>
                </c:pt>
                <c:pt idx="23">
                  <c:v>0.35899999999999999</c:v>
                </c:pt>
                <c:pt idx="24">
                  <c:v>0.65600000000000003</c:v>
                </c:pt>
                <c:pt idx="25">
                  <c:v>0.7</c:v>
                </c:pt>
                <c:pt idx="26">
                  <c:v>0.79400000000000004</c:v>
                </c:pt>
                <c:pt idx="27">
                  <c:v>0.995</c:v>
                </c:pt>
                <c:pt idx="28">
                  <c:v>0.78200000000000003</c:v>
                </c:pt>
                <c:pt idx="29">
                  <c:v>0.998</c:v>
                </c:pt>
                <c:pt idx="30">
                  <c:v>0.8</c:v>
                </c:pt>
                <c:pt idx="31">
                  <c:v>0.55900000000000005</c:v>
                </c:pt>
                <c:pt idx="32">
                  <c:v>0.72299999999999998</c:v>
                </c:pt>
                <c:pt idx="33">
                  <c:v>0.746</c:v>
                </c:pt>
                <c:pt idx="34">
                  <c:v>0.76300000000000001</c:v>
                </c:pt>
                <c:pt idx="35">
                  <c:v>0.78700000000000003</c:v>
                </c:pt>
                <c:pt idx="36">
                  <c:v>0.78800000000000003</c:v>
                </c:pt>
                <c:pt idx="37">
                  <c:v>0.78</c:v>
                </c:pt>
                <c:pt idx="38">
                  <c:v>0.77700000000000002</c:v>
                </c:pt>
                <c:pt idx="39">
                  <c:v>0.78700000000000003</c:v>
                </c:pt>
                <c:pt idx="40">
                  <c:v>0.80400000000000005</c:v>
                </c:pt>
                <c:pt idx="41">
                  <c:v>0.76300000000000001</c:v>
                </c:pt>
                <c:pt idx="42">
                  <c:v>0.76700000000000002</c:v>
                </c:pt>
                <c:pt idx="43">
                  <c:v>0.77800000000000002</c:v>
                </c:pt>
                <c:pt idx="44">
                  <c:v>0.78</c:v>
                </c:pt>
                <c:pt idx="45">
                  <c:v>0.80100000000000005</c:v>
                </c:pt>
                <c:pt idx="46">
                  <c:v>0.998</c:v>
                </c:pt>
                <c:pt idx="47">
                  <c:v>0.999</c:v>
                </c:pt>
                <c:pt idx="48">
                  <c:v>0.999</c:v>
                </c:pt>
                <c:pt idx="49">
                  <c:v>0.80500000000000005</c:v>
                </c:pt>
                <c:pt idx="50">
                  <c:v>0.77100000000000002</c:v>
                </c:pt>
                <c:pt idx="51">
                  <c:v>0.72</c:v>
                </c:pt>
                <c:pt idx="52">
                  <c:v>0.71199999999999997</c:v>
                </c:pt>
                <c:pt idx="53">
                  <c:v>0.54900000000000004</c:v>
                </c:pt>
                <c:pt idx="54">
                  <c:v>0.71799999999999997</c:v>
                </c:pt>
                <c:pt idx="55">
                  <c:v>0.54600000000000004</c:v>
                </c:pt>
                <c:pt idx="56">
                  <c:v>0.746</c:v>
                </c:pt>
                <c:pt idx="57">
                  <c:v>0.79</c:v>
                </c:pt>
                <c:pt idx="58">
                  <c:v>0.77700000000000002</c:v>
                </c:pt>
                <c:pt idx="59">
                  <c:v>0.995</c:v>
                </c:pt>
                <c:pt idx="60">
                  <c:v>0.77800000000000002</c:v>
                </c:pt>
                <c:pt idx="61">
                  <c:v>0.78500000000000003</c:v>
                </c:pt>
                <c:pt idx="62">
                  <c:v>0.80300000000000005</c:v>
                </c:pt>
                <c:pt idx="63">
                  <c:v>0.71599999999999997</c:v>
                </c:pt>
                <c:pt idx="64">
                  <c:v>0.76700000000000002</c:v>
                </c:pt>
                <c:pt idx="65">
                  <c:v>0.78600000000000003</c:v>
                </c:pt>
                <c:pt idx="66">
                  <c:v>0.77700000000000002</c:v>
                </c:pt>
                <c:pt idx="67">
                  <c:v>0.75700000000000001</c:v>
                </c:pt>
                <c:pt idx="68">
                  <c:v>0.56699999999999995</c:v>
                </c:pt>
                <c:pt idx="69">
                  <c:v>0.78900000000000003</c:v>
                </c:pt>
                <c:pt idx="70">
                  <c:v>0.80300000000000005</c:v>
                </c:pt>
                <c:pt idx="71">
                  <c:v>0.77900000000000003</c:v>
                </c:pt>
                <c:pt idx="72">
                  <c:v>0.81200000000000006</c:v>
                </c:pt>
                <c:pt idx="73">
                  <c:v>0.995</c:v>
                </c:pt>
                <c:pt idx="74">
                  <c:v>0.999</c:v>
                </c:pt>
                <c:pt idx="75">
                  <c:v>0.999</c:v>
                </c:pt>
                <c:pt idx="76">
                  <c:v>0.996</c:v>
                </c:pt>
                <c:pt idx="77">
                  <c:v>0.996</c:v>
                </c:pt>
                <c:pt idx="78">
                  <c:v>0.998</c:v>
                </c:pt>
                <c:pt idx="79">
                  <c:v>0.79600000000000004</c:v>
                </c:pt>
                <c:pt idx="80">
                  <c:v>0.80700000000000005</c:v>
                </c:pt>
                <c:pt idx="81">
                  <c:v>0.79500000000000004</c:v>
                </c:pt>
                <c:pt idx="82">
                  <c:v>0.84199999999999997</c:v>
                </c:pt>
                <c:pt idx="83">
                  <c:v>0.45800000000000002</c:v>
                </c:pt>
                <c:pt idx="84">
                  <c:v>0.38200000000000001</c:v>
                </c:pt>
                <c:pt idx="85">
                  <c:v>0.53</c:v>
                </c:pt>
                <c:pt idx="86">
                  <c:v>0.28399999999999997</c:v>
                </c:pt>
                <c:pt idx="87">
                  <c:v>0.74099999999999999</c:v>
                </c:pt>
                <c:pt idx="88">
                  <c:v>0.77600000000000002</c:v>
                </c:pt>
                <c:pt idx="89">
                  <c:v>0.79800000000000004</c:v>
                </c:pt>
                <c:pt idx="90">
                  <c:v>0.78300000000000003</c:v>
                </c:pt>
                <c:pt idx="91">
                  <c:v>0.79700000000000004</c:v>
                </c:pt>
                <c:pt idx="92">
                  <c:v>0.75800000000000001</c:v>
                </c:pt>
                <c:pt idx="93">
                  <c:v>0.56799999999999995</c:v>
                </c:pt>
                <c:pt idx="94">
                  <c:v>0.56999999999999995</c:v>
                </c:pt>
                <c:pt idx="95">
                  <c:v>0.70899999999999996</c:v>
                </c:pt>
                <c:pt idx="96">
                  <c:v>0.70599999999999996</c:v>
                </c:pt>
                <c:pt idx="97">
                  <c:v>0.70499999999999996</c:v>
                </c:pt>
                <c:pt idx="98">
                  <c:v>0.56499999999999995</c:v>
                </c:pt>
                <c:pt idx="99">
                  <c:v>0.74099999999999999</c:v>
                </c:pt>
                <c:pt idx="100">
                  <c:v>0.80700000000000005</c:v>
                </c:pt>
                <c:pt idx="101">
                  <c:v>0.77400000000000002</c:v>
                </c:pt>
                <c:pt idx="102">
                  <c:v>0.78600000000000003</c:v>
                </c:pt>
                <c:pt idx="103">
                  <c:v>0.80100000000000005</c:v>
                </c:pt>
                <c:pt idx="104">
                  <c:v>0.73799999999999999</c:v>
                </c:pt>
                <c:pt idx="105">
                  <c:v>0.69099999999999995</c:v>
                </c:pt>
                <c:pt idx="106">
                  <c:v>0.66100000000000003</c:v>
                </c:pt>
                <c:pt idx="107">
                  <c:v>0.46400000000000002</c:v>
                </c:pt>
                <c:pt idx="108">
                  <c:v>0.55500000000000005</c:v>
                </c:pt>
                <c:pt idx="109">
                  <c:v>0.72499999999999998</c:v>
                </c:pt>
                <c:pt idx="110">
                  <c:v>0.78800000000000003</c:v>
                </c:pt>
                <c:pt idx="111">
                  <c:v>0.78600000000000003</c:v>
                </c:pt>
                <c:pt idx="112">
                  <c:v>0.80500000000000005</c:v>
                </c:pt>
                <c:pt idx="113">
                  <c:v>0.77700000000000002</c:v>
                </c:pt>
                <c:pt idx="114">
                  <c:v>0.749</c:v>
                </c:pt>
                <c:pt idx="115">
                  <c:v>0.80400000000000005</c:v>
                </c:pt>
                <c:pt idx="116">
                  <c:v>0.78600000000000003</c:v>
                </c:pt>
                <c:pt idx="117">
                  <c:v>0.73799999999999999</c:v>
                </c:pt>
                <c:pt idx="118">
                  <c:v>0.70599999999999996</c:v>
                </c:pt>
                <c:pt idx="119">
                  <c:v>0.69299999999999995</c:v>
                </c:pt>
                <c:pt idx="120">
                  <c:v>0.70499999999999996</c:v>
                </c:pt>
                <c:pt idx="121">
                  <c:v>0.67100000000000004</c:v>
                </c:pt>
                <c:pt idx="122">
                  <c:v>0.69699999999999995</c:v>
                </c:pt>
                <c:pt idx="123">
                  <c:v>0.69499999999999995</c:v>
                </c:pt>
                <c:pt idx="124">
                  <c:v>0.73799999999999999</c:v>
                </c:pt>
                <c:pt idx="125">
                  <c:v>0.71</c:v>
                </c:pt>
                <c:pt idx="126">
                  <c:v>0.57599999999999996</c:v>
                </c:pt>
                <c:pt idx="127">
                  <c:v>0.69299999999999995</c:v>
                </c:pt>
                <c:pt idx="128">
                  <c:v>0.77700000000000002</c:v>
                </c:pt>
                <c:pt idx="129">
                  <c:v>0.80200000000000005</c:v>
                </c:pt>
                <c:pt idx="130">
                  <c:v>0.79300000000000004</c:v>
                </c:pt>
                <c:pt idx="131">
                  <c:v>0.80800000000000005</c:v>
                </c:pt>
                <c:pt idx="132">
                  <c:v>0.79200000000000004</c:v>
                </c:pt>
                <c:pt idx="133">
                  <c:v>0.78</c:v>
                </c:pt>
                <c:pt idx="134">
                  <c:v>0.80500000000000005</c:v>
                </c:pt>
                <c:pt idx="135">
                  <c:v>0.57399999999999995</c:v>
                </c:pt>
                <c:pt idx="136">
                  <c:v>0.56599999999999995</c:v>
                </c:pt>
                <c:pt idx="137">
                  <c:v>0.8</c:v>
                </c:pt>
                <c:pt idx="138">
                  <c:v>0.80700000000000005</c:v>
                </c:pt>
                <c:pt idx="139">
                  <c:v>0.99399999999999999</c:v>
                </c:pt>
                <c:pt idx="140">
                  <c:v>0.998</c:v>
                </c:pt>
                <c:pt idx="141">
                  <c:v>0.998</c:v>
                </c:pt>
                <c:pt idx="142">
                  <c:v>0.996</c:v>
                </c:pt>
                <c:pt idx="143">
                  <c:v>0.80200000000000005</c:v>
                </c:pt>
                <c:pt idx="144">
                  <c:v>0.77</c:v>
                </c:pt>
                <c:pt idx="145">
                  <c:v>0.77500000000000002</c:v>
                </c:pt>
                <c:pt idx="146">
                  <c:v>0.80500000000000005</c:v>
                </c:pt>
                <c:pt idx="147">
                  <c:v>0.80300000000000005</c:v>
                </c:pt>
                <c:pt idx="148">
                  <c:v>0.80900000000000005</c:v>
                </c:pt>
                <c:pt idx="149">
                  <c:v>0.996</c:v>
                </c:pt>
                <c:pt idx="150">
                  <c:v>0.996</c:v>
                </c:pt>
                <c:pt idx="151">
                  <c:v>0.995</c:v>
                </c:pt>
                <c:pt idx="152">
                  <c:v>0.99399999999999999</c:v>
                </c:pt>
                <c:pt idx="153">
                  <c:v>0.99399999999999999</c:v>
                </c:pt>
                <c:pt idx="154">
                  <c:v>0.77500000000000002</c:v>
                </c:pt>
                <c:pt idx="155">
                  <c:v>0.78600000000000003</c:v>
                </c:pt>
                <c:pt idx="156">
                  <c:v>0.53200000000000003</c:v>
                </c:pt>
                <c:pt idx="157">
                  <c:v>0.71299999999999997</c:v>
                </c:pt>
                <c:pt idx="158">
                  <c:v>0.75900000000000001</c:v>
                </c:pt>
                <c:pt idx="159">
                  <c:v>0.755</c:v>
                </c:pt>
                <c:pt idx="160">
                  <c:v>0.72199999999999998</c:v>
                </c:pt>
                <c:pt idx="161">
                  <c:v>0.53600000000000003</c:v>
                </c:pt>
                <c:pt idx="162">
                  <c:v>0.65200000000000002</c:v>
                </c:pt>
                <c:pt idx="163">
                  <c:v>0.52700000000000002</c:v>
                </c:pt>
                <c:pt idx="164">
                  <c:v>0.42399999999999999</c:v>
                </c:pt>
                <c:pt idx="165">
                  <c:v>0.69799999999999995</c:v>
                </c:pt>
                <c:pt idx="166">
                  <c:v>0.83099999999999996</c:v>
                </c:pt>
                <c:pt idx="167">
                  <c:v>0.70299999999999996</c:v>
                </c:pt>
                <c:pt idx="168">
                  <c:v>0.74299999999999999</c:v>
                </c:pt>
                <c:pt idx="169">
                  <c:v>0.75700000000000001</c:v>
                </c:pt>
                <c:pt idx="170">
                  <c:v>0.53700000000000003</c:v>
                </c:pt>
                <c:pt idx="171">
                  <c:v>0.72</c:v>
                </c:pt>
                <c:pt idx="172">
                  <c:v>0.69899999999999995</c:v>
                </c:pt>
                <c:pt idx="173">
                  <c:v>0.72199999999999998</c:v>
                </c:pt>
                <c:pt idx="174">
                  <c:v>0.53200000000000003</c:v>
                </c:pt>
                <c:pt idx="175">
                  <c:v>0.77400000000000002</c:v>
                </c:pt>
                <c:pt idx="176">
                  <c:v>0.78600000000000003</c:v>
                </c:pt>
                <c:pt idx="177">
                  <c:v>0.79</c:v>
                </c:pt>
                <c:pt idx="178">
                  <c:v>0.75800000000000001</c:v>
                </c:pt>
                <c:pt idx="179">
                  <c:v>0.53500000000000003</c:v>
                </c:pt>
                <c:pt idx="180">
                  <c:v>0.78100000000000003</c:v>
                </c:pt>
                <c:pt idx="181">
                  <c:v>0.76</c:v>
                </c:pt>
                <c:pt idx="182">
                  <c:v>0.53400000000000003</c:v>
                </c:pt>
                <c:pt idx="183">
                  <c:v>0.76100000000000001</c:v>
                </c:pt>
                <c:pt idx="184">
                  <c:v>0.76300000000000001</c:v>
                </c:pt>
                <c:pt idx="185">
                  <c:v>0.77100000000000002</c:v>
                </c:pt>
                <c:pt idx="186">
                  <c:v>0.99299999999999999</c:v>
                </c:pt>
                <c:pt idx="187">
                  <c:v>0.77500000000000002</c:v>
                </c:pt>
                <c:pt idx="188">
                  <c:v>0.99199999999999999</c:v>
                </c:pt>
                <c:pt idx="189">
                  <c:v>0.76700000000000002</c:v>
                </c:pt>
                <c:pt idx="190">
                  <c:v>0.77100000000000002</c:v>
                </c:pt>
                <c:pt idx="191">
                  <c:v>0.78500000000000003</c:v>
                </c:pt>
                <c:pt idx="192">
                  <c:v>0.78300000000000003</c:v>
                </c:pt>
                <c:pt idx="193">
                  <c:v>0.76900000000000002</c:v>
                </c:pt>
                <c:pt idx="194">
                  <c:v>0.77600000000000002</c:v>
                </c:pt>
                <c:pt idx="195">
                  <c:v>0.77700000000000002</c:v>
                </c:pt>
                <c:pt idx="196">
                  <c:v>0.77600000000000002</c:v>
                </c:pt>
                <c:pt idx="197">
                  <c:v>0.99</c:v>
                </c:pt>
                <c:pt idx="198">
                  <c:v>0.78400000000000003</c:v>
                </c:pt>
                <c:pt idx="199">
                  <c:v>0.99299999999999999</c:v>
                </c:pt>
                <c:pt idx="200">
                  <c:v>0.99299999999999999</c:v>
                </c:pt>
                <c:pt idx="201">
                  <c:v>0.79300000000000004</c:v>
                </c:pt>
                <c:pt idx="202">
                  <c:v>0.99399999999999999</c:v>
                </c:pt>
                <c:pt idx="203">
                  <c:v>0.99299999999999999</c:v>
                </c:pt>
                <c:pt idx="204">
                  <c:v>0.998</c:v>
                </c:pt>
                <c:pt idx="205">
                  <c:v>0.999</c:v>
                </c:pt>
                <c:pt idx="206">
                  <c:v>0.999</c:v>
                </c:pt>
                <c:pt idx="207">
                  <c:v>0.79100000000000004</c:v>
                </c:pt>
                <c:pt idx="208">
                  <c:v>0.995</c:v>
                </c:pt>
                <c:pt idx="209">
                  <c:v>0.76600000000000001</c:v>
                </c:pt>
                <c:pt idx="210">
                  <c:v>0.68700000000000006</c:v>
                </c:pt>
                <c:pt idx="211">
                  <c:v>0.745</c:v>
                </c:pt>
                <c:pt idx="212">
                  <c:v>0.48399999999999999</c:v>
                </c:pt>
                <c:pt idx="213">
                  <c:v>0.34499999999999997</c:v>
                </c:pt>
                <c:pt idx="214">
                  <c:v>0.33500000000000002</c:v>
                </c:pt>
                <c:pt idx="215">
                  <c:v>0.504</c:v>
                </c:pt>
                <c:pt idx="216">
                  <c:v>0.44</c:v>
                </c:pt>
                <c:pt idx="217">
                  <c:v>0.69899999999999995</c:v>
                </c:pt>
                <c:pt idx="218">
                  <c:v>0.74399999999999999</c:v>
                </c:pt>
                <c:pt idx="219">
                  <c:v>0.78400000000000003</c:v>
                </c:pt>
                <c:pt idx="220">
                  <c:v>0.80400000000000005</c:v>
                </c:pt>
                <c:pt idx="221">
                  <c:v>0.78</c:v>
                </c:pt>
                <c:pt idx="222">
                  <c:v>0.75800000000000001</c:v>
                </c:pt>
                <c:pt idx="223">
                  <c:v>0.72199999999999998</c:v>
                </c:pt>
                <c:pt idx="224">
                  <c:v>0.751</c:v>
                </c:pt>
                <c:pt idx="225">
                  <c:v>0.70899999999999996</c:v>
                </c:pt>
                <c:pt idx="226">
                  <c:v>0.70199999999999996</c:v>
                </c:pt>
                <c:pt idx="227">
                  <c:v>0.70199999999999996</c:v>
                </c:pt>
                <c:pt idx="228">
                  <c:v>0.70199999999999996</c:v>
                </c:pt>
                <c:pt idx="229">
                  <c:v>0.84499999999999997</c:v>
                </c:pt>
                <c:pt idx="230">
                  <c:v>0.751</c:v>
                </c:pt>
                <c:pt idx="231">
                  <c:v>0.66500000000000004</c:v>
                </c:pt>
                <c:pt idx="232">
                  <c:v>0.748</c:v>
                </c:pt>
                <c:pt idx="233">
                  <c:v>0.53400000000000003</c:v>
                </c:pt>
                <c:pt idx="234">
                  <c:v>0.54</c:v>
                </c:pt>
                <c:pt idx="235">
                  <c:v>0.68400000000000005</c:v>
                </c:pt>
                <c:pt idx="236">
                  <c:v>0.42699999999999999</c:v>
                </c:pt>
                <c:pt idx="237">
                  <c:v>0.83099999999999996</c:v>
                </c:pt>
                <c:pt idx="238">
                  <c:v>0.66200000000000003</c:v>
                </c:pt>
                <c:pt idx="239">
                  <c:v>0.749</c:v>
                </c:pt>
                <c:pt idx="240">
                  <c:v>0.51800000000000002</c:v>
                </c:pt>
                <c:pt idx="241">
                  <c:v>0.71299999999999997</c:v>
                </c:pt>
                <c:pt idx="242">
                  <c:v>0.52100000000000002</c:v>
                </c:pt>
                <c:pt idx="243">
                  <c:v>0.78600000000000003</c:v>
                </c:pt>
                <c:pt idx="244">
                  <c:v>0.99299999999999999</c:v>
                </c:pt>
                <c:pt idx="245">
                  <c:v>0.79500000000000004</c:v>
                </c:pt>
                <c:pt idx="246">
                  <c:v>0.996</c:v>
                </c:pt>
                <c:pt idx="247">
                  <c:v>0.78500000000000003</c:v>
                </c:pt>
                <c:pt idx="248">
                  <c:v>0.79300000000000004</c:v>
                </c:pt>
                <c:pt idx="249">
                  <c:v>0.76300000000000001</c:v>
                </c:pt>
                <c:pt idx="250">
                  <c:v>0.54400000000000004</c:v>
                </c:pt>
                <c:pt idx="251">
                  <c:v>0.77600000000000002</c:v>
                </c:pt>
                <c:pt idx="252">
                  <c:v>0.72099999999999997</c:v>
                </c:pt>
                <c:pt idx="253">
                  <c:v>0.78400000000000003</c:v>
                </c:pt>
                <c:pt idx="254">
                  <c:v>0.78100000000000003</c:v>
                </c:pt>
                <c:pt idx="255">
                  <c:v>0.996</c:v>
                </c:pt>
                <c:pt idx="256">
                  <c:v>0.79600000000000004</c:v>
                </c:pt>
                <c:pt idx="257">
                  <c:v>0.79200000000000004</c:v>
                </c:pt>
                <c:pt idx="258">
                  <c:v>0.999</c:v>
                </c:pt>
                <c:pt idx="259">
                  <c:v>0.79</c:v>
                </c:pt>
                <c:pt idx="260">
                  <c:v>0.79500000000000004</c:v>
                </c:pt>
                <c:pt idx="261">
                  <c:v>0.78400000000000003</c:v>
                </c:pt>
                <c:pt idx="262">
                  <c:v>0.53900000000000003</c:v>
                </c:pt>
                <c:pt idx="263">
                  <c:v>0.78800000000000003</c:v>
                </c:pt>
                <c:pt idx="264">
                  <c:v>0.52800000000000002</c:v>
                </c:pt>
                <c:pt idx="265">
                  <c:v>0.68100000000000005</c:v>
                </c:pt>
                <c:pt idx="266">
                  <c:v>0.51900000000000002</c:v>
                </c:pt>
                <c:pt idx="267">
                  <c:v>0.53100000000000003</c:v>
                </c:pt>
                <c:pt idx="268">
                  <c:v>0.78500000000000003</c:v>
                </c:pt>
                <c:pt idx="269">
                  <c:v>0.78300000000000003</c:v>
                </c:pt>
                <c:pt idx="270">
                  <c:v>0.997</c:v>
                </c:pt>
                <c:pt idx="271">
                  <c:v>0.79800000000000004</c:v>
                </c:pt>
                <c:pt idx="272">
                  <c:v>0.79</c:v>
                </c:pt>
                <c:pt idx="273">
                  <c:v>0.998</c:v>
                </c:pt>
                <c:pt idx="274">
                  <c:v>0.80300000000000005</c:v>
                </c:pt>
                <c:pt idx="275">
                  <c:v>0.79700000000000004</c:v>
                </c:pt>
                <c:pt idx="276">
                  <c:v>0.80700000000000005</c:v>
                </c:pt>
                <c:pt idx="277">
                  <c:v>0.79600000000000004</c:v>
                </c:pt>
                <c:pt idx="278">
                  <c:v>0.996</c:v>
                </c:pt>
                <c:pt idx="279">
                  <c:v>0.998</c:v>
                </c:pt>
                <c:pt idx="280">
                  <c:v>0.997</c:v>
                </c:pt>
                <c:pt idx="281">
                  <c:v>0.998</c:v>
                </c:pt>
                <c:pt idx="282">
                  <c:v>0.996</c:v>
                </c:pt>
                <c:pt idx="283">
                  <c:v>0.78700000000000003</c:v>
                </c:pt>
                <c:pt idx="284">
                  <c:v>0.79400000000000004</c:v>
                </c:pt>
                <c:pt idx="285">
                  <c:v>0.53300000000000003</c:v>
                </c:pt>
                <c:pt idx="286">
                  <c:v>0.748</c:v>
                </c:pt>
                <c:pt idx="287">
                  <c:v>0.68500000000000005</c:v>
                </c:pt>
                <c:pt idx="288">
                  <c:v>0.84099999999999997</c:v>
                </c:pt>
                <c:pt idx="289">
                  <c:v>0.84699999999999998</c:v>
                </c:pt>
                <c:pt idx="290">
                  <c:v>0.68600000000000005</c:v>
                </c:pt>
                <c:pt idx="291">
                  <c:v>0.36599999999999999</c:v>
                </c:pt>
                <c:pt idx="292">
                  <c:v>0.44600000000000001</c:v>
                </c:pt>
                <c:pt idx="293">
                  <c:v>0.19700000000000001</c:v>
                </c:pt>
                <c:pt idx="294">
                  <c:v>0.27900000000000003</c:v>
                </c:pt>
                <c:pt idx="295">
                  <c:v>0.72199999999999998</c:v>
                </c:pt>
                <c:pt idx="296">
                  <c:v>0.67</c:v>
                </c:pt>
                <c:pt idx="297">
                  <c:v>0.77</c:v>
                </c:pt>
                <c:pt idx="298">
                  <c:v>0.77900000000000003</c:v>
                </c:pt>
                <c:pt idx="299">
                  <c:v>0.77700000000000002</c:v>
                </c:pt>
                <c:pt idx="300">
                  <c:v>0.78100000000000003</c:v>
                </c:pt>
                <c:pt idx="301">
                  <c:v>0.53700000000000003</c:v>
                </c:pt>
                <c:pt idx="302">
                  <c:v>0.7</c:v>
                </c:pt>
                <c:pt idx="303">
                  <c:v>0.69199999999999995</c:v>
                </c:pt>
                <c:pt idx="304">
                  <c:v>0.85499999999999998</c:v>
                </c:pt>
                <c:pt idx="305">
                  <c:v>0.51400000000000001</c:v>
                </c:pt>
                <c:pt idx="306">
                  <c:v>0.70299999999999996</c:v>
                </c:pt>
                <c:pt idx="307">
                  <c:v>0.77100000000000002</c:v>
                </c:pt>
                <c:pt idx="308">
                  <c:v>0.47699999999999998</c:v>
                </c:pt>
                <c:pt idx="309">
                  <c:v>0.78</c:v>
                </c:pt>
                <c:pt idx="310">
                  <c:v>0.67900000000000005</c:v>
                </c:pt>
                <c:pt idx="311">
                  <c:v>0.76300000000000001</c:v>
                </c:pt>
                <c:pt idx="312">
                  <c:v>0.995</c:v>
                </c:pt>
                <c:pt idx="313">
                  <c:v>0.79200000000000004</c:v>
                </c:pt>
                <c:pt idx="314">
                  <c:v>0.79100000000000004</c:v>
                </c:pt>
                <c:pt idx="315">
                  <c:v>0.77800000000000002</c:v>
                </c:pt>
                <c:pt idx="316">
                  <c:v>0.86399999999999999</c:v>
                </c:pt>
                <c:pt idx="317">
                  <c:v>0.78300000000000003</c:v>
                </c:pt>
                <c:pt idx="318">
                  <c:v>0.68100000000000005</c:v>
                </c:pt>
                <c:pt idx="319">
                  <c:v>0.76100000000000001</c:v>
                </c:pt>
                <c:pt idx="320">
                  <c:v>0.69699999999999995</c:v>
                </c:pt>
                <c:pt idx="321">
                  <c:v>0.47499999999999998</c:v>
                </c:pt>
                <c:pt idx="322">
                  <c:v>0.76700000000000002</c:v>
                </c:pt>
                <c:pt idx="323">
                  <c:v>0.57799999999999996</c:v>
                </c:pt>
                <c:pt idx="324">
                  <c:v>0.77</c:v>
                </c:pt>
                <c:pt idx="325">
                  <c:v>0.77400000000000002</c:v>
                </c:pt>
                <c:pt idx="326">
                  <c:v>0.78</c:v>
                </c:pt>
                <c:pt idx="327">
                  <c:v>0.77700000000000002</c:v>
                </c:pt>
                <c:pt idx="328">
                  <c:v>0.79500000000000004</c:v>
                </c:pt>
                <c:pt idx="329">
                  <c:v>0.77300000000000002</c:v>
                </c:pt>
                <c:pt idx="330">
                  <c:v>0.995</c:v>
                </c:pt>
                <c:pt idx="331">
                  <c:v>0.996</c:v>
                </c:pt>
                <c:pt idx="332">
                  <c:v>0.997</c:v>
                </c:pt>
                <c:pt idx="333">
                  <c:v>0.996</c:v>
                </c:pt>
                <c:pt idx="334">
                  <c:v>0.995</c:v>
                </c:pt>
                <c:pt idx="335">
                  <c:v>0.79300000000000004</c:v>
                </c:pt>
                <c:pt idx="336">
                  <c:v>0.77800000000000002</c:v>
                </c:pt>
                <c:pt idx="337">
                  <c:v>0.77800000000000002</c:v>
                </c:pt>
                <c:pt idx="338">
                  <c:v>0.53200000000000003</c:v>
                </c:pt>
                <c:pt idx="339">
                  <c:v>0.749</c:v>
                </c:pt>
                <c:pt idx="340">
                  <c:v>0.75900000000000001</c:v>
                </c:pt>
                <c:pt idx="341">
                  <c:v>0.78600000000000003</c:v>
                </c:pt>
                <c:pt idx="342">
                  <c:v>0.99199999999999999</c:v>
                </c:pt>
                <c:pt idx="343">
                  <c:v>0.78900000000000003</c:v>
                </c:pt>
                <c:pt idx="344">
                  <c:v>0.995</c:v>
                </c:pt>
                <c:pt idx="345">
                  <c:v>0.995</c:v>
                </c:pt>
                <c:pt idx="346">
                  <c:v>0.54500000000000004</c:v>
                </c:pt>
                <c:pt idx="347">
                  <c:v>0.77600000000000002</c:v>
                </c:pt>
                <c:pt idx="348">
                  <c:v>0.77600000000000002</c:v>
                </c:pt>
                <c:pt idx="349">
                  <c:v>0.77800000000000002</c:v>
                </c:pt>
                <c:pt idx="350">
                  <c:v>0.77900000000000003</c:v>
                </c:pt>
                <c:pt idx="351">
                  <c:v>0.79200000000000004</c:v>
                </c:pt>
                <c:pt idx="352">
                  <c:v>0.79600000000000004</c:v>
                </c:pt>
                <c:pt idx="353">
                  <c:v>0.997</c:v>
                </c:pt>
                <c:pt idx="354">
                  <c:v>0.79</c:v>
                </c:pt>
                <c:pt idx="355">
                  <c:v>0.995</c:v>
                </c:pt>
                <c:pt idx="356">
                  <c:v>0.78700000000000003</c:v>
                </c:pt>
                <c:pt idx="357">
                  <c:v>0.78600000000000003</c:v>
                </c:pt>
                <c:pt idx="358">
                  <c:v>0.78300000000000003</c:v>
                </c:pt>
                <c:pt idx="359">
                  <c:v>0.78500000000000003</c:v>
                </c:pt>
                <c:pt idx="360">
                  <c:v>0.76100000000000001</c:v>
                </c:pt>
                <c:pt idx="361">
                  <c:v>0.79600000000000004</c:v>
                </c:pt>
                <c:pt idx="362">
                  <c:v>0.78800000000000003</c:v>
                </c:pt>
                <c:pt idx="363">
                  <c:v>0.996</c:v>
                </c:pt>
                <c:pt idx="364">
                  <c:v>0.995</c:v>
                </c:pt>
                <c:pt idx="365">
                  <c:v>0.997</c:v>
                </c:pt>
                <c:pt idx="366">
                  <c:v>0.997</c:v>
                </c:pt>
                <c:pt idx="367">
                  <c:v>0.997</c:v>
                </c:pt>
                <c:pt idx="368">
                  <c:v>0.79300000000000004</c:v>
                </c:pt>
                <c:pt idx="369">
                  <c:v>0.995</c:v>
                </c:pt>
                <c:pt idx="370">
                  <c:v>0.80200000000000005</c:v>
                </c:pt>
                <c:pt idx="371">
                  <c:v>0.79400000000000004</c:v>
                </c:pt>
                <c:pt idx="372">
                  <c:v>0.78200000000000003</c:v>
                </c:pt>
                <c:pt idx="373">
                  <c:v>0.70199999999999996</c:v>
                </c:pt>
                <c:pt idx="374">
                  <c:v>0.78700000000000003</c:v>
                </c:pt>
                <c:pt idx="375">
                  <c:v>0.82899999999999996</c:v>
                </c:pt>
                <c:pt idx="376">
                  <c:v>0.57999999999999996</c:v>
                </c:pt>
                <c:pt idx="377">
                  <c:v>0.47299999999999998</c:v>
                </c:pt>
                <c:pt idx="378">
                  <c:v>0.55400000000000005</c:v>
                </c:pt>
                <c:pt idx="379">
                  <c:v>0.39200000000000002</c:v>
                </c:pt>
                <c:pt idx="380">
                  <c:v>0.54500000000000004</c:v>
                </c:pt>
                <c:pt idx="381">
                  <c:v>0.68700000000000006</c:v>
                </c:pt>
                <c:pt idx="382">
                  <c:v>0.70099999999999996</c:v>
                </c:pt>
                <c:pt idx="383">
                  <c:v>0.77200000000000002</c:v>
                </c:pt>
                <c:pt idx="384">
                  <c:v>0.78300000000000003</c:v>
                </c:pt>
                <c:pt idx="385">
                  <c:v>0.79700000000000004</c:v>
                </c:pt>
                <c:pt idx="386">
                  <c:v>0.8</c:v>
                </c:pt>
                <c:pt idx="387">
                  <c:v>0.79500000000000004</c:v>
                </c:pt>
                <c:pt idx="388">
                  <c:v>0.55100000000000005</c:v>
                </c:pt>
                <c:pt idx="389">
                  <c:v>0.55000000000000004</c:v>
                </c:pt>
                <c:pt idx="390">
                  <c:v>0.54600000000000004</c:v>
                </c:pt>
                <c:pt idx="391">
                  <c:v>0.54800000000000004</c:v>
                </c:pt>
                <c:pt idx="392">
                  <c:v>0.79200000000000004</c:v>
                </c:pt>
                <c:pt idx="393">
                  <c:v>0.80500000000000005</c:v>
                </c:pt>
                <c:pt idx="394">
                  <c:v>0.79700000000000004</c:v>
                </c:pt>
                <c:pt idx="395">
                  <c:v>0.79400000000000004</c:v>
                </c:pt>
                <c:pt idx="396">
                  <c:v>0.79400000000000004</c:v>
                </c:pt>
                <c:pt idx="397">
                  <c:v>0.79400000000000004</c:v>
                </c:pt>
                <c:pt idx="398">
                  <c:v>0.79500000000000004</c:v>
                </c:pt>
                <c:pt idx="399">
                  <c:v>0.79800000000000004</c:v>
                </c:pt>
                <c:pt idx="400">
                  <c:v>0.81399999999999995</c:v>
                </c:pt>
                <c:pt idx="401">
                  <c:v>0.78</c:v>
                </c:pt>
                <c:pt idx="402">
                  <c:v>0.79300000000000004</c:v>
                </c:pt>
                <c:pt idx="403">
                  <c:v>0.80500000000000005</c:v>
                </c:pt>
                <c:pt idx="404">
                  <c:v>0.79100000000000004</c:v>
                </c:pt>
                <c:pt idx="405">
                  <c:v>0.79300000000000004</c:v>
                </c:pt>
                <c:pt idx="406">
                  <c:v>0.78300000000000003</c:v>
                </c:pt>
                <c:pt idx="407">
                  <c:v>0.79600000000000004</c:v>
                </c:pt>
                <c:pt idx="408">
                  <c:v>0.79300000000000004</c:v>
                </c:pt>
                <c:pt idx="409">
                  <c:v>0.78200000000000003</c:v>
                </c:pt>
                <c:pt idx="410">
                  <c:v>0.79</c:v>
                </c:pt>
                <c:pt idx="411">
                  <c:v>0.81</c:v>
                </c:pt>
                <c:pt idx="412">
                  <c:v>0.78800000000000003</c:v>
                </c:pt>
                <c:pt idx="413">
                  <c:v>0.79400000000000004</c:v>
                </c:pt>
                <c:pt idx="414">
                  <c:v>0.79200000000000004</c:v>
                </c:pt>
                <c:pt idx="415">
                  <c:v>0.80200000000000005</c:v>
                </c:pt>
                <c:pt idx="416">
                  <c:v>0.79100000000000004</c:v>
                </c:pt>
                <c:pt idx="417">
                  <c:v>0.54500000000000004</c:v>
                </c:pt>
                <c:pt idx="418">
                  <c:v>0.78500000000000003</c:v>
                </c:pt>
                <c:pt idx="419">
                  <c:v>0.55200000000000005</c:v>
                </c:pt>
                <c:pt idx="420">
                  <c:v>0.54100000000000004</c:v>
                </c:pt>
                <c:pt idx="421">
                  <c:v>0.80200000000000005</c:v>
                </c:pt>
                <c:pt idx="422">
                  <c:v>0.79800000000000004</c:v>
                </c:pt>
                <c:pt idx="423">
                  <c:v>0.78900000000000003</c:v>
                </c:pt>
                <c:pt idx="424">
                  <c:v>0.8</c:v>
                </c:pt>
                <c:pt idx="425">
                  <c:v>0.78600000000000003</c:v>
                </c:pt>
                <c:pt idx="426">
                  <c:v>0.79600000000000004</c:v>
                </c:pt>
                <c:pt idx="427">
                  <c:v>0.79300000000000004</c:v>
                </c:pt>
                <c:pt idx="428">
                  <c:v>0.78700000000000003</c:v>
                </c:pt>
                <c:pt idx="429">
                  <c:v>0.80200000000000005</c:v>
                </c:pt>
                <c:pt idx="430">
                  <c:v>0.80400000000000005</c:v>
                </c:pt>
                <c:pt idx="431">
                  <c:v>0.77500000000000002</c:v>
                </c:pt>
                <c:pt idx="432">
                  <c:v>0.78200000000000003</c:v>
                </c:pt>
                <c:pt idx="433">
                  <c:v>0.54200000000000004</c:v>
                </c:pt>
                <c:pt idx="434">
                  <c:v>0.80300000000000005</c:v>
                </c:pt>
                <c:pt idx="435">
                  <c:v>0.54900000000000004</c:v>
                </c:pt>
                <c:pt idx="436">
                  <c:v>0.55100000000000005</c:v>
                </c:pt>
                <c:pt idx="437">
                  <c:v>0.78900000000000003</c:v>
                </c:pt>
                <c:pt idx="438">
                  <c:v>0.997</c:v>
                </c:pt>
                <c:pt idx="439">
                  <c:v>0.81</c:v>
                </c:pt>
                <c:pt idx="440">
                  <c:v>0.79100000000000004</c:v>
                </c:pt>
                <c:pt idx="441">
                  <c:v>0.80300000000000005</c:v>
                </c:pt>
                <c:pt idx="442">
                  <c:v>0.79</c:v>
                </c:pt>
                <c:pt idx="443">
                  <c:v>0.79600000000000004</c:v>
                </c:pt>
                <c:pt idx="444">
                  <c:v>0.78600000000000003</c:v>
                </c:pt>
                <c:pt idx="445">
                  <c:v>0.78900000000000003</c:v>
                </c:pt>
                <c:pt idx="446">
                  <c:v>0.78600000000000003</c:v>
                </c:pt>
                <c:pt idx="447">
                  <c:v>0.78700000000000003</c:v>
                </c:pt>
                <c:pt idx="448">
                  <c:v>0.79700000000000004</c:v>
                </c:pt>
                <c:pt idx="449">
                  <c:v>0.996</c:v>
                </c:pt>
                <c:pt idx="450">
                  <c:v>0.996</c:v>
                </c:pt>
                <c:pt idx="451">
                  <c:v>0.996</c:v>
                </c:pt>
                <c:pt idx="452">
                  <c:v>0.8</c:v>
                </c:pt>
                <c:pt idx="453">
                  <c:v>0.80300000000000005</c:v>
                </c:pt>
                <c:pt idx="454">
                  <c:v>0.78600000000000003</c:v>
                </c:pt>
                <c:pt idx="455">
                  <c:v>0.79900000000000004</c:v>
                </c:pt>
                <c:pt idx="456">
                  <c:v>0.78700000000000003</c:v>
                </c:pt>
                <c:pt idx="457">
                  <c:v>0.79600000000000004</c:v>
                </c:pt>
                <c:pt idx="458">
                  <c:v>0.996</c:v>
                </c:pt>
                <c:pt idx="459">
                  <c:v>0.998</c:v>
                </c:pt>
                <c:pt idx="460">
                  <c:v>0.999</c:v>
                </c:pt>
                <c:pt idx="461">
                  <c:v>0.999</c:v>
                </c:pt>
                <c:pt idx="462">
                  <c:v>0.79700000000000004</c:v>
                </c:pt>
                <c:pt idx="463">
                  <c:v>0.78800000000000003</c:v>
                </c:pt>
                <c:pt idx="464">
                  <c:v>0.79700000000000004</c:v>
                </c:pt>
                <c:pt idx="465">
                  <c:v>0.78600000000000003</c:v>
                </c:pt>
                <c:pt idx="466">
                  <c:v>0.996</c:v>
                </c:pt>
                <c:pt idx="467">
                  <c:v>0.995</c:v>
                </c:pt>
                <c:pt idx="468">
                  <c:v>0.998</c:v>
                </c:pt>
                <c:pt idx="469">
                  <c:v>0.996</c:v>
                </c:pt>
                <c:pt idx="470">
                  <c:v>0.79600000000000004</c:v>
                </c:pt>
                <c:pt idx="471">
                  <c:v>0.8</c:v>
                </c:pt>
                <c:pt idx="472">
                  <c:v>0.8</c:v>
                </c:pt>
                <c:pt idx="473">
                  <c:v>0.80200000000000005</c:v>
                </c:pt>
                <c:pt idx="474">
                  <c:v>0.80300000000000005</c:v>
                </c:pt>
                <c:pt idx="475">
                  <c:v>0.80600000000000005</c:v>
                </c:pt>
                <c:pt idx="476">
                  <c:v>0.80300000000000005</c:v>
                </c:pt>
                <c:pt idx="477">
                  <c:v>0.80300000000000005</c:v>
                </c:pt>
                <c:pt idx="478">
                  <c:v>0.77800000000000002</c:v>
                </c:pt>
                <c:pt idx="479">
                  <c:v>0.78400000000000003</c:v>
                </c:pt>
                <c:pt idx="480">
                  <c:v>0.79700000000000004</c:v>
                </c:pt>
                <c:pt idx="481">
                  <c:v>0.54800000000000004</c:v>
                </c:pt>
                <c:pt idx="482">
                  <c:v>0.79300000000000004</c:v>
                </c:pt>
                <c:pt idx="483">
                  <c:v>0.80400000000000005</c:v>
                </c:pt>
                <c:pt idx="484">
                  <c:v>0.79600000000000004</c:v>
                </c:pt>
                <c:pt idx="485">
                  <c:v>0.79400000000000004</c:v>
                </c:pt>
                <c:pt idx="486">
                  <c:v>0.995</c:v>
                </c:pt>
                <c:pt idx="487">
                  <c:v>0.998</c:v>
                </c:pt>
                <c:pt idx="488">
                  <c:v>0.995</c:v>
                </c:pt>
                <c:pt idx="489">
                  <c:v>0.997</c:v>
                </c:pt>
                <c:pt idx="490">
                  <c:v>0.997</c:v>
                </c:pt>
                <c:pt idx="491">
                  <c:v>0.77500000000000002</c:v>
                </c:pt>
                <c:pt idx="492">
                  <c:v>0.80300000000000005</c:v>
                </c:pt>
                <c:pt idx="493">
                  <c:v>0.77200000000000002</c:v>
                </c:pt>
                <c:pt idx="494">
                  <c:v>0.55000000000000004</c:v>
                </c:pt>
                <c:pt idx="495">
                  <c:v>0.76700000000000002</c:v>
                </c:pt>
                <c:pt idx="496">
                  <c:v>0.76600000000000001</c:v>
                </c:pt>
                <c:pt idx="497">
                  <c:v>0.55100000000000005</c:v>
                </c:pt>
                <c:pt idx="498">
                  <c:v>0.75900000000000001</c:v>
                </c:pt>
                <c:pt idx="499">
                  <c:v>0.76300000000000001</c:v>
                </c:pt>
                <c:pt idx="500">
                  <c:v>0.71199999999999997</c:v>
                </c:pt>
                <c:pt idx="501">
                  <c:v>0.75700000000000001</c:v>
                </c:pt>
                <c:pt idx="502">
                  <c:v>0.755</c:v>
                </c:pt>
                <c:pt idx="503">
                  <c:v>0.751</c:v>
                </c:pt>
                <c:pt idx="504">
                  <c:v>0.73499999999999999</c:v>
                </c:pt>
                <c:pt idx="505">
                  <c:v>0.72299999999999998</c:v>
                </c:pt>
                <c:pt idx="506">
                  <c:v>0.55400000000000005</c:v>
                </c:pt>
                <c:pt idx="507">
                  <c:v>0.74099999999999999</c:v>
                </c:pt>
                <c:pt idx="508">
                  <c:v>0.77300000000000002</c:v>
                </c:pt>
                <c:pt idx="509">
                  <c:v>0.72</c:v>
                </c:pt>
                <c:pt idx="510">
                  <c:v>0.54</c:v>
                </c:pt>
                <c:pt idx="511">
                  <c:v>0.68100000000000005</c:v>
                </c:pt>
                <c:pt idx="512">
                  <c:v>0.83599999999999997</c:v>
                </c:pt>
                <c:pt idx="513">
                  <c:v>0.83099999999999996</c:v>
                </c:pt>
                <c:pt idx="514">
                  <c:v>0.745</c:v>
                </c:pt>
                <c:pt idx="515">
                  <c:v>0.74199999999999999</c:v>
                </c:pt>
                <c:pt idx="516">
                  <c:v>0.54</c:v>
                </c:pt>
                <c:pt idx="517">
                  <c:v>0.54600000000000004</c:v>
                </c:pt>
                <c:pt idx="518">
                  <c:v>0.45200000000000001</c:v>
                </c:pt>
                <c:pt idx="519">
                  <c:v>0.47199999999999998</c:v>
                </c:pt>
                <c:pt idx="520">
                  <c:v>0.43</c:v>
                </c:pt>
                <c:pt idx="521">
                  <c:v>0.81699999999999995</c:v>
                </c:pt>
                <c:pt idx="522">
                  <c:v>0.69899999999999995</c:v>
                </c:pt>
                <c:pt idx="523">
                  <c:v>0.751</c:v>
                </c:pt>
                <c:pt idx="524">
                  <c:v>0.54700000000000004</c:v>
                </c:pt>
                <c:pt idx="525">
                  <c:v>0.755</c:v>
                </c:pt>
                <c:pt idx="526">
                  <c:v>0.755</c:v>
                </c:pt>
                <c:pt idx="527">
                  <c:v>0.69399999999999995</c:v>
                </c:pt>
                <c:pt idx="528">
                  <c:v>0.72799999999999998</c:v>
                </c:pt>
                <c:pt idx="529">
                  <c:v>0.69199999999999995</c:v>
                </c:pt>
                <c:pt idx="530">
                  <c:v>0.73899999999999999</c:v>
                </c:pt>
                <c:pt idx="531">
                  <c:v>0.54400000000000004</c:v>
                </c:pt>
                <c:pt idx="532">
                  <c:v>0.53600000000000003</c:v>
                </c:pt>
                <c:pt idx="533">
                  <c:v>0.74199999999999999</c:v>
                </c:pt>
                <c:pt idx="534">
                  <c:v>0.73299999999999998</c:v>
                </c:pt>
                <c:pt idx="535">
                  <c:v>0.77200000000000002</c:v>
                </c:pt>
                <c:pt idx="536">
                  <c:v>0.80700000000000005</c:v>
                </c:pt>
                <c:pt idx="537">
                  <c:v>0.76500000000000001</c:v>
                </c:pt>
                <c:pt idx="538">
                  <c:v>0.74399999999999999</c:v>
                </c:pt>
                <c:pt idx="539">
                  <c:v>0.80300000000000005</c:v>
                </c:pt>
                <c:pt idx="540">
                  <c:v>0.747</c:v>
                </c:pt>
                <c:pt idx="541">
                  <c:v>0.99299999999999999</c:v>
                </c:pt>
                <c:pt idx="542">
                  <c:v>0.996</c:v>
                </c:pt>
                <c:pt idx="543">
                  <c:v>0.81299999999999994</c:v>
                </c:pt>
                <c:pt idx="544">
                  <c:v>0.997</c:v>
                </c:pt>
                <c:pt idx="545">
                  <c:v>0.997</c:v>
                </c:pt>
                <c:pt idx="546">
                  <c:v>0.753</c:v>
                </c:pt>
                <c:pt idx="547">
                  <c:v>0.80400000000000005</c:v>
                </c:pt>
                <c:pt idx="548">
                  <c:v>0.749</c:v>
                </c:pt>
                <c:pt idx="549">
                  <c:v>0.77400000000000002</c:v>
                </c:pt>
                <c:pt idx="550">
                  <c:v>0.76900000000000002</c:v>
                </c:pt>
                <c:pt idx="551">
                  <c:v>0.80600000000000005</c:v>
                </c:pt>
                <c:pt idx="552">
                  <c:v>0.77400000000000002</c:v>
                </c:pt>
                <c:pt idx="553">
                  <c:v>0.81599999999999995</c:v>
                </c:pt>
                <c:pt idx="554">
                  <c:v>0.8</c:v>
                </c:pt>
                <c:pt idx="555">
                  <c:v>0.78200000000000003</c:v>
                </c:pt>
                <c:pt idx="556">
                  <c:v>0.77200000000000002</c:v>
                </c:pt>
                <c:pt idx="557">
                  <c:v>0.74099999999999999</c:v>
                </c:pt>
                <c:pt idx="558">
                  <c:v>0.8</c:v>
                </c:pt>
                <c:pt idx="559">
                  <c:v>0.99299999999999999</c:v>
                </c:pt>
                <c:pt idx="560">
                  <c:v>0.74099999999999999</c:v>
                </c:pt>
                <c:pt idx="561">
                  <c:v>0.77100000000000002</c:v>
                </c:pt>
                <c:pt idx="562">
                  <c:v>0.77400000000000002</c:v>
                </c:pt>
                <c:pt idx="563">
                  <c:v>0.69699999999999995</c:v>
                </c:pt>
                <c:pt idx="564">
                  <c:v>0.98599999999999999</c:v>
                </c:pt>
                <c:pt idx="565">
                  <c:v>0.76900000000000002</c:v>
                </c:pt>
                <c:pt idx="566">
                  <c:v>0.81899999999999995</c:v>
                </c:pt>
                <c:pt idx="567">
                  <c:v>0.995</c:v>
                </c:pt>
                <c:pt idx="568">
                  <c:v>0.80800000000000005</c:v>
                </c:pt>
                <c:pt idx="569">
                  <c:v>0.996</c:v>
                </c:pt>
                <c:pt idx="570">
                  <c:v>0.997</c:v>
                </c:pt>
                <c:pt idx="571">
                  <c:v>0.78200000000000003</c:v>
                </c:pt>
                <c:pt idx="572">
                  <c:v>0.81200000000000006</c:v>
                </c:pt>
                <c:pt idx="573">
                  <c:v>0.996</c:v>
                </c:pt>
                <c:pt idx="574">
                  <c:v>0.998</c:v>
                </c:pt>
                <c:pt idx="575">
                  <c:v>0.999</c:v>
                </c:pt>
                <c:pt idx="576">
                  <c:v>0.999</c:v>
                </c:pt>
                <c:pt idx="577">
                  <c:v>0.999</c:v>
                </c:pt>
                <c:pt idx="578">
                  <c:v>0.998</c:v>
                </c:pt>
                <c:pt idx="579">
                  <c:v>0.999</c:v>
                </c:pt>
                <c:pt idx="580">
                  <c:v>0.78400000000000003</c:v>
                </c:pt>
                <c:pt idx="581">
                  <c:v>0.76200000000000001</c:v>
                </c:pt>
                <c:pt idx="582">
                  <c:v>0.76900000000000002</c:v>
                </c:pt>
                <c:pt idx="583">
                  <c:v>0.67200000000000004</c:v>
                </c:pt>
                <c:pt idx="584">
                  <c:v>0.69099999999999995</c:v>
                </c:pt>
                <c:pt idx="585">
                  <c:v>0.46</c:v>
                </c:pt>
                <c:pt idx="586">
                  <c:v>0.45800000000000002</c:v>
                </c:pt>
                <c:pt idx="587">
                  <c:v>0.46</c:v>
                </c:pt>
                <c:pt idx="588">
                  <c:v>0.74099999999999999</c:v>
                </c:pt>
                <c:pt idx="589">
                  <c:v>0.67700000000000005</c:v>
                </c:pt>
                <c:pt idx="590">
                  <c:v>0.51800000000000002</c:v>
                </c:pt>
                <c:pt idx="591">
                  <c:v>0.72499999999999998</c:v>
                </c:pt>
                <c:pt idx="592">
                  <c:v>0.77400000000000002</c:v>
                </c:pt>
                <c:pt idx="593">
                  <c:v>0.53</c:v>
                </c:pt>
                <c:pt idx="594">
                  <c:v>0.78200000000000003</c:v>
                </c:pt>
                <c:pt idx="595">
                  <c:v>0.76500000000000001</c:v>
                </c:pt>
                <c:pt idx="596">
                  <c:v>0.53300000000000003</c:v>
                </c:pt>
                <c:pt idx="597">
                  <c:v>0.78400000000000003</c:v>
                </c:pt>
                <c:pt idx="598">
                  <c:v>0.76700000000000002</c:v>
                </c:pt>
                <c:pt idx="599">
                  <c:v>0.77900000000000003</c:v>
                </c:pt>
                <c:pt idx="600">
                  <c:v>0.79400000000000004</c:v>
                </c:pt>
                <c:pt idx="601">
                  <c:v>0.77500000000000002</c:v>
                </c:pt>
                <c:pt idx="602">
                  <c:v>0.78200000000000003</c:v>
                </c:pt>
                <c:pt idx="603">
                  <c:v>0.77200000000000002</c:v>
                </c:pt>
                <c:pt idx="604">
                  <c:v>0.77100000000000002</c:v>
                </c:pt>
                <c:pt idx="605">
                  <c:v>0.996</c:v>
                </c:pt>
                <c:pt idx="606">
                  <c:v>0.79200000000000004</c:v>
                </c:pt>
                <c:pt idx="607">
                  <c:v>0.80800000000000005</c:v>
                </c:pt>
                <c:pt idx="608">
                  <c:v>0.995</c:v>
                </c:pt>
                <c:pt idx="609">
                  <c:v>0.54300000000000004</c:v>
                </c:pt>
                <c:pt idx="610">
                  <c:v>0.53600000000000003</c:v>
                </c:pt>
                <c:pt idx="611">
                  <c:v>0.72499999999999998</c:v>
                </c:pt>
                <c:pt idx="612">
                  <c:v>0.47499999999999998</c:v>
                </c:pt>
                <c:pt idx="613">
                  <c:v>0.77100000000000002</c:v>
                </c:pt>
                <c:pt idx="614">
                  <c:v>0.66600000000000004</c:v>
                </c:pt>
                <c:pt idx="615">
                  <c:v>0.67300000000000004</c:v>
                </c:pt>
                <c:pt idx="616">
                  <c:v>0.77600000000000002</c:v>
                </c:pt>
                <c:pt idx="617">
                  <c:v>0.52100000000000002</c:v>
                </c:pt>
                <c:pt idx="618">
                  <c:v>0.77800000000000002</c:v>
                </c:pt>
                <c:pt idx="619">
                  <c:v>0.77100000000000002</c:v>
                </c:pt>
                <c:pt idx="620">
                  <c:v>0.86699999999999999</c:v>
                </c:pt>
                <c:pt idx="621">
                  <c:v>0.75700000000000001</c:v>
                </c:pt>
                <c:pt idx="622">
                  <c:v>0.71299999999999997</c:v>
                </c:pt>
                <c:pt idx="623">
                  <c:v>0.68300000000000005</c:v>
                </c:pt>
                <c:pt idx="624">
                  <c:v>0.68400000000000005</c:v>
                </c:pt>
                <c:pt idx="625">
                  <c:v>0.67800000000000005</c:v>
                </c:pt>
                <c:pt idx="626">
                  <c:v>0.69699999999999995</c:v>
                </c:pt>
                <c:pt idx="627">
                  <c:v>0.85199999999999998</c:v>
                </c:pt>
                <c:pt idx="628">
                  <c:v>0.66100000000000003</c:v>
                </c:pt>
                <c:pt idx="629">
                  <c:v>0.85899999999999999</c:v>
                </c:pt>
                <c:pt idx="630">
                  <c:v>0.67700000000000005</c:v>
                </c:pt>
                <c:pt idx="631">
                  <c:v>0.46200000000000002</c:v>
                </c:pt>
                <c:pt idx="632">
                  <c:v>0.84299999999999997</c:v>
                </c:pt>
                <c:pt idx="633">
                  <c:v>0.36</c:v>
                </c:pt>
                <c:pt idx="634">
                  <c:v>0.68</c:v>
                </c:pt>
                <c:pt idx="635">
                  <c:v>0.76600000000000001</c:v>
                </c:pt>
                <c:pt idx="636">
                  <c:v>0.76</c:v>
                </c:pt>
                <c:pt idx="637">
                  <c:v>0.79100000000000004</c:v>
                </c:pt>
                <c:pt idx="638">
                  <c:v>0.79200000000000004</c:v>
                </c:pt>
                <c:pt idx="639">
                  <c:v>0.99399999999999999</c:v>
                </c:pt>
                <c:pt idx="640">
                  <c:v>0.998</c:v>
                </c:pt>
                <c:pt idx="641">
                  <c:v>0.998</c:v>
                </c:pt>
                <c:pt idx="642">
                  <c:v>0.999</c:v>
                </c:pt>
                <c:pt idx="643">
                  <c:v>0.997</c:v>
                </c:pt>
                <c:pt idx="644">
                  <c:v>0.78300000000000003</c:v>
                </c:pt>
                <c:pt idx="645">
                  <c:v>0.996</c:v>
                </c:pt>
                <c:pt idx="646">
                  <c:v>0.79400000000000004</c:v>
                </c:pt>
                <c:pt idx="647">
                  <c:v>0.78800000000000003</c:v>
                </c:pt>
                <c:pt idx="648">
                  <c:v>0.80800000000000005</c:v>
                </c:pt>
                <c:pt idx="649">
                  <c:v>0.53700000000000003</c:v>
                </c:pt>
                <c:pt idx="650">
                  <c:v>0.78200000000000003</c:v>
                </c:pt>
                <c:pt idx="651">
                  <c:v>0.995</c:v>
                </c:pt>
                <c:pt idx="652">
                  <c:v>0.78800000000000003</c:v>
                </c:pt>
                <c:pt idx="653">
                  <c:v>0.998</c:v>
                </c:pt>
                <c:pt idx="654">
                  <c:v>0.77600000000000002</c:v>
                </c:pt>
                <c:pt idx="655">
                  <c:v>0.70899999999999996</c:v>
                </c:pt>
                <c:pt idx="656">
                  <c:v>0.76100000000000001</c:v>
                </c:pt>
                <c:pt idx="657">
                  <c:v>0.46600000000000003</c:v>
                </c:pt>
                <c:pt idx="658">
                  <c:v>0.72899999999999998</c:v>
                </c:pt>
                <c:pt idx="659">
                  <c:v>0.78700000000000003</c:v>
                </c:pt>
                <c:pt idx="660">
                  <c:v>0.79100000000000004</c:v>
                </c:pt>
                <c:pt idx="661">
                  <c:v>0.80100000000000005</c:v>
                </c:pt>
                <c:pt idx="662">
                  <c:v>0.79900000000000004</c:v>
                </c:pt>
                <c:pt idx="663">
                  <c:v>0.997</c:v>
                </c:pt>
                <c:pt idx="664">
                  <c:v>0.80700000000000005</c:v>
                </c:pt>
                <c:pt idx="665">
                  <c:v>0.80700000000000005</c:v>
                </c:pt>
                <c:pt idx="666">
                  <c:v>0.996</c:v>
                </c:pt>
                <c:pt idx="667">
                  <c:v>0.79200000000000004</c:v>
                </c:pt>
                <c:pt idx="668">
                  <c:v>0.80900000000000005</c:v>
                </c:pt>
                <c:pt idx="669">
                  <c:v>0.996</c:v>
                </c:pt>
                <c:pt idx="670">
                  <c:v>0.69499999999999995</c:v>
                </c:pt>
                <c:pt idx="671">
                  <c:v>0.81399999999999995</c:v>
                </c:pt>
                <c:pt idx="672">
                  <c:v>0.78500000000000003</c:v>
                </c:pt>
                <c:pt idx="673">
                  <c:v>0.77400000000000002</c:v>
                </c:pt>
                <c:pt idx="674">
                  <c:v>0.79600000000000004</c:v>
                </c:pt>
                <c:pt idx="675">
                  <c:v>0.78300000000000003</c:v>
                </c:pt>
                <c:pt idx="676">
                  <c:v>0.80200000000000005</c:v>
                </c:pt>
                <c:pt idx="677">
                  <c:v>0.78700000000000003</c:v>
                </c:pt>
                <c:pt idx="678">
                  <c:v>0.80100000000000005</c:v>
                </c:pt>
                <c:pt idx="679">
                  <c:v>0.78600000000000003</c:v>
                </c:pt>
                <c:pt idx="680">
                  <c:v>0.80500000000000005</c:v>
                </c:pt>
                <c:pt idx="681">
                  <c:v>0.997</c:v>
                </c:pt>
                <c:pt idx="682">
                  <c:v>0.999</c:v>
                </c:pt>
                <c:pt idx="683">
                  <c:v>1</c:v>
                </c:pt>
                <c:pt idx="684">
                  <c:v>0.998</c:v>
                </c:pt>
                <c:pt idx="685">
                  <c:v>0.78900000000000003</c:v>
                </c:pt>
                <c:pt idx="686">
                  <c:v>0.81100000000000005</c:v>
                </c:pt>
                <c:pt idx="687">
                  <c:v>0.80700000000000005</c:v>
                </c:pt>
                <c:pt idx="688">
                  <c:v>0.79900000000000004</c:v>
                </c:pt>
                <c:pt idx="689">
                  <c:v>0.80300000000000005</c:v>
                </c:pt>
                <c:pt idx="690">
                  <c:v>0.997</c:v>
                </c:pt>
                <c:pt idx="691">
                  <c:v>0.999</c:v>
                </c:pt>
                <c:pt idx="692">
                  <c:v>0.996</c:v>
                </c:pt>
                <c:pt idx="693">
                  <c:v>0.997</c:v>
                </c:pt>
                <c:pt idx="694">
                  <c:v>0.995</c:v>
                </c:pt>
                <c:pt idx="695">
                  <c:v>0.78300000000000003</c:v>
                </c:pt>
                <c:pt idx="696">
                  <c:v>0.77200000000000002</c:v>
                </c:pt>
                <c:pt idx="697">
                  <c:v>0.77800000000000002</c:v>
                </c:pt>
                <c:pt idx="698">
                  <c:v>0.57099999999999995</c:v>
                </c:pt>
                <c:pt idx="699">
                  <c:v>0.78800000000000003</c:v>
                </c:pt>
                <c:pt idx="700">
                  <c:v>0.80400000000000005</c:v>
                </c:pt>
                <c:pt idx="701">
                  <c:v>0.75700000000000001</c:v>
                </c:pt>
                <c:pt idx="702">
                  <c:v>0.75600000000000001</c:v>
                </c:pt>
                <c:pt idx="703">
                  <c:v>0.76300000000000001</c:v>
                </c:pt>
                <c:pt idx="704">
                  <c:v>0.77500000000000002</c:v>
                </c:pt>
                <c:pt idx="705">
                  <c:v>0.749</c:v>
                </c:pt>
                <c:pt idx="706">
                  <c:v>0.55300000000000005</c:v>
                </c:pt>
                <c:pt idx="707">
                  <c:v>0.35699999999999998</c:v>
                </c:pt>
                <c:pt idx="708">
                  <c:v>0.436</c:v>
                </c:pt>
                <c:pt idx="709">
                  <c:v>0.21299999999999999</c:v>
                </c:pt>
                <c:pt idx="710">
                  <c:v>0.56499999999999995</c:v>
                </c:pt>
                <c:pt idx="711">
                  <c:v>0.76700000000000002</c:v>
                </c:pt>
                <c:pt idx="712">
                  <c:v>0.74</c:v>
                </c:pt>
                <c:pt idx="713">
                  <c:v>0.99</c:v>
                </c:pt>
                <c:pt idx="714">
                  <c:v>0.78100000000000003</c:v>
                </c:pt>
                <c:pt idx="715">
                  <c:v>0.79100000000000004</c:v>
                </c:pt>
                <c:pt idx="716">
                  <c:v>0.99399999999999999</c:v>
                </c:pt>
                <c:pt idx="717">
                  <c:v>0.71699999999999997</c:v>
                </c:pt>
                <c:pt idx="718">
                  <c:v>0.72899999999999998</c:v>
                </c:pt>
                <c:pt idx="719">
                  <c:v>0.69799999999999995</c:v>
                </c:pt>
                <c:pt idx="720">
                  <c:v>0.41499999999999998</c:v>
                </c:pt>
                <c:pt idx="721">
                  <c:v>0.69799999999999995</c:v>
                </c:pt>
                <c:pt idx="722">
                  <c:v>0.35299999999999998</c:v>
                </c:pt>
                <c:pt idx="723">
                  <c:v>0.35399999999999998</c:v>
                </c:pt>
                <c:pt idx="724">
                  <c:v>0.54600000000000004</c:v>
                </c:pt>
                <c:pt idx="725">
                  <c:v>0.72199999999999998</c:v>
                </c:pt>
                <c:pt idx="726">
                  <c:v>0.76600000000000001</c:v>
                </c:pt>
                <c:pt idx="727">
                  <c:v>0.99399999999999999</c:v>
                </c:pt>
                <c:pt idx="728">
                  <c:v>0.996</c:v>
                </c:pt>
                <c:pt idx="729">
                  <c:v>0.997</c:v>
                </c:pt>
                <c:pt idx="730">
                  <c:v>0.995</c:v>
                </c:pt>
                <c:pt idx="731">
                  <c:v>0.78800000000000003</c:v>
                </c:pt>
                <c:pt idx="732">
                  <c:v>0.78</c:v>
                </c:pt>
                <c:pt idx="733">
                  <c:v>0.995</c:v>
                </c:pt>
                <c:pt idx="734">
                  <c:v>0.998</c:v>
                </c:pt>
                <c:pt idx="735">
                  <c:v>0.995</c:v>
                </c:pt>
                <c:pt idx="736">
                  <c:v>0.99399999999999999</c:v>
                </c:pt>
                <c:pt idx="737">
                  <c:v>0.80800000000000005</c:v>
                </c:pt>
                <c:pt idx="738">
                  <c:v>0.77</c:v>
                </c:pt>
                <c:pt idx="739">
                  <c:v>0.69099999999999995</c:v>
                </c:pt>
                <c:pt idx="740">
                  <c:v>0.44500000000000001</c:v>
                </c:pt>
                <c:pt idx="741">
                  <c:v>0.44</c:v>
                </c:pt>
                <c:pt idx="742">
                  <c:v>0.432</c:v>
                </c:pt>
                <c:pt idx="743">
                  <c:v>0.56499999999999995</c:v>
                </c:pt>
                <c:pt idx="744">
                  <c:v>0.74399999999999999</c:v>
                </c:pt>
                <c:pt idx="745">
                  <c:v>0.73399999999999999</c:v>
                </c:pt>
                <c:pt idx="746">
                  <c:v>0.755</c:v>
                </c:pt>
                <c:pt idx="747">
                  <c:v>0.77700000000000002</c:v>
                </c:pt>
                <c:pt idx="748">
                  <c:v>0.76200000000000001</c:v>
                </c:pt>
                <c:pt idx="749">
                  <c:v>0.77600000000000002</c:v>
                </c:pt>
                <c:pt idx="750">
                  <c:v>0.77900000000000003</c:v>
                </c:pt>
                <c:pt idx="751">
                  <c:v>0.79200000000000004</c:v>
                </c:pt>
                <c:pt idx="752">
                  <c:v>0.79</c:v>
                </c:pt>
                <c:pt idx="753">
                  <c:v>0.80800000000000005</c:v>
                </c:pt>
                <c:pt idx="754">
                  <c:v>0.78100000000000003</c:v>
                </c:pt>
                <c:pt idx="755">
                  <c:v>0.78700000000000003</c:v>
                </c:pt>
                <c:pt idx="756">
                  <c:v>0.78</c:v>
                </c:pt>
                <c:pt idx="757">
                  <c:v>0.78500000000000003</c:v>
                </c:pt>
                <c:pt idx="758">
                  <c:v>0.78600000000000003</c:v>
                </c:pt>
                <c:pt idx="759">
                  <c:v>0.99399999999999999</c:v>
                </c:pt>
                <c:pt idx="760">
                  <c:v>0.997</c:v>
                </c:pt>
                <c:pt idx="761">
                  <c:v>0.998</c:v>
                </c:pt>
                <c:pt idx="762">
                  <c:v>0.998</c:v>
                </c:pt>
                <c:pt idx="763">
                  <c:v>0.77400000000000002</c:v>
                </c:pt>
                <c:pt idx="764">
                  <c:v>0.99399999999999999</c:v>
                </c:pt>
                <c:pt idx="765">
                  <c:v>0.99299999999999999</c:v>
                </c:pt>
                <c:pt idx="766">
                  <c:v>0.79</c:v>
                </c:pt>
                <c:pt idx="767">
                  <c:v>0.99399999999999999</c:v>
                </c:pt>
                <c:pt idx="768">
                  <c:v>0.99399999999999999</c:v>
                </c:pt>
                <c:pt idx="769">
                  <c:v>0.78300000000000003</c:v>
                </c:pt>
                <c:pt idx="770">
                  <c:v>0.995</c:v>
                </c:pt>
                <c:pt idx="771">
                  <c:v>0.79200000000000004</c:v>
                </c:pt>
                <c:pt idx="772">
                  <c:v>0.995</c:v>
                </c:pt>
                <c:pt idx="773">
                  <c:v>0.995</c:v>
                </c:pt>
                <c:pt idx="774">
                  <c:v>0.78200000000000003</c:v>
                </c:pt>
                <c:pt idx="775">
                  <c:v>0.78300000000000003</c:v>
                </c:pt>
                <c:pt idx="776">
                  <c:v>0.78800000000000003</c:v>
                </c:pt>
                <c:pt idx="777">
                  <c:v>0.76500000000000001</c:v>
                </c:pt>
                <c:pt idx="778">
                  <c:v>0.76400000000000001</c:v>
                </c:pt>
                <c:pt idx="779">
                  <c:v>0.78300000000000003</c:v>
                </c:pt>
                <c:pt idx="780">
                  <c:v>0.78200000000000003</c:v>
                </c:pt>
                <c:pt idx="781">
                  <c:v>0.997</c:v>
                </c:pt>
                <c:pt idx="782">
                  <c:v>0.78500000000000003</c:v>
                </c:pt>
                <c:pt idx="783">
                  <c:v>0.78700000000000003</c:v>
                </c:pt>
                <c:pt idx="784">
                  <c:v>0.995</c:v>
                </c:pt>
                <c:pt idx="785">
                  <c:v>0.78600000000000003</c:v>
                </c:pt>
                <c:pt idx="786">
                  <c:v>0.78200000000000003</c:v>
                </c:pt>
                <c:pt idx="787">
                  <c:v>0.77500000000000002</c:v>
                </c:pt>
                <c:pt idx="788">
                  <c:v>0.79200000000000004</c:v>
                </c:pt>
                <c:pt idx="789">
                  <c:v>0.78500000000000003</c:v>
                </c:pt>
                <c:pt idx="790">
                  <c:v>0.996</c:v>
                </c:pt>
                <c:pt idx="791">
                  <c:v>0.996</c:v>
                </c:pt>
                <c:pt idx="792">
                  <c:v>0.995</c:v>
                </c:pt>
                <c:pt idx="793">
                  <c:v>0.996</c:v>
                </c:pt>
                <c:pt idx="794">
                  <c:v>0.79500000000000004</c:v>
                </c:pt>
                <c:pt idx="795">
                  <c:v>0.78</c:v>
                </c:pt>
                <c:pt idx="796">
                  <c:v>0.99299999999999999</c:v>
                </c:pt>
                <c:pt idx="797">
                  <c:v>0.996</c:v>
                </c:pt>
                <c:pt idx="798">
                  <c:v>0.996</c:v>
                </c:pt>
                <c:pt idx="799">
                  <c:v>0.996</c:v>
                </c:pt>
                <c:pt idx="800">
                  <c:v>0.79300000000000004</c:v>
                </c:pt>
                <c:pt idx="801">
                  <c:v>0.78700000000000003</c:v>
                </c:pt>
                <c:pt idx="802">
                  <c:v>0.997</c:v>
                </c:pt>
                <c:pt idx="803">
                  <c:v>0.76600000000000001</c:v>
                </c:pt>
                <c:pt idx="804">
                  <c:v>0.78500000000000003</c:v>
                </c:pt>
                <c:pt idx="805">
                  <c:v>0.99399999999999999</c:v>
                </c:pt>
                <c:pt idx="806">
                  <c:v>0.78700000000000003</c:v>
                </c:pt>
                <c:pt idx="807">
                  <c:v>0.78300000000000003</c:v>
                </c:pt>
                <c:pt idx="808">
                  <c:v>0.77200000000000002</c:v>
                </c:pt>
                <c:pt idx="809">
                  <c:v>0.71699999999999997</c:v>
                </c:pt>
                <c:pt idx="810">
                  <c:v>0.76900000000000002</c:v>
                </c:pt>
                <c:pt idx="811">
                  <c:v>0.77200000000000002</c:v>
                </c:pt>
                <c:pt idx="812">
                  <c:v>0.78</c:v>
                </c:pt>
                <c:pt idx="813">
                  <c:v>0.78400000000000003</c:v>
                </c:pt>
                <c:pt idx="814">
                  <c:v>0.75800000000000001</c:v>
                </c:pt>
                <c:pt idx="815">
                  <c:v>0.78600000000000003</c:v>
                </c:pt>
                <c:pt idx="816">
                  <c:v>0.80600000000000005</c:v>
                </c:pt>
                <c:pt idx="817">
                  <c:v>0.76</c:v>
                </c:pt>
                <c:pt idx="818">
                  <c:v>0.55700000000000005</c:v>
                </c:pt>
                <c:pt idx="819">
                  <c:v>0.76</c:v>
                </c:pt>
                <c:pt idx="820">
                  <c:v>0.78</c:v>
                </c:pt>
                <c:pt idx="821">
                  <c:v>0.99299999999999999</c:v>
                </c:pt>
                <c:pt idx="822">
                  <c:v>0.997</c:v>
                </c:pt>
                <c:pt idx="823">
                  <c:v>0.997</c:v>
                </c:pt>
                <c:pt idx="824">
                  <c:v>0.997</c:v>
                </c:pt>
                <c:pt idx="825">
                  <c:v>0.995</c:v>
                </c:pt>
                <c:pt idx="826">
                  <c:v>0.78600000000000003</c:v>
                </c:pt>
                <c:pt idx="827">
                  <c:v>0.78900000000000003</c:v>
                </c:pt>
                <c:pt idx="828">
                  <c:v>0.78200000000000003</c:v>
                </c:pt>
                <c:pt idx="829">
                  <c:v>0.76200000000000001</c:v>
                </c:pt>
                <c:pt idx="830">
                  <c:v>0.99199999999999999</c:v>
                </c:pt>
                <c:pt idx="831">
                  <c:v>0.995</c:v>
                </c:pt>
                <c:pt idx="832">
                  <c:v>0.995</c:v>
                </c:pt>
                <c:pt idx="833">
                  <c:v>0.996</c:v>
                </c:pt>
                <c:pt idx="834">
                  <c:v>0.996</c:v>
                </c:pt>
                <c:pt idx="835">
                  <c:v>0.78600000000000003</c:v>
                </c:pt>
                <c:pt idx="836">
                  <c:v>0.79300000000000004</c:v>
                </c:pt>
                <c:pt idx="837">
                  <c:v>0.77200000000000002</c:v>
                </c:pt>
                <c:pt idx="838">
                  <c:v>0.56999999999999995</c:v>
                </c:pt>
                <c:pt idx="839">
                  <c:v>0.80500000000000005</c:v>
                </c:pt>
                <c:pt idx="840">
                  <c:v>0.79400000000000004</c:v>
                </c:pt>
                <c:pt idx="841">
                  <c:v>0.56499999999999995</c:v>
                </c:pt>
                <c:pt idx="842">
                  <c:v>0.76200000000000001</c:v>
                </c:pt>
                <c:pt idx="843">
                  <c:v>0.80600000000000005</c:v>
                </c:pt>
                <c:pt idx="844">
                  <c:v>0.98899999999999999</c:v>
                </c:pt>
                <c:pt idx="845">
                  <c:v>0.80100000000000005</c:v>
                </c:pt>
                <c:pt idx="846">
                  <c:v>0.995</c:v>
                </c:pt>
                <c:pt idx="847">
                  <c:v>0.78500000000000003</c:v>
                </c:pt>
                <c:pt idx="848">
                  <c:v>0.78400000000000003</c:v>
                </c:pt>
                <c:pt idx="849">
                  <c:v>0.79100000000000004</c:v>
                </c:pt>
                <c:pt idx="850">
                  <c:v>0.995</c:v>
                </c:pt>
                <c:pt idx="851">
                  <c:v>0.996</c:v>
                </c:pt>
                <c:pt idx="852">
                  <c:v>0.996</c:v>
                </c:pt>
                <c:pt idx="853">
                  <c:v>0.996</c:v>
                </c:pt>
                <c:pt idx="854">
                  <c:v>0.997</c:v>
                </c:pt>
                <c:pt idx="855">
                  <c:v>0.79200000000000004</c:v>
                </c:pt>
                <c:pt idx="856">
                  <c:v>0.995</c:v>
                </c:pt>
                <c:pt idx="857">
                  <c:v>0.78300000000000003</c:v>
                </c:pt>
                <c:pt idx="858">
                  <c:v>0.76600000000000001</c:v>
                </c:pt>
                <c:pt idx="859">
                  <c:v>0.76600000000000001</c:v>
                </c:pt>
                <c:pt idx="860">
                  <c:v>0.748</c:v>
                </c:pt>
                <c:pt idx="861">
                  <c:v>0.73599999999999999</c:v>
                </c:pt>
                <c:pt idx="862">
                  <c:v>0.79900000000000004</c:v>
                </c:pt>
                <c:pt idx="863">
                  <c:v>0.73899999999999999</c:v>
                </c:pt>
                <c:pt idx="864">
                  <c:v>0.78700000000000003</c:v>
                </c:pt>
                <c:pt idx="865">
                  <c:v>0.99399999999999999</c:v>
                </c:pt>
                <c:pt idx="866">
                  <c:v>0.997</c:v>
                </c:pt>
                <c:pt idx="867">
                  <c:v>0.996</c:v>
                </c:pt>
                <c:pt idx="868">
                  <c:v>0.999</c:v>
                </c:pt>
                <c:pt idx="869">
                  <c:v>0.78600000000000003</c:v>
                </c:pt>
                <c:pt idx="870">
                  <c:v>0.79</c:v>
                </c:pt>
                <c:pt idx="871">
                  <c:v>0.79400000000000004</c:v>
                </c:pt>
                <c:pt idx="872">
                  <c:v>0.78900000000000003</c:v>
                </c:pt>
                <c:pt idx="873">
                  <c:v>0.99299999999999999</c:v>
                </c:pt>
                <c:pt idx="874">
                  <c:v>0.78300000000000003</c:v>
                </c:pt>
                <c:pt idx="875">
                  <c:v>0.79</c:v>
                </c:pt>
                <c:pt idx="876">
                  <c:v>0.99399999999999999</c:v>
                </c:pt>
                <c:pt idx="877">
                  <c:v>0.78800000000000003</c:v>
                </c:pt>
                <c:pt idx="878">
                  <c:v>0.78600000000000003</c:v>
                </c:pt>
                <c:pt idx="879">
                  <c:v>0.77900000000000003</c:v>
                </c:pt>
                <c:pt idx="880">
                  <c:v>0.77200000000000002</c:v>
                </c:pt>
                <c:pt idx="881">
                  <c:v>0.78300000000000003</c:v>
                </c:pt>
                <c:pt idx="882">
                  <c:v>0.78100000000000003</c:v>
                </c:pt>
                <c:pt idx="883">
                  <c:v>0.78700000000000003</c:v>
                </c:pt>
                <c:pt idx="884">
                  <c:v>0.78600000000000003</c:v>
                </c:pt>
                <c:pt idx="885">
                  <c:v>0.79600000000000004</c:v>
                </c:pt>
                <c:pt idx="886">
                  <c:v>0.78800000000000003</c:v>
                </c:pt>
                <c:pt idx="887">
                  <c:v>0.99399999999999999</c:v>
                </c:pt>
                <c:pt idx="888">
                  <c:v>0.996</c:v>
                </c:pt>
                <c:pt idx="889">
                  <c:v>0.998</c:v>
                </c:pt>
                <c:pt idx="890">
                  <c:v>0.999</c:v>
                </c:pt>
                <c:pt idx="891">
                  <c:v>0.999</c:v>
                </c:pt>
                <c:pt idx="892">
                  <c:v>0.78800000000000003</c:v>
                </c:pt>
                <c:pt idx="893">
                  <c:v>0.56999999999999995</c:v>
                </c:pt>
                <c:pt idx="894">
                  <c:v>0.752</c:v>
                </c:pt>
                <c:pt idx="895">
                  <c:v>0.55100000000000005</c:v>
                </c:pt>
                <c:pt idx="896">
                  <c:v>0.55600000000000005</c:v>
                </c:pt>
                <c:pt idx="897">
                  <c:v>0.77700000000000002</c:v>
                </c:pt>
                <c:pt idx="898">
                  <c:v>0.79500000000000004</c:v>
                </c:pt>
                <c:pt idx="899">
                  <c:v>0.78600000000000003</c:v>
                </c:pt>
                <c:pt idx="900">
                  <c:v>0.79900000000000004</c:v>
                </c:pt>
                <c:pt idx="901">
                  <c:v>0.79700000000000004</c:v>
                </c:pt>
                <c:pt idx="902">
                  <c:v>0.55900000000000005</c:v>
                </c:pt>
                <c:pt idx="903">
                  <c:v>0.76600000000000001</c:v>
                </c:pt>
                <c:pt idx="904">
                  <c:v>0.56000000000000005</c:v>
                </c:pt>
                <c:pt idx="905">
                  <c:v>0.84299999999999997</c:v>
                </c:pt>
                <c:pt idx="906">
                  <c:v>0.74299999999999999</c:v>
                </c:pt>
                <c:pt idx="907">
                  <c:v>0.67900000000000005</c:v>
                </c:pt>
                <c:pt idx="908">
                  <c:v>0.66300000000000003</c:v>
                </c:pt>
                <c:pt idx="909">
                  <c:v>0.47399999999999998</c:v>
                </c:pt>
                <c:pt idx="910">
                  <c:v>0.46400000000000002</c:v>
                </c:pt>
                <c:pt idx="911">
                  <c:v>0.46899999999999997</c:v>
                </c:pt>
                <c:pt idx="912">
                  <c:v>0.83099999999999996</c:v>
                </c:pt>
                <c:pt idx="913">
                  <c:v>0.745</c:v>
                </c:pt>
                <c:pt idx="914">
                  <c:v>0.76100000000000001</c:v>
                </c:pt>
                <c:pt idx="915">
                  <c:v>0.54600000000000004</c:v>
                </c:pt>
                <c:pt idx="916">
                  <c:v>0.69</c:v>
                </c:pt>
                <c:pt idx="917">
                  <c:v>0.746</c:v>
                </c:pt>
                <c:pt idx="918">
                  <c:v>0.57099999999999995</c:v>
                </c:pt>
                <c:pt idx="919">
                  <c:v>0.55400000000000005</c:v>
                </c:pt>
                <c:pt idx="920">
                  <c:v>0.68</c:v>
                </c:pt>
                <c:pt idx="921">
                  <c:v>0.69199999999999995</c:v>
                </c:pt>
                <c:pt idx="922">
                  <c:v>0.76</c:v>
                </c:pt>
                <c:pt idx="923">
                  <c:v>0.77600000000000002</c:v>
                </c:pt>
                <c:pt idx="924">
                  <c:v>0.75600000000000001</c:v>
                </c:pt>
                <c:pt idx="925">
                  <c:v>0.76</c:v>
                </c:pt>
                <c:pt idx="926">
                  <c:v>0.76600000000000001</c:v>
                </c:pt>
                <c:pt idx="927">
                  <c:v>0.68300000000000005</c:v>
                </c:pt>
                <c:pt idx="928">
                  <c:v>0.54800000000000004</c:v>
                </c:pt>
                <c:pt idx="929">
                  <c:v>0.72</c:v>
                </c:pt>
                <c:pt idx="930">
                  <c:v>0.72699999999999998</c:v>
                </c:pt>
                <c:pt idx="931">
                  <c:v>0.72699999999999998</c:v>
                </c:pt>
                <c:pt idx="932">
                  <c:v>0.78600000000000003</c:v>
                </c:pt>
                <c:pt idx="933">
                  <c:v>0.81100000000000005</c:v>
                </c:pt>
                <c:pt idx="934">
                  <c:v>0.79300000000000004</c:v>
                </c:pt>
                <c:pt idx="935">
                  <c:v>0.78300000000000003</c:v>
                </c:pt>
                <c:pt idx="936">
                  <c:v>0.79200000000000004</c:v>
                </c:pt>
                <c:pt idx="937">
                  <c:v>0.79700000000000004</c:v>
                </c:pt>
                <c:pt idx="938">
                  <c:v>0.8</c:v>
                </c:pt>
                <c:pt idx="939">
                  <c:v>0.79200000000000004</c:v>
                </c:pt>
                <c:pt idx="940">
                  <c:v>0.998</c:v>
                </c:pt>
                <c:pt idx="941">
                  <c:v>0.999</c:v>
                </c:pt>
                <c:pt idx="942">
                  <c:v>0.998</c:v>
                </c:pt>
                <c:pt idx="943">
                  <c:v>0.998</c:v>
                </c:pt>
                <c:pt idx="944">
                  <c:v>0.79700000000000004</c:v>
                </c:pt>
                <c:pt idx="945">
                  <c:v>0.997</c:v>
                </c:pt>
                <c:pt idx="946">
                  <c:v>0.78800000000000003</c:v>
                </c:pt>
                <c:pt idx="947">
                  <c:v>0.76</c:v>
                </c:pt>
                <c:pt idx="948">
                  <c:v>0.78700000000000003</c:v>
                </c:pt>
                <c:pt idx="949">
                  <c:v>0.77800000000000002</c:v>
                </c:pt>
                <c:pt idx="950">
                  <c:v>0.79800000000000004</c:v>
                </c:pt>
                <c:pt idx="951">
                  <c:v>0.55500000000000005</c:v>
                </c:pt>
                <c:pt idx="952">
                  <c:v>0.80200000000000005</c:v>
                </c:pt>
                <c:pt idx="953">
                  <c:v>0.55200000000000005</c:v>
                </c:pt>
                <c:pt idx="954">
                  <c:v>0.79</c:v>
                </c:pt>
                <c:pt idx="955">
                  <c:v>0.8</c:v>
                </c:pt>
                <c:pt idx="956">
                  <c:v>0.749</c:v>
                </c:pt>
                <c:pt idx="957">
                  <c:v>0.78100000000000003</c:v>
                </c:pt>
                <c:pt idx="958">
                  <c:v>0.79</c:v>
                </c:pt>
                <c:pt idx="959">
                  <c:v>0.77100000000000002</c:v>
                </c:pt>
                <c:pt idx="960">
                  <c:v>0.99399999999999999</c:v>
                </c:pt>
                <c:pt idx="961">
                  <c:v>0.78600000000000003</c:v>
                </c:pt>
                <c:pt idx="962">
                  <c:v>0.997</c:v>
                </c:pt>
                <c:pt idx="963">
                  <c:v>0.78600000000000003</c:v>
                </c:pt>
                <c:pt idx="964">
                  <c:v>0.79400000000000004</c:v>
                </c:pt>
                <c:pt idx="965">
                  <c:v>0.78800000000000003</c:v>
                </c:pt>
                <c:pt idx="966">
                  <c:v>0.997</c:v>
                </c:pt>
                <c:pt idx="967">
                  <c:v>0.79400000000000004</c:v>
                </c:pt>
                <c:pt idx="968">
                  <c:v>0.79800000000000004</c:v>
                </c:pt>
                <c:pt idx="969">
                  <c:v>0.78400000000000003</c:v>
                </c:pt>
                <c:pt idx="970">
                  <c:v>0.80200000000000005</c:v>
                </c:pt>
                <c:pt idx="971">
                  <c:v>0.99399999999999999</c:v>
                </c:pt>
                <c:pt idx="972">
                  <c:v>0.78500000000000003</c:v>
                </c:pt>
                <c:pt idx="973">
                  <c:v>0.996</c:v>
                </c:pt>
                <c:pt idx="974">
                  <c:v>0.79600000000000004</c:v>
                </c:pt>
                <c:pt idx="975">
                  <c:v>0.79300000000000004</c:v>
                </c:pt>
                <c:pt idx="976">
                  <c:v>0.79100000000000004</c:v>
                </c:pt>
                <c:pt idx="977">
                  <c:v>0.79500000000000004</c:v>
                </c:pt>
                <c:pt idx="978">
                  <c:v>0.997</c:v>
                </c:pt>
                <c:pt idx="979">
                  <c:v>0.998</c:v>
                </c:pt>
                <c:pt idx="980">
                  <c:v>0.998</c:v>
                </c:pt>
                <c:pt idx="981">
                  <c:v>0.997</c:v>
                </c:pt>
                <c:pt idx="982">
                  <c:v>0.79</c:v>
                </c:pt>
                <c:pt idx="983">
                  <c:v>0.997</c:v>
                </c:pt>
                <c:pt idx="984">
                  <c:v>0.998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C7-4817-8278-23C08C847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415872"/>
        <c:axId val="1663073680"/>
      </c:scatterChart>
      <c:valAx>
        <c:axId val="2088415872"/>
        <c:scaling>
          <c:orientation val="minMax"/>
          <c:max val="3.5000000000000003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New Active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073680"/>
        <c:crosses val="autoZero"/>
        <c:crossBetween val="midCat"/>
      </c:valAx>
      <c:valAx>
        <c:axId val="16630736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415872"/>
        <c:crosses val="autoZero"/>
        <c:crossBetween val="midCat"/>
        <c:majorUnit val="0.2"/>
      </c:valAx>
      <c:spPr>
        <a:noFill/>
        <a:ln>
          <a:solidFill>
            <a:schemeClr val="accent3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'Infected FF'!$B$2</c:f>
              <c:strCache>
                <c:ptCount val="1"/>
                <c:pt idx="0">
                  <c:v>Run 1</c:v>
                </c:pt>
              </c:strCache>
            </c:strRef>
          </c:tx>
          <c:spPr>
            <a:ln w="19050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FF'!$B$3:$B$200</c:f>
              <c:numCache>
                <c:formatCode>General</c:formatCode>
                <c:ptCount val="198"/>
                <c:pt idx="0">
                  <c:v>2</c:v>
                </c:pt>
                <c:pt idx="1">
                  <c:v>5</c:v>
                </c:pt>
                <c:pt idx="2">
                  <c:v>14</c:v>
                </c:pt>
                <c:pt idx="3">
                  <c:v>22</c:v>
                </c:pt>
                <c:pt idx="4">
                  <c:v>35</c:v>
                </c:pt>
                <c:pt idx="5">
                  <c:v>50</c:v>
                </c:pt>
                <c:pt idx="6">
                  <c:v>68</c:v>
                </c:pt>
                <c:pt idx="7">
                  <c:v>81</c:v>
                </c:pt>
                <c:pt idx="8">
                  <c:v>85</c:v>
                </c:pt>
                <c:pt idx="9">
                  <c:v>82</c:v>
                </c:pt>
                <c:pt idx="10">
                  <c:v>74</c:v>
                </c:pt>
                <c:pt idx="11">
                  <c:v>63</c:v>
                </c:pt>
                <c:pt idx="12">
                  <c:v>49</c:v>
                </c:pt>
                <c:pt idx="13">
                  <c:v>40</c:v>
                </c:pt>
                <c:pt idx="14">
                  <c:v>35</c:v>
                </c:pt>
                <c:pt idx="15">
                  <c:v>39</c:v>
                </c:pt>
                <c:pt idx="16">
                  <c:v>44</c:v>
                </c:pt>
                <c:pt idx="17">
                  <c:v>52</c:v>
                </c:pt>
                <c:pt idx="18">
                  <c:v>53</c:v>
                </c:pt>
                <c:pt idx="19">
                  <c:v>61</c:v>
                </c:pt>
                <c:pt idx="20">
                  <c:v>68</c:v>
                </c:pt>
                <c:pt idx="21">
                  <c:v>67</c:v>
                </c:pt>
                <c:pt idx="22">
                  <c:v>63</c:v>
                </c:pt>
                <c:pt idx="23">
                  <c:v>52</c:v>
                </c:pt>
                <c:pt idx="24">
                  <c:v>45</c:v>
                </c:pt>
                <c:pt idx="25">
                  <c:v>32</c:v>
                </c:pt>
                <c:pt idx="26">
                  <c:v>17</c:v>
                </c:pt>
                <c:pt idx="27">
                  <c:v>10</c:v>
                </c:pt>
                <c:pt idx="28">
                  <c:v>9</c:v>
                </c:pt>
                <c:pt idx="29">
                  <c:v>14</c:v>
                </c:pt>
                <c:pt idx="30">
                  <c:v>21</c:v>
                </c:pt>
                <c:pt idx="31">
                  <c:v>22</c:v>
                </c:pt>
                <c:pt idx="32">
                  <c:v>24</c:v>
                </c:pt>
                <c:pt idx="33">
                  <c:v>27</c:v>
                </c:pt>
                <c:pt idx="34">
                  <c:v>24</c:v>
                </c:pt>
                <c:pt idx="35">
                  <c:v>20</c:v>
                </c:pt>
                <c:pt idx="36">
                  <c:v>17</c:v>
                </c:pt>
                <c:pt idx="37">
                  <c:v>15</c:v>
                </c:pt>
                <c:pt idx="38">
                  <c:v>16</c:v>
                </c:pt>
                <c:pt idx="39">
                  <c:v>15</c:v>
                </c:pt>
                <c:pt idx="40">
                  <c:v>17</c:v>
                </c:pt>
                <c:pt idx="41">
                  <c:v>17</c:v>
                </c:pt>
                <c:pt idx="42">
                  <c:v>14</c:v>
                </c:pt>
                <c:pt idx="43">
                  <c:v>13</c:v>
                </c:pt>
                <c:pt idx="44">
                  <c:v>10</c:v>
                </c:pt>
                <c:pt idx="45">
                  <c:v>7</c:v>
                </c:pt>
                <c:pt idx="46">
                  <c:v>4</c:v>
                </c:pt>
                <c:pt idx="47">
                  <c:v>4</c:v>
                </c:pt>
                <c:pt idx="48">
                  <c:v>9</c:v>
                </c:pt>
                <c:pt idx="49">
                  <c:v>15</c:v>
                </c:pt>
                <c:pt idx="50">
                  <c:v>20</c:v>
                </c:pt>
                <c:pt idx="51">
                  <c:v>26</c:v>
                </c:pt>
                <c:pt idx="52">
                  <c:v>30</c:v>
                </c:pt>
                <c:pt idx="53">
                  <c:v>35</c:v>
                </c:pt>
                <c:pt idx="54">
                  <c:v>30</c:v>
                </c:pt>
                <c:pt idx="55">
                  <c:v>28</c:v>
                </c:pt>
                <c:pt idx="56">
                  <c:v>23</c:v>
                </c:pt>
                <c:pt idx="57">
                  <c:v>19</c:v>
                </c:pt>
                <c:pt idx="58">
                  <c:v>16</c:v>
                </c:pt>
                <c:pt idx="59">
                  <c:v>10</c:v>
                </c:pt>
                <c:pt idx="60">
                  <c:v>15</c:v>
                </c:pt>
                <c:pt idx="61">
                  <c:v>13</c:v>
                </c:pt>
                <c:pt idx="62">
                  <c:v>15</c:v>
                </c:pt>
                <c:pt idx="63">
                  <c:v>15</c:v>
                </c:pt>
                <c:pt idx="64">
                  <c:v>16</c:v>
                </c:pt>
                <c:pt idx="65">
                  <c:v>20</c:v>
                </c:pt>
                <c:pt idx="66">
                  <c:v>18</c:v>
                </c:pt>
                <c:pt idx="67">
                  <c:v>17</c:v>
                </c:pt>
                <c:pt idx="68">
                  <c:v>17</c:v>
                </c:pt>
                <c:pt idx="69">
                  <c:v>16</c:v>
                </c:pt>
                <c:pt idx="70">
                  <c:v>13</c:v>
                </c:pt>
                <c:pt idx="71">
                  <c:v>8</c:v>
                </c:pt>
                <c:pt idx="72">
                  <c:v>4</c:v>
                </c:pt>
                <c:pt idx="73">
                  <c:v>3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00-4A55-925A-DF70F2C0475F}"/>
            </c:ext>
          </c:extLst>
        </c:ser>
        <c:ser>
          <c:idx val="1"/>
          <c:order val="1"/>
          <c:tx>
            <c:strRef>
              <c:f>'Infected FF'!$C$2</c:f>
              <c:strCache>
                <c:ptCount val="1"/>
                <c:pt idx="0">
                  <c:v>Run 2</c:v>
                </c:pt>
              </c:strCache>
            </c:strRef>
          </c:tx>
          <c:spPr>
            <a:ln w="19050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FF'!$C$3:$C$200</c:f>
              <c:numCache>
                <c:formatCode>General</c:formatCode>
                <c:ptCount val="198"/>
                <c:pt idx="0">
                  <c:v>2</c:v>
                </c:pt>
                <c:pt idx="1">
                  <c:v>3</c:v>
                </c:pt>
                <c:pt idx="2">
                  <c:v>7</c:v>
                </c:pt>
                <c:pt idx="3">
                  <c:v>17</c:v>
                </c:pt>
                <c:pt idx="4">
                  <c:v>33</c:v>
                </c:pt>
                <c:pt idx="5">
                  <c:v>48</c:v>
                </c:pt>
                <c:pt idx="6">
                  <c:v>64</c:v>
                </c:pt>
                <c:pt idx="7">
                  <c:v>89</c:v>
                </c:pt>
                <c:pt idx="8">
                  <c:v>92</c:v>
                </c:pt>
                <c:pt idx="9">
                  <c:v>86</c:v>
                </c:pt>
                <c:pt idx="10">
                  <c:v>74</c:v>
                </c:pt>
                <c:pt idx="11">
                  <c:v>61</c:v>
                </c:pt>
                <c:pt idx="12">
                  <c:v>45</c:v>
                </c:pt>
                <c:pt idx="13">
                  <c:v>25</c:v>
                </c:pt>
                <c:pt idx="14">
                  <c:v>23</c:v>
                </c:pt>
                <c:pt idx="15">
                  <c:v>24</c:v>
                </c:pt>
                <c:pt idx="16">
                  <c:v>29</c:v>
                </c:pt>
                <c:pt idx="17">
                  <c:v>36</c:v>
                </c:pt>
                <c:pt idx="18">
                  <c:v>42</c:v>
                </c:pt>
                <c:pt idx="19">
                  <c:v>41</c:v>
                </c:pt>
                <c:pt idx="20">
                  <c:v>42</c:v>
                </c:pt>
                <c:pt idx="21">
                  <c:v>41</c:v>
                </c:pt>
                <c:pt idx="22">
                  <c:v>35</c:v>
                </c:pt>
                <c:pt idx="23">
                  <c:v>28</c:v>
                </c:pt>
                <c:pt idx="24">
                  <c:v>24</c:v>
                </c:pt>
                <c:pt idx="25">
                  <c:v>25</c:v>
                </c:pt>
                <c:pt idx="26">
                  <c:v>27</c:v>
                </c:pt>
                <c:pt idx="27">
                  <c:v>34</c:v>
                </c:pt>
                <c:pt idx="28">
                  <c:v>44</c:v>
                </c:pt>
                <c:pt idx="29">
                  <c:v>54</c:v>
                </c:pt>
                <c:pt idx="30">
                  <c:v>56</c:v>
                </c:pt>
                <c:pt idx="31">
                  <c:v>54</c:v>
                </c:pt>
                <c:pt idx="32">
                  <c:v>48</c:v>
                </c:pt>
                <c:pt idx="33">
                  <c:v>41</c:v>
                </c:pt>
                <c:pt idx="34">
                  <c:v>30</c:v>
                </c:pt>
                <c:pt idx="35">
                  <c:v>24</c:v>
                </c:pt>
                <c:pt idx="36">
                  <c:v>22</c:v>
                </c:pt>
                <c:pt idx="37">
                  <c:v>20</c:v>
                </c:pt>
                <c:pt idx="38">
                  <c:v>24</c:v>
                </c:pt>
                <c:pt idx="39">
                  <c:v>28</c:v>
                </c:pt>
                <c:pt idx="40">
                  <c:v>34</c:v>
                </c:pt>
                <c:pt idx="41">
                  <c:v>37</c:v>
                </c:pt>
                <c:pt idx="42">
                  <c:v>44</c:v>
                </c:pt>
                <c:pt idx="43">
                  <c:v>50</c:v>
                </c:pt>
                <c:pt idx="44">
                  <c:v>52</c:v>
                </c:pt>
                <c:pt idx="45">
                  <c:v>50</c:v>
                </c:pt>
                <c:pt idx="46">
                  <c:v>51</c:v>
                </c:pt>
                <c:pt idx="47">
                  <c:v>47</c:v>
                </c:pt>
                <c:pt idx="48">
                  <c:v>44</c:v>
                </c:pt>
                <c:pt idx="49">
                  <c:v>43</c:v>
                </c:pt>
                <c:pt idx="50">
                  <c:v>36</c:v>
                </c:pt>
                <c:pt idx="51">
                  <c:v>32</c:v>
                </c:pt>
                <c:pt idx="52">
                  <c:v>24</c:v>
                </c:pt>
                <c:pt idx="53">
                  <c:v>21</c:v>
                </c:pt>
                <c:pt idx="54">
                  <c:v>20</c:v>
                </c:pt>
                <c:pt idx="55">
                  <c:v>17</c:v>
                </c:pt>
                <c:pt idx="56">
                  <c:v>21</c:v>
                </c:pt>
                <c:pt idx="57">
                  <c:v>24</c:v>
                </c:pt>
                <c:pt idx="58">
                  <c:v>27</c:v>
                </c:pt>
                <c:pt idx="59">
                  <c:v>26</c:v>
                </c:pt>
                <c:pt idx="60">
                  <c:v>19</c:v>
                </c:pt>
                <c:pt idx="61">
                  <c:v>15</c:v>
                </c:pt>
                <c:pt idx="62">
                  <c:v>10</c:v>
                </c:pt>
                <c:pt idx="63">
                  <c:v>5</c:v>
                </c:pt>
                <c:pt idx="64">
                  <c:v>2</c:v>
                </c:pt>
                <c:pt idx="65">
                  <c:v>4</c:v>
                </c:pt>
                <c:pt idx="66">
                  <c:v>7</c:v>
                </c:pt>
                <c:pt idx="67">
                  <c:v>8</c:v>
                </c:pt>
                <c:pt idx="68">
                  <c:v>9</c:v>
                </c:pt>
                <c:pt idx="69">
                  <c:v>10</c:v>
                </c:pt>
                <c:pt idx="70">
                  <c:v>9</c:v>
                </c:pt>
                <c:pt idx="71">
                  <c:v>6</c:v>
                </c:pt>
                <c:pt idx="72">
                  <c:v>3</c:v>
                </c:pt>
                <c:pt idx="73">
                  <c:v>2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00-4A55-925A-DF70F2C0475F}"/>
            </c:ext>
          </c:extLst>
        </c:ser>
        <c:ser>
          <c:idx val="2"/>
          <c:order val="2"/>
          <c:tx>
            <c:strRef>
              <c:f>'Infected FF'!$D$2</c:f>
              <c:strCache>
                <c:ptCount val="1"/>
                <c:pt idx="0">
                  <c:v>Run 3</c:v>
                </c:pt>
              </c:strCache>
            </c:strRef>
          </c:tx>
          <c:spPr>
            <a:ln w="19050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FF'!$D$3:$D$200</c:f>
              <c:numCache>
                <c:formatCode>General</c:formatCode>
                <c:ptCount val="198"/>
                <c:pt idx="0">
                  <c:v>2</c:v>
                </c:pt>
                <c:pt idx="1">
                  <c:v>6</c:v>
                </c:pt>
                <c:pt idx="2">
                  <c:v>11</c:v>
                </c:pt>
                <c:pt idx="3">
                  <c:v>20</c:v>
                </c:pt>
                <c:pt idx="4">
                  <c:v>27</c:v>
                </c:pt>
                <c:pt idx="5">
                  <c:v>34</c:v>
                </c:pt>
                <c:pt idx="6">
                  <c:v>38</c:v>
                </c:pt>
                <c:pt idx="7">
                  <c:v>46</c:v>
                </c:pt>
                <c:pt idx="8">
                  <c:v>52</c:v>
                </c:pt>
                <c:pt idx="9">
                  <c:v>61</c:v>
                </c:pt>
                <c:pt idx="10">
                  <c:v>71</c:v>
                </c:pt>
                <c:pt idx="11">
                  <c:v>70</c:v>
                </c:pt>
                <c:pt idx="12">
                  <c:v>74</c:v>
                </c:pt>
                <c:pt idx="13">
                  <c:v>70</c:v>
                </c:pt>
                <c:pt idx="14">
                  <c:v>62</c:v>
                </c:pt>
                <c:pt idx="15">
                  <c:v>51</c:v>
                </c:pt>
                <c:pt idx="16">
                  <c:v>46</c:v>
                </c:pt>
                <c:pt idx="17">
                  <c:v>46</c:v>
                </c:pt>
                <c:pt idx="18">
                  <c:v>44</c:v>
                </c:pt>
                <c:pt idx="19">
                  <c:v>42</c:v>
                </c:pt>
                <c:pt idx="20">
                  <c:v>44</c:v>
                </c:pt>
                <c:pt idx="21">
                  <c:v>41</c:v>
                </c:pt>
                <c:pt idx="22">
                  <c:v>33</c:v>
                </c:pt>
                <c:pt idx="23">
                  <c:v>31</c:v>
                </c:pt>
                <c:pt idx="24">
                  <c:v>26</c:v>
                </c:pt>
                <c:pt idx="25">
                  <c:v>25</c:v>
                </c:pt>
                <c:pt idx="26">
                  <c:v>24</c:v>
                </c:pt>
                <c:pt idx="27">
                  <c:v>27</c:v>
                </c:pt>
                <c:pt idx="28">
                  <c:v>28</c:v>
                </c:pt>
                <c:pt idx="29">
                  <c:v>27</c:v>
                </c:pt>
                <c:pt idx="30">
                  <c:v>26</c:v>
                </c:pt>
                <c:pt idx="31">
                  <c:v>23</c:v>
                </c:pt>
                <c:pt idx="32">
                  <c:v>19</c:v>
                </c:pt>
                <c:pt idx="33">
                  <c:v>14</c:v>
                </c:pt>
                <c:pt idx="34">
                  <c:v>9</c:v>
                </c:pt>
                <c:pt idx="35">
                  <c:v>8</c:v>
                </c:pt>
                <c:pt idx="36">
                  <c:v>9</c:v>
                </c:pt>
                <c:pt idx="37">
                  <c:v>8</c:v>
                </c:pt>
                <c:pt idx="38">
                  <c:v>12</c:v>
                </c:pt>
                <c:pt idx="39">
                  <c:v>12</c:v>
                </c:pt>
                <c:pt idx="40">
                  <c:v>16</c:v>
                </c:pt>
                <c:pt idx="41">
                  <c:v>16</c:v>
                </c:pt>
                <c:pt idx="42">
                  <c:v>15</c:v>
                </c:pt>
                <c:pt idx="43">
                  <c:v>14</c:v>
                </c:pt>
                <c:pt idx="44">
                  <c:v>11</c:v>
                </c:pt>
                <c:pt idx="45">
                  <c:v>9</c:v>
                </c:pt>
                <c:pt idx="46">
                  <c:v>5</c:v>
                </c:pt>
                <c:pt idx="47">
                  <c:v>4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00-4A55-925A-DF70F2C0475F}"/>
            </c:ext>
          </c:extLst>
        </c:ser>
        <c:ser>
          <c:idx val="3"/>
          <c:order val="3"/>
          <c:tx>
            <c:strRef>
              <c:f>'Infected FF'!$E$2</c:f>
              <c:strCache>
                <c:ptCount val="1"/>
                <c:pt idx="0">
                  <c:v>Run 4</c:v>
                </c:pt>
              </c:strCache>
            </c:strRef>
          </c:tx>
          <c:spPr>
            <a:ln w="19050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FF'!$E$3:$E$200</c:f>
              <c:numCache>
                <c:formatCode>General</c:formatCode>
                <c:ptCount val="198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13</c:v>
                </c:pt>
                <c:pt idx="4">
                  <c:v>20</c:v>
                </c:pt>
                <c:pt idx="5">
                  <c:v>39</c:v>
                </c:pt>
                <c:pt idx="6">
                  <c:v>52</c:v>
                </c:pt>
                <c:pt idx="7">
                  <c:v>67</c:v>
                </c:pt>
                <c:pt idx="8">
                  <c:v>84</c:v>
                </c:pt>
                <c:pt idx="9">
                  <c:v>90</c:v>
                </c:pt>
                <c:pt idx="10">
                  <c:v>89</c:v>
                </c:pt>
                <c:pt idx="11">
                  <c:v>73</c:v>
                </c:pt>
                <c:pt idx="12">
                  <c:v>60</c:v>
                </c:pt>
                <c:pt idx="13">
                  <c:v>49</c:v>
                </c:pt>
                <c:pt idx="14">
                  <c:v>31</c:v>
                </c:pt>
                <c:pt idx="15">
                  <c:v>20</c:v>
                </c:pt>
                <c:pt idx="16">
                  <c:v>20</c:v>
                </c:pt>
                <c:pt idx="17">
                  <c:v>24</c:v>
                </c:pt>
                <c:pt idx="18">
                  <c:v>31</c:v>
                </c:pt>
                <c:pt idx="19">
                  <c:v>36</c:v>
                </c:pt>
                <c:pt idx="20">
                  <c:v>43</c:v>
                </c:pt>
                <c:pt idx="21">
                  <c:v>46</c:v>
                </c:pt>
                <c:pt idx="22">
                  <c:v>50</c:v>
                </c:pt>
                <c:pt idx="23">
                  <c:v>50</c:v>
                </c:pt>
                <c:pt idx="24">
                  <c:v>52</c:v>
                </c:pt>
                <c:pt idx="25">
                  <c:v>50</c:v>
                </c:pt>
                <c:pt idx="26">
                  <c:v>53</c:v>
                </c:pt>
                <c:pt idx="27">
                  <c:v>59</c:v>
                </c:pt>
                <c:pt idx="28">
                  <c:v>58</c:v>
                </c:pt>
                <c:pt idx="29">
                  <c:v>68</c:v>
                </c:pt>
                <c:pt idx="30">
                  <c:v>67</c:v>
                </c:pt>
                <c:pt idx="31">
                  <c:v>68</c:v>
                </c:pt>
                <c:pt idx="32">
                  <c:v>63</c:v>
                </c:pt>
                <c:pt idx="33">
                  <c:v>56</c:v>
                </c:pt>
                <c:pt idx="34">
                  <c:v>56</c:v>
                </c:pt>
                <c:pt idx="35">
                  <c:v>44</c:v>
                </c:pt>
                <c:pt idx="36">
                  <c:v>38</c:v>
                </c:pt>
                <c:pt idx="37">
                  <c:v>30</c:v>
                </c:pt>
                <c:pt idx="38">
                  <c:v>24</c:v>
                </c:pt>
                <c:pt idx="39">
                  <c:v>19</c:v>
                </c:pt>
                <c:pt idx="40">
                  <c:v>12</c:v>
                </c:pt>
                <c:pt idx="41">
                  <c:v>11</c:v>
                </c:pt>
                <c:pt idx="42">
                  <c:v>10</c:v>
                </c:pt>
                <c:pt idx="43">
                  <c:v>15</c:v>
                </c:pt>
                <c:pt idx="44">
                  <c:v>16</c:v>
                </c:pt>
                <c:pt idx="45">
                  <c:v>22</c:v>
                </c:pt>
                <c:pt idx="46">
                  <c:v>22</c:v>
                </c:pt>
                <c:pt idx="47">
                  <c:v>19</c:v>
                </c:pt>
                <c:pt idx="48">
                  <c:v>16</c:v>
                </c:pt>
                <c:pt idx="49">
                  <c:v>12</c:v>
                </c:pt>
                <c:pt idx="50">
                  <c:v>11</c:v>
                </c:pt>
                <c:pt idx="51">
                  <c:v>5</c:v>
                </c:pt>
                <c:pt idx="52">
                  <c:v>5</c:v>
                </c:pt>
                <c:pt idx="53">
                  <c:v>6</c:v>
                </c:pt>
                <c:pt idx="54">
                  <c:v>8</c:v>
                </c:pt>
                <c:pt idx="55">
                  <c:v>12</c:v>
                </c:pt>
                <c:pt idx="56">
                  <c:v>15</c:v>
                </c:pt>
                <c:pt idx="57">
                  <c:v>20</c:v>
                </c:pt>
                <c:pt idx="58">
                  <c:v>26</c:v>
                </c:pt>
                <c:pt idx="59">
                  <c:v>29</c:v>
                </c:pt>
                <c:pt idx="60">
                  <c:v>32</c:v>
                </c:pt>
                <c:pt idx="61">
                  <c:v>28</c:v>
                </c:pt>
                <c:pt idx="62">
                  <c:v>26</c:v>
                </c:pt>
                <c:pt idx="63">
                  <c:v>21</c:v>
                </c:pt>
                <c:pt idx="64">
                  <c:v>14</c:v>
                </c:pt>
                <c:pt idx="65">
                  <c:v>10</c:v>
                </c:pt>
                <c:pt idx="66">
                  <c:v>5</c:v>
                </c:pt>
                <c:pt idx="67">
                  <c:v>5</c:v>
                </c:pt>
                <c:pt idx="68">
                  <c:v>4</c:v>
                </c:pt>
                <c:pt idx="69">
                  <c:v>5</c:v>
                </c:pt>
                <c:pt idx="70">
                  <c:v>5</c:v>
                </c:pt>
                <c:pt idx="71">
                  <c:v>4</c:v>
                </c:pt>
                <c:pt idx="72">
                  <c:v>4</c:v>
                </c:pt>
                <c:pt idx="73">
                  <c:v>3</c:v>
                </c:pt>
                <c:pt idx="74">
                  <c:v>2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00-4A55-925A-DF70F2C0475F}"/>
            </c:ext>
          </c:extLst>
        </c:ser>
        <c:ser>
          <c:idx val="4"/>
          <c:order val="4"/>
          <c:tx>
            <c:strRef>
              <c:f>'Infected FF'!$F$2</c:f>
              <c:strCache>
                <c:ptCount val="1"/>
                <c:pt idx="0">
                  <c:v>Run 5</c:v>
                </c:pt>
              </c:strCache>
            </c:strRef>
          </c:tx>
          <c:spPr>
            <a:ln w="19050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FF'!$F$3:$F$200</c:f>
              <c:numCache>
                <c:formatCode>General</c:formatCode>
                <c:ptCount val="198"/>
                <c:pt idx="0">
                  <c:v>2</c:v>
                </c:pt>
                <c:pt idx="1">
                  <c:v>4</c:v>
                </c:pt>
                <c:pt idx="2">
                  <c:v>9</c:v>
                </c:pt>
                <c:pt idx="3">
                  <c:v>15</c:v>
                </c:pt>
                <c:pt idx="4">
                  <c:v>23</c:v>
                </c:pt>
                <c:pt idx="5">
                  <c:v>33</c:v>
                </c:pt>
                <c:pt idx="6">
                  <c:v>41</c:v>
                </c:pt>
                <c:pt idx="7">
                  <c:v>48</c:v>
                </c:pt>
                <c:pt idx="8">
                  <c:v>58</c:v>
                </c:pt>
                <c:pt idx="9">
                  <c:v>69</c:v>
                </c:pt>
                <c:pt idx="10">
                  <c:v>95</c:v>
                </c:pt>
                <c:pt idx="11">
                  <c:v>112</c:v>
                </c:pt>
                <c:pt idx="12">
                  <c:v>109</c:v>
                </c:pt>
                <c:pt idx="13">
                  <c:v>108</c:v>
                </c:pt>
                <c:pt idx="14">
                  <c:v>94</c:v>
                </c:pt>
                <c:pt idx="15">
                  <c:v>81</c:v>
                </c:pt>
                <c:pt idx="16">
                  <c:v>49</c:v>
                </c:pt>
                <c:pt idx="17">
                  <c:v>24</c:v>
                </c:pt>
                <c:pt idx="18">
                  <c:v>22</c:v>
                </c:pt>
                <c:pt idx="19">
                  <c:v>23</c:v>
                </c:pt>
                <c:pt idx="20">
                  <c:v>33</c:v>
                </c:pt>
                <c:pt idx="21">
                  <c:v>39</c:v>
                </c:pt>
                <c:pt idx="22">
                  <c:v>42</c:v>
                </c:pt>
                <c:pt idx="23">
                  <c:v>49</c:v>
                </c:pt>
                <c:pt idx="24">
                  <c:v>48</c:v>
                </c:pt>
                <c:pt idx="25">
                  <c:v>52</c:v>
                </c:pt>
                <c:pt idx="26">
                  <c:v>45</c:v>
                </c:pt>
                <c:pt idx="27">
                  <c:v>43</c:v>
                </c:pt>
                <c:pt idx="28">
                  <c:v>41</c:v>
                </c:pt>
                <c:pt idx="29">
                  <c:v>32</c:v>
                </c:pt>
                <c:pt idx="30">
                  <c:v>32</c:v>
                </c:pt>
                <c:pt idx="31">
                  <c:v>20</c:v>
                </c:pt>
                <c:pt idx="32">
                  <c:v>17</c:v>
                </c:pt>
                <c:pt idx="33">
                  <c:v>19</c:v>
                </c:pt>
                <c:pt idx="34">
                  <c:v>20</c:v>
                </c:pt>
                <c:pt idx="35">
                  <c:v>28</c:v>
                </c:pt>
                <c:pt idx="36">
                  <c:v>31</c:v>
                </c:pt>
                <c:pt idx="37">
                  <c:v>39</c:v>
                </c:pt>
                <c:pt idx="38">
                  <c:v>51</c:v>
                </c:pt>
                <c:pt idx="39">
                  <c:v>45</c:v>
                </c:pt>
                <c:pt idx="40">
                  <c:v>53</c:v>
                </c:pt>
                <c:pt idx="41">
                  <c:v>52</c:v>
                </c:pt>
                <c:pt idx="42">
                  <c:v>49</c:v>
                </c:pt>
                <c:pt idx="43">
                  <c:v>44</c:v>
                </c:pt>
                <c:pt idx="44">
                  <c:v>33</c:v>
                </c:pt>
                <c:pt idx="45">
                  <c:v>30</c:v>
                </c:pt>
                <c:pt idx="46">
                  <c:v>21</c:v>
                </c:pt>
                <c:pt idx="47">
                  <c:v>14</c:v>
                </c:pt>
                <c:pt idx="48">
                  <c:v>10</c:v>
                </c:pt>
                <c:pt idx="49">
                  <c:v>6</c:v>
                </c:pt>
                <c:pt idx="50">
                  <c:v>4</c:v>
                </c:pt>
                <c:pt idx="51">
                  <c:v>3</c:v>
                </c:pt>
                <c:pt idx="52">
                  <c:v>4</c:v>
                </c:pt>
                <c:pt idx="53">
                  <c:v>6</c:v>
                </c:pt>
                <c:pt idx="54">
                  <c:v>10</c:v>
                </c:pt>
                <c:pt idx="55">
                  <c:v>15</c:v>
                </c:pt>
                <c:pt idx="56">
                  <c:v>21</c:v>
                </c:pt>
                <c:pt idx="57">
                  <c:v>24</c:v>
                </c:pt>
                <c:pt idx="58">
                  <c:v>24</c:v>
                </c:pt>
                <c:pt idx="59">
                  <c:v>22</c:v>
                </c:pt>
                <c:pt idx="60">
                  <c:v>20</c:v>
                </c:pt>
                <c:pt idx="61">
                  <c:v>15</c:v>
                </c:pt>
                <c:pt idx="62">
                  <c:v>9</c:v>
                </c:pt>
                <c:pt idx="63">
                  <c:v>11</c:v>
                </c:pt>
                <c:pt idx="64">
                  <c:v>9</c:v>
                </c:pt>
                <c:pt idx="65">
                  <c:v>11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14</c:v>
                </c:pt>
                <c:pt idx="70">
                  <c:v>12</c:v>
                </c:pt>
                <c:pt idx="71">
                  <c:v>12</c:v>
                </c:pt>
                <c:pt idx="72">
                  <c:v>5</c:v>
                </c:pt>
                <c:pt idx="73">
                  <c:v>6</c:v>
                </c:pt>
                <c:pt idx="74">
                  <c:v>9</c:v>
                </c:pt>
                <c:pt idx="75">
                  <c:v>10</c:v>
                </c:pt>
                <c:pt idx="76">
                  <c:v>14</c:v>
                </c:pt>
                <c:pt idx="77">
                  <c:v>15</c:v>
                </c:pt>
                <c:pt idx="78">
                  <c:v>16</c:v>
                </c:pt>
                <c:pt idx="79">
                  <c:v>16</c:v>
                </c:pt>
                <c:pt idx="80">
                  <c:v>12</c:v>
                </c:pt>
                <c:pt idx="81">
                  <c:v>10</c:v>
                </c:pt>
                <c:pt idx="82">
                  <c:v>6</c:v>
                </c:pt>
                <c:pt idx="83">
                  <c:v>3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00-4A55-925A-DF70F2C0475F}"/>
            </c:ext>
          </c:extLst>
        </c:ser>
        <c:ser>
          <c:idx val="5"/>
          <c:order val="5"/>
          <c:tx>
            <c:strRef>
              <c:f>'Infected FF'!$G$2</c:f>
              <c:strCache>
                <c:ptCount val="1"/>
                <c:pt idx="0">
                  <c:v>Run 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FF'!$G$3:$G$200</c:f>
              <c:numCache>
                <c:formatCode>General</c:formatCode>
                <c:ptCount val="198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17</c:v>
                </c:pt>
                <c:pt idx="6">
                  <c:v>19</c:v>
                </c:pt>
                <c:pt idx="7">
                  <c:v>29</c:v>
                </c:pt>
                <c:pt idx="8">
                  <c:v>39</c:v>
                </c:pt>
                <c:pt idx="9">
                  <c:v>51</c:v>
                </c:pt>
                <c:pt idx="10">
                  <c:v>68</c:v>
                </c:pt>
                <c:pt idx="11">
                  <c:v>89</c:v>
                </c:pt>
                <c:pt idx="12">
                  <c:v>103</c:v>
                </c:pt>
                <c:pt idx="13">
                  <c:v>102</c:v>
                </c:pt>
                <c:pt idx="14">
                  <c:v>99</c:v>
                </c:pt>
                <c:pt idx="15">
                  <c:v>88</c:v>
                </c:pt>
                <c:pt idx="16">
                  <c:v>71</c:v>
                </c:pt>
                <c:pt idx="17">
                  <c:v>44</c:v>
                </c:pt>
                <c:pt idx="18">
                  <c:v>30</c:v>
                </c:pt>
                <c:pt idx="19">
                  <c:v>22</c:v>
                </c:pt>
                <c:pt idx="20">
                  <c:v>18</c:v>
                </c:pt>
                <c:pt idx="21">
                  <c:v>20</c:v>
                </c:pt>
                <c:pt idx="22">
                  <c:v>22</c:v>
                </c:pt>
                <c:pt idx="23">
                  <c:v>25</c:v>
                </c:pt>
                <c:pt idx="24">
                  <c:v>23</c:v>
                </c:pt>
                <c:pt idx="25">
                  <c:v>26</c:v>
                </c:pt>
                <c:pt idx="26">
                  <c:v>22</c:v>
                </c:pt>
                <c:pt idx="27">
                  <c:v>19</c:v>
                </c:pt>
                <c:pt idx="28">
                  <c:v>15</c:v>
                </c:pt>
                <c:pt idx="29">
                  <c:v>11</c:v>
                </c:pt>
                <c:pt idx="30">
                  <c:v>11</c:v>
                </c:pt>
                <c:pt idx="31">
                  <c:v>8</c:v>
                </c:pt>
                <c:pt idx="32">
                  <c:v>11</c:v>
                </c:pt>
                <c:pt idx="33">
                  <c:v>11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13</c:v>
                </c:pt>
                <c:pt idx="38">
                  <c:v>12</c:v>
                </c:pt>
                <c:pt idx="39">
                  <c:v>14</c:v>
                </c:pt>
                <c:pt idx="40">
                  <c:v>14</c:v>
                </c:pt>
                <c:pt idx="41">
                  <c:v>16</c:v>
                </c:pt>
                <c:pt idx="42">
                  <c:v>16</c:v>
                </c:pt>
                <c:pt idx="43">
                  <c:v>18</c:v>
                </c:pt>
                <c:pt idx="44">
                  <c:v>17</c:v>
                </c:pt>
                <c:pt idx="45">
                  <c:v>15</c:v>
                </c:pt>
                <c:pt idx="46">
                  <c:v>14</c:v>
                </c:pt>
                <c:pt idx="47">
                  <c:v>12</c:v>
                </c:pt>
                <c:pt idx="48">
                  <c:v>12</c:v>
                </c:pt>
                <c:pt idx="49">
                  <c:v>13</c:v>
                </c:pt>
                <c:pt idx="50">
                  <c:v>13</c:v>
                </c:pt>
                <c:pt idx="51">
                  <c:v>16</c:v>
                </c:pt>
                <c:pt idx="52">
                  <c:v>20</c:v>
                </c:pt>
                <c:pt idx="53">
                  <c:v>23</c:v>
                </c:pt>
                <c:pt idx="54">
                  <c:v>25</c:v>
                </c:pt>
                <c:pt idx="55">
                  <c:v>22</c:v>
                </c:pt>
                <c:pt idx="56">
                  <c:v>24</c:v>
                </c:pt>
                <c:pt idx="57">
                  <c:v>22</c:v>
                </c:pt>
                <c:pt idx="58">
                  <c:v>18</c:v>
                </c:pt>
                <c:pt idx="59">
                  <c:v>16</c:v>
                </c:pt>
                <c:pt idx="60">
                  <c:v>14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17</c:v>
                </c:pt>
                <c:pt idx="65">
                  <c:v>20</c:v>
                </c:pt>
                <c:pt idx="66">
                  <c:v>22</c:v>
                </c:pt>
                <c:pt idx="67">
                  <c:v>23</c:v>
                </c:pt>
                <c:pt idx="68">
                  <c:v>24</c:v>
                </c:pt>
                <c:pt idx="69">
                  <c:v>23</c:v>
                </c:pt>
                <c:pt idx="70">
                  <c:v>21</c:v>
                </c:pt>
                <c:pt idx="71">
                  <c:v>17</c:v>
                </c:pt>
                <c:pt idx="72">
                  <c:v>14</c:v>
                </c:pt>
                <c:pt idx="73">
                  <c:v>13</c:v>
                </c:pt>
                <c:pt idx="74">
                  <c:v>10</c:v>
                </c:pt>
                <c:pt idx="75">
                  <c:v>10</c:v>
                </c:pt>
                <c:pt idx="76">
                  <c:v>11</c:v>
                </c:pt>
                <c:pt idx="77">
                  <c:v>13</c:v>
                </c:pt>
                <c:pt idx="78">
                  <c:v>15</c:v>
                </c:pt>
                <c:pt idx="79">
                  <c:v>12</c:v>
                </c:pt>
                <c:pt idx="80">
                  <c:v>12</c:v>
                </c:pt>
                <c:pt idx="81">
                  <c:v>10</c:v>
                </c:pt>
                <c:pt idx="82">
                  <c:v>9</c:v>
                </c:pt>
                <c:pt idx="83">
                  <c:v>6</c:v>
                </c:pt>
                <c:pt idx="84">
                  <c:v>4</c:v>
                </c:pt>
                <c:pt idx="85">
                  <c:v>4</c:v>
                </c:pt>
                <c:pt idx="86">
                  <c:v>5</c:v>
                </c:pt>
                <c:pt idx="87">
                  <c:v>7</c:v>
                </c:pt>
                <c:pt idx="88">
                  <c:v>10</c:v>
                </c:pt>
                <c:pt idx="89">
                  <c:v>12</c:v>
                </c:pt>
                <c:pt idx="90">
                  <c:v>11</c:v>
                </c:pt>
                <c:pt idx="91">
                  <c:v>10</c:v>
                </c:pt>
                <c:pt idx="92">
                  <c:v>7</c:v>
                </c:pt>
                <c:pt idx="93">
                  <c:v>5</c:v>
                </c:pt>
                <c:pt idx="94">
                  <c:v>3</c:v>
                </c:pt>
                <c:pt idx="95">
                  <c:v>4</c:v>
                </c:pt>
                <c:pt idx="96">
                  <c:v>6</c:v>
                </c:pt>
                <c:pt idx="97">
                  <c:v>9</c:v>
                </c:pt>
                <c:pt idx="98">
                  <c:v>9</c:v>
                </c:pt>
                <c:pt idx="99">
                  <c:v>9</c:v>
                </c:pt>
                <c:pt idx="100">
                  <c:v>8</c:v>
                </c:pt>
                <c:pt idx="101">
                  <c:v>5</c:v>
                </c:pt>
                <c:pt idx="102">
                  <c:v>5</c:v>
                </c:pt>
                <c:pt idx="103">
                  <c:v>3</c:v>
                </c:pt>
                <c:pt idx="104">
                  <c:v>4</c:v>
                </c:pt>
                <c:pt idx="105">
                  <c:v>5</c:v>
                </c:pt>
                <c:pt idx="106">
                  <c:v>6</c:v>
                </c:pt>
                <c:pt idx="107">
                  <c:v>7</c:v>
                </c:pt>
                <c:pt idx="108">
                  <c:v>6</c:v>
                </c:pt>
                <c:pt idx="109">
                  <c:v>9</c:v>
                </c:pt>
                <c:pt idx="110">
                  <c:v>11</c:v>
                </c:pt>
                <c:pt idx="111">
                  <c:v>12</c:v>
                </c:pt>
                <c:pt idx="112">
                  <c:v>15</c:v>
                </c:pt>
                <c:pt idx="113">
                  <c:v>19</c:v>
                </c:pt>
                <c:pt idx="114">
                  <c:v>20</c:v>
                </c:pt>
                <c:pt idx="115">
                  <c:v>20</c:v>
                </c:pt>
                <c:pt idx="116">
                  <c:v>19</c:v>
                </c:pt>
                <c:pt idx="117">
                  <c:v>18</c:v>
                </c:pt>
                <c:pt idx="118">
                  <c:v>14</c:v>
                </c:pt>
                <c:pt idx="119">
                  <c:v>9</c:v>
                </c:pt>
                <c:pt idx="120">
                  <c:v>7</c:v>
                </c:pt>
                <c:pt idx="121">
                  <c:v>3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C00-4A55-925A-DF70F2C0475F}"/>
            </c:ext>
          </c:extLst>
        </c:ser>
        <c:ser>
          <c:idx val="6"/>
          <c:order val="6"/>
          <c:tx>
            <c:strRef>
              <c:f>'Infected FF'!$H$2</c:f>
              <c:strCache>
                <c:ptCount val="1"/>
                <c:pt idx="0">
                  <c:v>Run 7</c:v>
                </c:pt>
              </c:strCache>
            </c:strRef>
          </c:tx>
          <c:spPr>
            <a:ln w="19050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FF'!$H$3:$H$200</c:f>
              <c:numCache>
                <c:formatCode>General</c:formatCode>
                <c:ptCount val="198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14</c:v>
                </c:pt>
                <c:pt idx="5">
                  <c:v>16</c:v>
                </c:pt>
                <c:pt idx="6">
                  <c:v>19</c:v>
                </c:pt>
                <c:pt idx="7">
                  <c:v>20</c:v>
                </c:pt>
                <c:pt idx="8">
                  <c:v>25</c:v>
                </c:pt>
                <c:pt idx="9">
                  <c:v>26</c:v>
                </c:pt>
                <c:pt idx="10">
                  <c:v>29</c:v>
                </c:pt>
                <c:pt idx="11">
                  <c:v>31</c:v>
                </c:pt>
                <c:pt idx="12">
                  <c:v>33</c:v>
                </c:pt>
                <c:pt idx="13">
                  <c:v>34</c:v>
                </c:pt>
                <c:pt idx="14">
                  <c:v>33</c:v>
                </c:pt>
                <c:pt idx="15">
                  <c:v>32</c:v>
                </c:pt>
                <c:pt idx="16">
                  <c:v>28</c:v>
                </c:pt>
                <c:pt idx="17">
                  <c:v>28</c:v>
                </c:pt>
                <c:pt idx="18">
                  <c:v>27</c:v>
                </c:pt>
                <c:pt idx="19">
                  <c:v>29</c:v>
                </c:pt>
                <c:pt idx="20">
                  <c:v>31</c:v>
                </c:pt>
                <c:pt idx="21">
                  <c:v>36</c:v>
                </c:pt>
                <c:pt idx="22">
                  <c:v>43</c:v>
                </c:pt>
                <c:pt idx="23">
                  <c:v>46</c:v>
                </c:pt>
                <c:pt idx="24">
                  <c:v>47</c:v>
                </c:pt>
                <c:pt idx="25">
                  <c:v>54</c:v>
                </c:pt>
                <c:pt idx="26">
                  <c:v>64</c:v>
                </c:pt>
                <c:pt idx="27">
                  <c:v>70</c:v>
                </c:pt>
                <c:pt idx="28">
                  <c:v>79</c:v>
                </c:pt>
                <c:pt idx="29">
                  <c:v>85</c:v>
                </c:pt>
                <c:pt idx="30">
                  <c:v>88</c:v>
                </c:pt>
                <c:pt idx="31">
                  <c:v>82</c:v>
                </c:pt>
                <c:pt idx="32">
                  <c:v>71</c:v>
                </c:pt>
                <c:pt idx="33">
                  <c:v>60</c:v>
                </c:pt>
                <c:pt idx="34">
                  <c:v>48</c:v>
                </c:pt>
                <c:pt idx="35">
                  <c:v>42</c:v>
                </c:pt>
                <c:pt idx="36">
                  <c:v>41</c:v>
                </c:pt>
                <c:pt idx="37">
                  <c:v>38</c:v>
                </c:pt>
                <c:pt idx="38">
                  <c:v>39</c:v>
                </c:pt>
                <c:pt idx="39">
                  <c:v>37</c:v>
                </c:pt>
                <c:pt idx="40">
                  <c:v>35</c:v>
                </c:pt>
                <c:pt idx="41">
                  <c:v>33</c:v>
                </c:pt>
                <c:pt idx="42">
                  <c:v>27</c:v>
                </c:pt>
                <c:pt idx="43">
                  <c:v>27</c:v>
                </c:pt>
                <c:pt idx="44">
                  <c:v>21</c:v>
                </c:pt>
                <c:pt idx="45">
                  <c:v>19</c:v>
                </c:pt>
                <c:pt idx="46">
                  <c:v>16</c:v>
                </c:pt>
                <c:pt idx="47">
                  <c:v>14</c:v>
                </c:pt>
                <c:pt idx="48">
                  <c:v>12</c:v>
                </c:pt>
                <c:pt idx="49">
                  <c:v>12</c:v>
                </c:pt>
                <c:pt idx="50">
                  <c:v>10</c:v>
                </c:pt>
                <c:pt idx="51">
                  <c:v>9</c:v>
                </c:pt>
                <c:pt idx="52">
                  <c:v>8</c:v>
                </c:pt>
                <c:pt idx="53">
                  <c:v>5</c:v>
                </c:pt>
                <c:pt idx="54">
                  <c:v>4</c:v>
                </c:pt>
                <c:pt idx="55">
                  <c:v>4</c:v>
                </c:pt>
                <c:pt idx="56">
                  <c:v>5</c:v>
                </c:pt>
                <c:pt idx="57">
                  <c:v>8</c:v>
                </c:pt>
                <c:pt idx="58">
                  <c:v>9</c:v>
                </c:pt>
                <c:pt idx="59">
                  <c:v>11</c:v>
                </c:pt>
                <c:pt idx="60">
                  <c:v>12</c:v>
                </c:pt>
                <c:pt idx="61">
                  <c:v>11</c:v>
                </c:pt>
                <c:pt idx="62">
                  <c:v>11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11</c:v>
                </c:pt>
                <c:pt idx="67">
                  <c:v>10</c:v>
                </c:pt>
                <c:pt idx="68">
                  <c:v>9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16</c:v>
                </c:pt>
                <c:pt idx="73">
                  <c:v>15</c:v>
                </c:pt>
                <c:pt idx="74">
                  <c:v>17</c:v>
                </c:pt>
                <c:pt idx="75">
                  <c:v>15</c:v>
                </c:pt>
                <c:pt idx="76">
                  <c:v>13</c:v>
                </c:pt>
                <c:pt idx="77">
                  <c:v>12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C00-4A55-925A-DF70F2C0475F}"/>
            </c:ext>
          </c:extLst>
        </c:ser>
        <c:ser>
          <c:idx val="7"/>
          <c:order val="7"/>
          <c:tx>
            <c:strRef>
              <c:f>'Infected FF'!$I$2</c:f>
              <c:strCache>
                <c:ptCount val="1"/>
                <c:pt idx="0">
                  <c:v>Run 8</c:v>
                </c:pt>
              </c:strCache>
            </c:strRef>
          </c:tx>
          <c:spPr>
            <a:ln w="19050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FF'!$I$3:$I$200</c:f>
              <c:numCache>
                <c:formatCode>General</c:formatCode>
                <c:ptCount val="198"/>
                <c:pt idx="0">
                  <c:v>2</c:v>
                </c:pt>
                <c:pt idx="1">
                  <c:v>5</c:v>
                </c:pt>
                <c:pt idx="2">
                  <c:v>12</c:v>
                </c:pt>
                <c:pt idx="3">
                  <c:v>23</c:v>
                </c:pt>
                <c:pt idx="4">
                  <c:v>31</c:v>
                </c:pt>
                <c:pt idx="5">
                  <c:v>44</c:v>
                </c:pt>
                <c:pt idx="6">
                  <c:v>56</c:v>
                </c:pt>
                <c:pt idx="7">
                  <c:v>67</c:v>
                </c:pt>
                <c:pt idx="8">
                  <c:v>67</c:v>
                </c:pt>
                <c:pt idx="9">
                  <c:v>64</c:v>
                </c:pt>
                <c:pt idx="10">
                  <c:v>61</c:v>
                </c:pt>
                <c:pt idx="11">
                  <c:v>54</c:v>
                </c:pt>
                <c:pt idx="12">
                  <c:v>44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25</c:v>
                </c:pt>
                <c:pt idx="17">
                  <c:v>21</c:v>
                </c:pt>
                <c:pt idx="18">
                  <c:v>20</c:v>
                </c:pt>
                <c:pt idx="19">
                  <c:v>22</c:v>
                </c:pt>
                <c:pt idx="20">
                  <c:v>21</c:v>
                </c:pt>
                <c:pt idx="21">
                  <c:v>22</c:v>
                </c:pt>
                <c:pt idx="22">
                  <c:v>21</c:v>
                </c:pt>
                <c:pt idx="23">
                  <c:v>22</c:v>
                </c:pt>
                <c:pt idx="24">
                  <c:v>22</c:v>
                </c:pt>
                <c:pt idx="25">
                  <c:v>15</c:v>
                </c:pt>
                <c:pt idx="26">
                  <c:v>16</c:v>
                </c:pt>
                <c:pt idx="27">
                  <c:v>13</c:v>
                </c:pt>
                <c:pt idx="28">
                  <c:v>9</c:v>
                </c:pt>
                <c:pt idx="29">
                  <c:v>11</c:v>
                </c:pt>
                <c:pt idx="30">
                  <c:v>13</c:v>
                </c:pt>
                <c:pt idx="31">
                  <c:v>19</c:v>
                </c:pt>
                <c:pt idx="32">
                  <c:v>33</c:v>
                </c:pt>
                <c:pt idx="33">
                  <c:v>36</c:v>
                </c:pt>
                <c:pt idx="34">
                  <c:v>44</c:v>
                </c:pt>
                <c:pt idx="35">
                  <c:v>50</c:v>
                </c:pt>
                <c:pt idx="36">
                  <c:v>49</c:v>
                </c:pt>
                <c:pt idx="37">
                  <c:v>48</c:v>
                </c:pt>
                <c:pt idx="38">
                  <c:v>39</c:v>
                </c:pt>
                <c:pt idx="39">
                  <c:v>39</c:v>
                </c:pt>
                <c:pt idx="40">
                  <c:v>41</c:v>
                </c:pt>
                <c:pt idx="41">
                  <c:v>33</c:v>
                </c:pt>
                <c:pt idx="42">
                  <c:v>35</c:v>
                </c:pt>
                <c:pt idx="43">
                  <c:v>38</c:v>
                </c:pt>
                <c:pt idx="44">
                  <c:v>39</c:v>
                </c:pt>
                <c:pt idx="45">
                  <c:v>43</c:v>
                </c:pt>
                <c:pt idx="46">
                  <c:v>42</c:v>
                </c:pt>
                <c:pt idx="47">
                  <c:v>49</c:v>
                </c:pt>
                <c:pt idx="48">
                  <c:v>54</c:v>
                </c:pt>
                <c:pt idx="49">
                  <c:v>56</c:v>
                </c:pt>
                <c:pt idx="50">
                  <c:v>56</c:v>
                </c:pt>
                <c:pt idx="51">
                  <c:v>62</c:v>
                </c:pt>
                <c:pt idx="52">
                  <c:v>63</c:v>
                </c:pt>
                <c:pt idx="53">
                  <c:v>68</c:v>
                </c:pt>
                <c:pt idx="54">
                  <c:v>65</c:v>
                </c:pt>
                <c:pt idx="55">
                  <c:v>62</c:v>
                </c:pt>
                <c:pt idx="56">
                  <c:v>61</c:v>
                </c:pt>
                <c:pt idx="57">
                  <c:v>48</c:v>
                </c:pt>
                <c:pt idx="58">
                  <c:v>42</c:v>
                </c:pt>
                <c:pt idx="59">
                  <c:v>27</c:v>
                </c:pt>
                <c:pt idx="60">
                  <c:v>19</c:v>
                </c:pt>
                <c:pt idx="61">
                  <c:v>12</c:v>
                </c:pt>
                <c:pt idx="62">
                  <c:v>5</c:v>
                </c:pt>
                <c:pt idx="63">
                  <c:v>4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5</c:v>
                </c:pt>
                <c:pt idx="68">
                  <c:v>6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10</c:v>
                </c:pt>
                <c:pt idx="74">
                  <c:v>11</c:v>
                </c:pt>
                <c:pt idx="75">
                  <c:v>14</c:v>
                </c:pt>
                <c:pt idx="76">
                  <c:v>15</c:v>
                </c:pt>
                <c:pt idx="77">
                  <c:v>29</c:v>
                </c:pt>
                <c:pt idx="78">
                  <c:v>33</c:v>
                </c:pt>
                <c:pt idx="79">
                  <c:v>34</c:v>
                </c:pt>
                <c:pt idx="80">
                  <c:v>36</c:v>
                </c:pt>
                <c:pt idx="81">
                  <c:v>29</c:v>
                </c:pt>
                <c:pt idx="82">
                  <c:v>27</c:v>
                </c:pt>
                <c:pt idx="83">
                  <c:v>13</c:v>
                </c:pt>
                <c:pt idx="84">
                  <c:v>8</c:v>
                </c:pt>
                <c:pt idx="85">
                  <c:v>8</c:v>
                </c:pt>
                <c:pt idx="86">
                  <c:v>4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12</c:v>
                </c:pt>
                <c:pt idx="91">
                  <c:v>12</c:v>
                </c:pt>
                <c:pt idx="92">
                  <c:v>14</c:v>
                </c:pt>
                <c:pt idx="93">
                  <c:v>19</c:v>
                </c:pt>
                <c:pt idx="94">
                  <c:v>22</c:v>
                </c:pt>
                <c:pt idx="95">
                  <c:v>24</c:v>
                </c:pt>
                <c:pt idx="96">
                  <c:v>17</c:v>
                </c:pt>
                <c:pt idx="97">
                  <c:v>20</c:v>
                </c:pt>
                <c:pt idx="98">
                  <c:v>19</c:v>
                </c:pt>
                <c:pt idx="99">
                  <c:v>14</c:v>
                </c:pt>
                <c:pt idx="100">
                  <c:v>11</c:v>
                </c:pt>
                <c:pt idx="101">
                  <c:v>9</c:v>
                </c:pt>
                <c:pt idx="102">
                  <c:v>8</c:v>
                </c:pt>
                <c:pt idx="103">
                  <c:v>4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6</c:v>
                </c:pt>
                <c:pt idx="111">
                  <c:v>4</c:v>
                </c:pt>
                <c:pt idx="112">
                  <c:v>3</c:v>
                </c:pt>
                <c:pt idx="113">
                  <c:v>2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C00-4A55-925A-DF70F2C0475F}"/>
            </c:ext>
          </c:extLst>
        </c:ser>
        <c:ser>
          <c:idx val="8"/>
          <c:order val="8"/>
          <c:tx>
            <c:strRef>
              <c:f>'Infected FF'!$J$2</c:f>
              <c:strCache>
                <c:ptCount val="1"/>
                <c:pt idx="0">
                  <c:v>Run 9</c:v>
                </c:pt>
              </c:strCache>
            </c:strRef>
          </c:tx>
          <c:spPr>
            <a:ln w="19050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FF'!$J$3:$J$200</c:f>
              <c:numCache>
                <c:formatCode>General</c:formatCode>
                <c:ptCount val="198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12</c:v>
                </c:pt>
                <c:pt idx="4">
                  <c:v>13</c:v>
                </c:pt>
                <c:pt idx="5">
                  <c:v>17</c:v>
                </c:pt>
                <c:pt idx="6">
                  <c:v>18</c:v>
                </c:pt>
                <c:pt idx="7">
                  <c:v>18</c:v>
                </c:pt>
                <c:pt idx="8">
                  <c:v>19</c:v>
                </c:pt>
                <c:pt idx="9">
                  <c:v>16</c:v>
                </c:pt>
                <c:pt idx="10">
                  <c:v>21</c:v>
                </c:pt>
                <c:pt idx="11">
                  <c:v>22</c:v>
                </c:pt>
                <c:pt idx="12">
                  <c:v>34</c:v>
                </c:pt>
                <c:pt idx="13">
                  <c:v>44</c:v>
                </c:pt>
                <c:pt idx="14">
                  <c:v>65</c:v>
                </c:pt>
                <c:pt idx="15">
                  <c:v>75</c:v>
                </c:pt>
                <c:pt idx="16">
                  <c:v>73</c:v>
                </c:pt>
                <c:pt idx="17">
                  <c:v>74</c:v>
                </c:pt>
                <c:pt idx="18">
                  <c:v>59</c:v>
                </c:pt>
                <c:pt idx="19">
                  <c:v>48</c:v>
                </c:pt>
                <c:pt idx="20">
                  <c:v>26</c:v>
                </c:pt>
                <c:pt idx="21">
                  <c:v>14</c:v>
                </c:pt>
                <c:pt idx="22">
                  <c:v>19</c:v>
                </c:pt>
                <c:pt idx="23">
                  <c:v>19</c:v>
                </c:pt>
                <c:pt idx="24">
                  <c:v>28</c:v>
                </c:pt>
                <c:pt idx="25">
                  <c:v>47</c:v>
                </c:pt>
                <c:pt idx="26">
                  <c:v>54</c:v>
                </c:pt>
                <c:pt idx="27">
                  <c:v>69</c:v>
                </c:pt>
                <c:pt idx="28">
                  <c:v>75</c:v>
                </c:pt>
                <c:pt idx="29">
                  <c:v>74</c:v>
                </c:pt>
                <c:pt idx="30">
                  <c:v>71</c:v>
                </c:pt>
                <c:pt idx="31">
                  <c:v>52</c:v>
                </c:pt>
                <c:pt idx="32">
                  <c:v>43</c:v>
                </c:pt>
                <c:pt idx="33">
                  <c:v>28</c:v>
                </c:pt>
                <c:pt idx="34">
                  <c:v>13</c:v>
                </c:pt>
                <c:pt idx="35">
                  <c:v>8</c:v>
                </c:pt>
                <c:pt idx="36">
                  <c:v>4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5</c:v>
                </c:pt>
                <c:pt idx="43">
                  <c:v>11</c:v>
                </c:pt>
                <c:pt idx="44">
                  <c:v>19</c:v>
                </c:pt>
                <c:pt idx="45">
                  <c:v>36</c:v>
                </c:pt>
                <c:pt idx="46">
                  <c:v>49</c:v>
                </c:pt>
                <c:pt idx="47">
                  <c:v>66</c:v>
                </c:pt>
                <c:pt idx="48">
                  <c:v>74</c:v>
                </c:pt>
                <c:pt idx="49">
                  <c:v>70</c:v>
                </c:pt>
                <c:pt idx="50">
                  <c:v>68</c:v>
                </c:pt>
                <c:pt idx="51">
                  <c:v>54</c:v>
                </c:pt>
                <c:pt idx="52">
                  <c:v>43</c:v>
                </c:pt>
                <c:pt idx="53">
                  <c:v>29</c:v>
                </c:pt>
                <c:pt idx="54">
                  <c:v>18</c:v>
                </c:pt>
                <c:pt idx="55">
                  <c:v>17</c:v>
                </c:pt>
                <c:pt idx="56">
                  <c:v>12</c:v>
                </c:pt>
                <c:pt idx="57">
                  <c:v>10</c:v>
                </c:pt>
                <c:pt idx="58">
                  <c:v>12</c:v>
                </c:pt>
                <c:pt idx="59">
                  <c:v>11</c:v>
                </c:pt>
                <c:pt idx="60">
                  <c:v>12</c:v>
                </c:pt>
                <c:pt idx="61">
                  <c:v>11</c:v>
                </c:pt>
                <c:pt idx="62">
                  <c:v>12</c:v>
                </c:pt>
                <c:pt idx="63">
                  <c:v>12</c:v>
                </c:pt>
                <c:pt idx="64">
                  <c:v>8</c:v>
                </c:pt>
                <c:pt idx="65">
                  <c:v>6</c:v>
                </c:pt>
                <c:pt idx="66">
                  <c:v>4</c:v>
                </c:pt>
                <c:pt idx="67">
                  <c:v>3</c:v>
                </c:pt>
                <c:pt idx="68">
                  <c:v>4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2</c:v>
                </c:pt>
                <c:pt idx="75">
                  <c:v>2</c:v>
                </c:pt>
                <c:pt idx="76">
                  <c:v>3</c:v>
                </c:pt>
                <c:pt idx="77">
                  <c:v>2</c:v>
                </c:pt>
                <c:pt idx="78">
                  <c:v>2</c:v>
                </c:pt>
                <c:pt idx="79">
                  <c:v>3</c:v>
                </c:pt>
                <c:pt idx="80">
                  <c:v>3</c:v>
                </c:pt>
                <c:pt idx="81">
                  <c:v>4</c:v>
                </c:pt>
                <c:pt idx="82">
                  <c:v>6</c:v>
                </c:pt>
                <c:pt idx="83">
                  <c:v>9</c:v>
                </c:pt>
                <c:pt idx="84">
                  <c:v>10</c:v>
                </c:pt>
                <c:pt idx="85">
                  <c:v>10</c:v>
                </c:pt>
                <c:pt idx="86">
                  <c:v>9</c:v>
                </c:pt>
                <c:pt idx="87">
                  <c:v>9</c:v>
                </c:pt>
                <c:pt idx="88">
                  <c:v>7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5</c:v>
                </c:pt>
                <c:pt idx="97">
                  <c:v>4</c:v>
                </c:pt>
                <c:pt idx="98">
                  <c:v>2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6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8</c:v>
                </c:pt>
                <c:pt idx="113">
                  <c:v>9</c:v>
                </c:pt>
                <c:pt idx="114">
                  <c:v>15</c:v>
                </c:pt>
                <c:pt idx="115">
                  <c:v>16</c:v>
                </c:pt>
                <c:pt idx="116">
                  <c:v>18</c:v>
                </c:pt>
                <c:pt idx="117">
                  <c:v>18</c:v>
                </c:pt>
                <c:pt idx="118">
                  <c:v>17</c:v>
                </c:pt>
                <c:pt idx="119">
                  <c:v>19</c:v>
                </c:pt>
                <c:pt idx="120">
                  <c:v>12</c:v>
                </c:pt>
                <c:pt idx="121">
                  <c:v>14</c:v>
                </c:pt>
                <c:pt idx="122">
                  <c:v>15</c:v>
                </c:pt>
                <c:pt idx="123">
                  <c:v>18</c:v>
                </c:pt>
                <c:pt idx="124">
                  <c:v>20</c:v>
                </c:pt>
                <c:pt idx="125">
                  <c:v>18</c:v>
                </c:pt>
                <c:pt idx="126">
                  <c:v>16</c:v>
                </c:pt>
                <c:pt idx="127">
                  <c:v>12</c:v>
                </c:pt>
                <c:pt idx="128">
                  <c:v>9</c:v>
                </c:pt>
                <c:pt idx="129">
                  <c:v>4</c:v>
                </c:pt>
                <c:pt idx="130">
                  <c:v>1</c:v>
                </c:pt>
                <c:pt idx="131">
                  <c:v>2</c:v>
                </c:pt>
                <c:pt idx="132">
                  <c:v>3</c:v>
                </c:pt>
                <c:pt idx="133">
                  <c:v>5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6</c:v>
                </c:pt>
                <c:pt idx="138">
                  <c:v>5</c:v>
                </c:pt>
                <c:pt idx="139">
                  <c:v>3</c:v>
                </c:pt>
                <c:pt idx="140">
                  <c:v>2</c:v>
                </c:pt>
                <c:pt idx="141">
                  <c:v>3</c:v>
                </c:pt>
                <c:pt idx="142">
                  <c:v>6</c:v>
                </c:pt>
                <c:pt idx="143">
                  <c:v>11</c:v>
                </c:pt>
                <c:pt idx="144">
                  <c:v>15</c:v>
                </c:pt>
                <c:pt idx="145">
                  <c:v>19</c:v>
                </c:pt>
                <c:pt idx="146">
                  <c:v>22</c:v>
                </c:pt>
                <c:pt idx="147">
                  <c:v>24</c:v>
                </c:pt>
                <c:pt idx="148">
                  <c:v>25</c:v>
                </c:pt>
                <c:pt idx="149">
                  <c:v>20</c:v>
                </c:pt>
                <c:pt idx="150">
                  <c:v>18</c:v>
                </c:pt>
                <c:pt idx="151">
                  <c:v>14</c:v>
                </c:pt>
                <c:pt idx="152">
                  <c:v>10</c:v>
                </c:pt>
                <c:pt idx="153">
                  <c:v>8</c:v>
                </c:pt>
                <c:pt idx="154">
                  <c:v>5</c:v>
                </c:pt>
                <c:pt idx="155">
                  <c:v>5</c:v>
                </c:pt>
                <c:pt idx="156">
                  <c:v>3</c:v>
                </c:pt>
                <c:pt idx="157">
                  <c:v>3</c:v>
                </c:pt>
                <c:pt idx="158">
                  <c:v>2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3</c:v>
                </c:pt>
                <c:pt idx="163">
                  <c:v>6</c:v>
                </c:pt>
                <c:pt idx="164">
                  <c:v>9</c:v>
                </c:pt>
                <c:pt idx="165">
                  <c:v>15</c:v>
                </c:pt>
                <c:pt idx="166">
                  <c:v>20</c:v>
                </c:pt>
                <c:pt idx="167">
                  <c:v>24</c:v>
                </c:pt>
                <c:pt idx="168">
                  <c:v>28</c:v>
                </c:pt>
                <c:pt idx="169">
                  <c:v>27</c:v>
                </c:pt>
                <c:pt idx="170">
                  <c:v>24</c:v>
                </c:pt>
                <c:pt idx="171">
                  <c:v>18</c:v>
                </c:pt>
                <c:pt idx="172">
                  <c:v>12</c:v>
                </c:pt>
                <c:pt idx="173">
                  <c:v>8</c:v>
                </c:pt>
                <c:pt idx="174">
                  <c:v>3</c:v>
                </c:pt>
                <c:pt idx="175">
                  <c:v>2</c:v>
                </c:pt>
                <c:pt idx="176">
                  <c:v>3</c:v>
                </c:pt>
                <c:pt idx="177">
                  <c:v>5</c:v>
                </c:pt>
                <c:pt idx="178">
                  <c:v>5</c:v>
                </c:pt>
                <c:pt idx="179">
                  <c:v>6</c:v>
                </c:pt>
                <c:pt idx="180">
                  <c:v>6</c:v>
                </c:pt>
                <c:pt idx="181">
                  <c:v>5</c:v>
                </c:pt>
                <c:pt idx="182">
                  <c:v>6</c:v>
                </c:pt>
                <c:pt idx="183">
                  <c:v>5</c:v>
                </c:pt>
                <c:pt idx="184">
                  <c:v>6</c:v>
                </c:pt>
                <c:pt idx="185">
                  <c:v>6</c:v>
                </c:pt>
                <c:pt idx="186">
                  <c:v>7</c:v>
                </c:pt>
                <c:pt idx="187">
                  <c:v>9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6</c:v>
                </c:pt>
                <c:pt idx="193">
                  <c:v>4</c:v>
                </c:pt>
                <c:pt idx="194">
                  <c:v>3</c:v>
                </c:pt>
                <c:pt idx="195">
                  <c:v>2</c:v>
                </c:pt>
                <c:pt idx="196">
                  <c:v>1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C00-4A55-925A-DF70F2C0475F}"/>
            </c:ext>
          </c:extLst>
        </c:ser>
        <c:ser>
          <c:idx val="9"/>
          <c:order val="9"/>
          <c:tx>
            <c:strRef>
              <c:f>'Infected FF'!$K$2</c:f>
              <c:strCache>
                <c:ptCount val="1"/>
                <c:pt idx="0">
                  <c:v>Run 10</c:v>
                </c:pt>
              </c:strCache>
            </c:strRef>
          </c:tx>
          <c:spPr>
            <a:ln w="19050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FF'!$K$3:$K$200</c:f>
              <c:numCache>
                <c:formatCode>General</c:formatCode>
                <c:ptCount val="198"/>
                <c:pt idx="0">
                  <c:v>2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21</c:v>
                </c:pt>
                <c:pt idx="11">
                  <c:v>26</c:v>
                </c:pt>
                <c:pt idx="12">
                  <c:v>27</c:v>
                </c:pt>
                <c:pt idx="13">
                  <c:v>35</c:v>
                </c:pt>
                <c:pt idx="14">
                  <c:v>34</c:v>
                </c:pt>
                <c:pt idx="15">
                  <c:v>38</c:v>
                </c:pt>
                <c:pt idx="16">
                  <c:v>41</c:v>
                </c:pt>
                <c:pt idx="17">
                  <c:v>51</c:v>
                </c:pt>
                <c:pt idx="18">
                  <c:v>63</c:v>
                </c:pt>
                <c:pt idx="19">
                  <c:v>66</c:v>
                </c:pt>
                <c:pt idx="20">
                  <c:v>73</c:v>
                </c:pt>
                <c:pt idx="21">
                  <c:v>72</c:v>
                </c:pt>
                <c:pt idx="22">
                  <c:v>71</c:v>
                </c:pt>
                <c:pt idx="23">
                  <c:v>59</c:v>
                </c:pt>
                <c:pt idx="24">
                  <c:v>53</c:v>
                </c:pt>
                <c:pt idx="25">
                  <c:v>47</c:v>
                </c:pt>
                <c:pt idx="26">
                  <c:v>49</c:v>
                </c:pt>
                <c:pt idx="27">
                  <c:v>47</c:v>
                </c:pt>
                <c:pt idx="28">
                  <c:v>48</c:v>
                </c:pt>
                <c:pt idx="29">
                  <c:v>51</c:v>
                </c:pt>
                <c:pt idx="30">
                  <c:v>43</c:v>
                </c:pt>
                <c:pt idx="31">
                  <c:v>38</c:v>
                </c:pt>
                <c:pt idx="32">
                  <c:v>33</c:v>
                </c:pt>
                <c:pt idx="33">
                  <c:v>31</c:v>
                </c:pt>
                <c:pt idx="34">
                  <c:v>30</c:v>
                </c:pt>
                <c:pt idx="35">
                  <c:v>30</c:v>
                </c:pt>
                <c:pt idx="36">
                  <c:v>32</c:v>
                </c:pt>
                <c:pt idx="37">
                  <c:v>36</c:v>
                </c:pt>
                <c:pt idx="38">
                  <c:v>35</c:v>
                </c:pt>
                <c:pt idx="39">
                  <c:v>38</c:v>
                </c:pt>
                <c:pt idx="40">
                  <c:v>32</c:v>
                </c:pt>
                <c:pt idx="41">
                  <c:v>28</c:v>
                </c:pt>
                <c:pt idx="42">
                  <c:v>24</c:v>
                </c:pt>
                <c:pt idx="43">
                  <c:v>20</c:v>
                </c:pt>
                <c:pt idx="44">
                  <c:v>16</c:v>
                </c:pt>
                <c:pt idx="45">
                  <c:v>11</c:v>
                </c:pt>
                <c:pt idx="46">
                  <c:v>11</c:v>
                </c:pt>
                <c:pt idx="47">
                  <c:v>8</c:v>
                </c:pt>
                <c:pt idx="48">
                  <c:v>7</c:v>
                </c:pt>
                <c:pt idx="49">
                  <c:v>5</c:v>
                </c:pt>
                <c:pt idx="50">
                  <c:v>3</c:v>
                </c:pt>
                <c:pt idx="51">
                  <c:v>2</c:v>
                </c:pt>
                <c:pt idx="52">
                  <c:v>3</c:v>
                </c:pt>
                <c:pt idx="53">
                  <c:v>2</c:v>
                </c:pt>
                <c:pt idx="54">
                  <c:v>4</c:v>
                </c:pt>
                <c:pt idx="55">
                  <c:v>7</c:v>
                </c:pt>
                <c:pt idx="56">
                  <c:v>8</c:v>
                </c:pt>
                <c:pt idx="57">
                  <c:v>15</c:v>
                </c:pt>
                <c:pt idx="58">
                  <c:v>17</c:v>
                </c:pt>
                <c:pt idx="59">
                  <c:v>22</c:v>
                </c:pt>
                <c:pt idx="60">
                  <c:v>24</c:v>
                </c:pt>
                <c:pt idx="61">
                  <c:v>26</c:v>
                </c:pt>
                <c:pt idx="62">
                  <c:v>29</c:v>
                </c:pt>
                <c:pt idx="63">
                  <c:v>26</c:v>
                </c:pt>
                <c:pt idx="64">
                  <c:v>25</c:v>
                </c:pt>
                <c:pt idx="65">
                  <c:v>22</c:v>
                </c:pt>
                <c:pt idx="66">
                  <c:v>20</c:v>
                </c:pt>
                <c:pt idx="67">
                  <c:v>18</c:v>
                </c:pt>
                <c:pt idx="68">
                  <c:v>14</c:v>
                </c:pt>
                <c:pt idx="69">
                  <c:v>12</c:v>
                </c:pt>
                <c:pt idx="70">
                  <c:v>9</c:v>
                </c:pt>
                <c:pt idx="71">
                  <c:v>8</c:v>
                </c:pt>
                <c:pt idx="72">
                  <c:v>8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7</c:v>
                </c:pt>
                <c:pt idx="77">
                  <c:v>8</c:v>
                </c:pt>
                <c:pt idx="78">
                  <c:v>10</c:v>
                </c:pt>
                <c:pt idx="79">
                  <c:v>9</c:v>
                </c:pt>
                <c:pt idx="80">
                  <c:v>11</c:v>
                </c:pt>
                <c:pt idx="81">
                  <c:v>10</c:v>
                </c:pt>
                <c:pt idx="82">
                  <c:v>10</c:v>
                </c:pt>
                <c:pt idx="83">
                  <c:v>9</c:v>
                </c:pt>
                <c:pt idx="84">
                  <c:v>6</c:v>
                </c:pt>
                <c:pt idx="85">
                  <c:v>7</c:v>
                </c:pt>
                <c:pt idx="86">
                  <c:v>5</c:v>
                </c:pt>
                <c:pt idx="87">
                  <c:v>4</c:v>
                </c:pt>
                <c:pt idx="88">
                  <c:v>3</c:v>
                </c:pt>
                <c:pt idx="89">
                  <c:v>2</c:v>
                </c:pt>
                <c:pt idx="90">
                  <c:v>2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C00-4A55-925A-DF70F2C0475F}"/>
            </c:ext>
          </c:extLst>
        </c:ser>
        <c:ser>
          <c:idx val="10"/>
          <c:order val="10"/>
          <c:tx>
            <c:strRef>
              <c:f>'Infected FF'!$L$2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FF'!$L$3:$L$200</c:f>
              <c:numCache>
                <c:formatCode>General</c:formatCode>
                <c:ptCount val="198"/>
                <c:pt idx="0">
                  <c:v>2</c:v>
                </c:pt>
                <c:pt idx="1">
                  <c:v>4.2</c:v>
                </c:pt>
                <c:pt idx="2">
                  <c:v>8.4</c:v>
                </c:pt>
                <c:pt idx="3">
                  <c:v>15.3</c:v>
                </c:pt>
                <c:pt idx="4">
                  <c:v>22.5</c:v>
                </c:pt>
                <c:pt idx="5">
                  <c:v>32</c:v>
                </c:pt>
                <c:pt idx="6">
                  <c:v>39.9</c:v>
                </c:pt>
                <c:pt idx="7">
                  <c:v>48.6</c:v>
                </c:pt>
                <c:pt idx="8">
                  <c:v>54.3</c:v>
                </c:pt>
                <c:pt idx="9">
                  <c:v>56.6</c:v>
                </c:pt>
                <c:pt idx="10">
                  <c:v>60.3</c:v>
                </c:pt>
                <c:pt idx="11">
                  <c:v>60.1</c:v>
                </c:pt>
                <c:pt idx="12">
                  <c:v>57.8</c:v>
                </c:pt>
                <c:pt idx="13">
                  <c:v>54.2</c:v>
                </c:pt>
                <c:pt idx="14">
                  <c:v>50.6</c:v>
                </c:pt>
                <c:pt idx="15">
                  <c:v>47.3</c:v>
                </c:pt>
                <c:pt idx="16">
                  <c:v>42.6</c:v>
                </c:pt>
                <c:pt idx="17">
                  <c:v>40</c:v>
                </c:pt>
                <c:pt idx="18">
                  <c:v>39.1</c:v>
                </c:pt>
                <c:pt idx="19">
                  <c:v>39</c:v>
                </c:pt>
                <c:pt idx="20">
                  <c:v>39.9</c:v>
                </c:pt>
                <c:pt idx="21">
                  <c:v>39.799999999999997</c:v>
                </c:pt>
                <c:pt idx="22">
                  <c:v>39.9</c:v>
                </c:pt>
                <c:pt idx="23">
                  <c:v>38.1</c:v>
                </c:pt>
                <c:pt idx="24">
                  <c:v>36.799999999999997</c:v>
                </c:pt>
                <c:pt idx="25">
                  <c:v>37.299999999999997</c:v>
                </c:pt>
                <c:pt idx="26">
                  <c:v>37.1</c:v>
                </c:pt>
                <c:pt idx="27">
                  <c:v>39.1</c:v>
                </c:pt>
                <c:pt idx="28">
                  <c:v>40.6</c:v>
                </c:pt>
                <c:pt idx="29">
                  <c:v>42.7</c:v>
                </c:pt>
                <c:pt idx="30">
                  <c:v>42.8</c:v>
                </c:pt>
                <c:pt idx="31">
                  <c:v>38.6</c:v>
                </c:pt>
                <c:pt idx="32">
                  <c:v>36.200000000000003</c:v>
                </c:pt>
                <c:pt idx="33">
                  <c:v>32.299999999999997</c:v>
                </c:pt>
                <c:pt idx="34">
                  <c:v>28.6</c:v>
                </c:pt>
                <c:pt idx="35">
                  <c:v>26.6</c:v>
                </c:pt>
                <c:pt idx="36">
                  <c:v>25.5</c:v>
                </c:pt>
                <c:pt idx="37">
                  <c:v>25</c:v>
                </c:pt>
                <c:pt idx="38">
                  <c:v>25.5</c:v>
                </c:pt>
                <c:pt idx="39">
                  <c:v>25</c:v>
                </c:pt>
                <c:pt idx="40">
                  <c:v>25.7</c:v>
                </c:pt>
                <c:pt idx="41">
                  <c:v>24.6</c:v>
                </c:pt>
                <c:pt idx="42">
                  <c:v>23.9</c:v>
                </c:pt>
                <c:pt idx="43">
                  <c:v>25</c:v>
                </c:pt>
                <c:pt idx="44">
                  <c:v>23.4</c:v>
                </c:pt>
                <c:pt idx="45">
                  <c:v>24.2</c:v>
                </c:pt>
                <c:pt idx="46">
                  <c:v>23.5</c:v>
                </c:pt>
                <c:pt idx="47">
                  <c:v>23.7</c:v>
                </c:pt>
                <c:pt idx="48">
                  <c:v>24</c:v>
                </c:pt>
                <c:pt idx="49">
                  <c:v>23.4</c:v>
                </c:pt>
                <c:pt idx="50">
                  <c:v>22.2</c:v>
                </c:pt>
                <c:pt idx="51">
                  <c:v>21</c:v>
                </c:pt>
                <c:pt idx="52">
                  <c:v>20.100000000000001</c:v>
                </c:pt>
                <c:pt idx="53">
                  <c:v>19.5</c:v>
                </c:pt>
                <c:pt idx="54">
                  <c:v>18.399999999999999</c:v>
                </c:pt>
                <c:pt idx="55">
                  <c:v>18.399999999999999</c:v>
                </c:pt>
                <c:pt idx="56">
                  <c:v>19</c:v>
                </c:pt>
                <c:pt idx="57">
                  <c:v>19</c:v>
                </c:pt>
                <c:pt idx="58">
                  <c:v>19.100000000000001</c:v>
                </c:pt>
                <c:pt idx="59">
                  <c:v>17.399999999999999</c:v>
                </c:pt>
                <c:pt idx="60">
                  <c:v>16.7</c:v>
                </c:pt>
                <c:pt idx="61">
                  <c:v>14.7</c:v>
                </c:pt>
                <c:pt idx="62">
                  <c:v>13.3</c:v>
                </c:pt>
                <c:pt idx="63">
                  <c:v>11.9</c:v>
                </c:pt>
                <c:pt idx="64">
                  <c:v>10.199999999999999</c:v>
                </c:pt>
                <c:pt idx="65">
                  <c:v>10.4</c:v>
                </c:pt>
                <c:pt idx="66">
                  <c:v>10.6</c:v>
                </c:pt>
                <c:pt idx="67">
                  <c:v>10.6</c:v>
                </c:pt>
                <c:pt idx="68">
                  <c:v>10.5</c:v>
                </c:pt>
                <c:pt idx="69">
                  <c:v>10.5</c:v>
                </c:pt>
                <c:pt idx="70">
                  <c:v>9.4</c:v>
                </c:pt>
                <c:pt idx="71">
                  <c:v>8.1</c:v>
                </c:pt>
                <c:pt idx="72">
                  <c:v>7</c:v>
                </c:pt>
                <c:pt idx="73">
                  <c:v>6.2</c:v>
                </c:pt>
                <c:pt idx="74">
                  <c:v>5.9</c:v>
                </c:pt>
                <c:pt idx="75">
                  <c:v>5.8</c:v>
                </c:pt>
                <c:pt idx="76">
                  <c:v>6.3</c:v>
                </c:pt>
                <c:pt idx="77">
                  <c:v>7.9</c:v>
                </c:pt>
                <c:pt idx="78">
                  <c:v>8</c:v>
                </c:pt>
                <c:pt idx="79">
                  <c:v>7.8</c:v>
                </c:pt>
                <c:pt idx="80">
                  <c:v>7.8</c:v>
                </c:pt>
                <c:pt idx="81">
                  <c:v>6.7</c:v>
                </c:pt>
                <c:pt idx="82">
                  <c:v>6.2</c:v>
                </c:pt>
                <c:pt idx="83">
                  <c:v>4.4000000000000004</c:v>
                </c:pt>
                <c:pt idx="84">
                  <c:v>3.4</c:v>
                </c:pt>
                <c:pt idx="85">
                  <c:v>3.3</c:v>
                </c:pt>
                <c:pt idx="86">
                  <c:v>2.5</c:v>
                </c:pt>
                <c:pt idx="87">
                  <c:v>2.6</c:v>
                </c:pt>
                <c:pt idx="88">
                  <c:v>2.6</c:v>
                </c:pt>
                <c:pt idx="89">
                  <c:v>2.2999999999999998</c:v>
                </c:pt>
                <c:pt idx="90">
                  <c:v>2.9</c:v>
                </c:pt>
                <c:pt idx="91">
                  <c:v>2.7</c:v>
                </c:pt>
                <c:pt idx="92">
                  <c:v>2.8</c:v>
                </c:pt>
                <c:pt idx="93">
                  <c:v>3.1</c:v>
                </c:pt>
                <c:pt idx="94">
                  <c:v>3.2</c:v>
                </c:pt>
                <c:pt idx="95">
                  <c:v>3.5</c:v>
                </c:pt>
                <c:pt idx="96">
                  <c:v>2.8</c:v>
                </c:pt>
                <c:pt idx="97">
                  <c:v>3.3</c:v>
                </c:pt>
                <c:pt idx="98">
                  <c:v>3</c:v>
                </c:pt>
                <c:pt idx="99">
                  <c:v>2.6</c:v>
                </c:pt>
                <c:pt idx="100">
                  <c:v>2.2000000000000002</c:v>
                </c:pt>
                <c:pt idx="101">
                  <c:v>1.7</c:v>
                </c:pt>
                <c:pt idx="102">
                  <c:v>1.6</c:v>
                </c:pt>
                <c:pt idx="103">
                  <c:v>1</c:v>
                </c:pt>
                <c:pt idx="104">
                  <c:v>1</c:v>
                </c:pt>
                <c:pt idx="105">
                  <c:v>1.1000000000000001</c:v>
                </c:pt>
                <c:pt idx="106">
                  <c:v>1.2</c:v>
                </c:pt>
                <c:pt idx="107">
                  <c:v>1.4</c:v>
                </c:pt>
                <c:pt idx="108">
                  <c:v>1.7</c:v>
                </c:pt>
                <c:pt idx="109">
                  <c:v>2.2000000000000002</c:v>
                </c:pt>
                <c:pt idx="110">
                  <c:v>2.4</c:v>
                </c:pt>
                <c:pt idx="111">
                  <c:v>2.2999999999999998</c:v>
                </c:pt>
                <c:pt idx="112">
                  <c:v>2.6</c:v>
                </c:pt>
                <c:pt idx="113">
                  <c:v>3</c:v>
                </c:pt>
                <c:pt idx="114">
                  <c:v>3.6</c:v>
                </c:pt>
                <c:pt idx="115">
                  <c:v>3.6</c:v>
                </c:pt>
                <c:pt idx="116">
                  <c:v>3.7</c:v>
                </c:pt>
                <c:pt idx="117">
                  <c:v>3.6</c:v>
                </c:pt>
                <c:pt idx="118">
                  <c:v>3.1</c:v>
                </c:pt>
                <c:pt idx="119">
                  <c:v>2.8</c:v>
                </c:pt>
                <c:pt idx="120">
                  <c:v>1.9</c:v>
                </c:pt>
                <c:pt idx="121">
                  <c:v>1.7</c:v>
                </c:pt>
                <c:pt idx="122">
                  <c:v>1.6</c:v>
                </c:pt>
                <c:pt idx="123">
                  <c:v>1.8</c:v>
                </c:pt>
                <c:pt idx="124">
                  <c:v>2</c:v>
                </c:pt>
                <c:pt idx="125">
                  <c:v>1.8</c:v>
                </c:pt>
                <c:pt idx="126">
                  <c:v>1.6</c:v>
                </c:pt>
                <c:pt idx="127">
                  <c:v>1.2</c:v>
                </c:pt>
                <c:pt idx="128">
                  <c:v>0.9</c:v>
                </c:pt>
                <c:pt idx="129">
                  <c:v>0.4</c:v>
                </c:pt>
                <c:pt idx="130">
                  <c:v>0.1</c:v>
                </c:pt>
                <c:pt idx="131">
                  <c:v>0.2</c:v>
                </c:pt>
                <c:pt idx="132">
                  <c:v>0.3</c:v>
                </c:pt>
                <c:pt idx="133">
                  <c:v>0.5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0.6</c:v>
                </c:pt>
                <c:pt idx="138">
                  <c:v>0.5</c:v>
                </c:pt>
                <c:pt idx="139">
                  <c:v>0.3</c:v>
                </c:pt>
                <c:pt idx="140">
                  <c:v>0.2</c:v>
                </c:pt>
                <c:pt idx="141">
                  <c:v>0.3</c:v>
                </c:pt>
                <c:pt idx="142">
                  <c:v>0.6</c:v>
                </c:pt>
                <c:pt idx="143">
                  <c:v>1.1000000000000001</c:v>
                </c:pt>
                <c:pt idx="144">
                  <c:v>1.5</c:v>
                </c:pt>
                <c:pt idx="145">
                  <c:v>1.9</c:v>
                </c:pt>
                <c:pt idx="146">
                  <c:v>2.2000000000000002</c:v>
                </c:pt>
                <c:pt idx="147">
                  <c:v>2.4</c:v>
                </c:pt>
                <c:pt idx="148">
                  <c:v>2.5</c:v>
                </c:pt>
                <c:pt idx="149">
                  <c:v>2</c:v>
                </c:pt>
                <c:pt idx="150">
                  <c:v>1.8</c:v>
                </c:pt>
                <c:pt idx="151">
                  <c:v>1.4</c:v>
                </c:pt>
                <c:pt idx="152">
                  <c:v>1</c:v>
                </c:pt>
                <c:pt idx="153">
                  <c:v>0.8</c:v>
                </c:pt>
                <c:pt idx="154">
                  <c:v>0.5</c:v>
                </c:pt>
                <c:pt idx="155">
                  <c:v>0.5</c:v>
                </c:pt>
                <c:pt idx="156">
                  <c:v>0.3</c:v>
                </c:pt>
                <c:pt idx="157">
                  <c:v>0.3</c:v>
                </c:pt>
                <c:pt idx="158">
                  <c:v>0.2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0.3</c:v>
                </c:pt>
                <c:pt idx="163">
                  <c:v>0.6</c:v>
                </c:pt>
                <c:pt idx="164">
                  <c:v>0.9</c:v>
                </c:pt>
                <c:pt idx="165">
                  <c:v>1.5</c:v>
                </c:pt>
                <c:pt idx="166">
                  <c:v>2</c:v>
                </c:pt>
                <c:pt idx="167">
                  <c:v>2.4</c:v>
                </c:pt>
                <c:pt idx="168">
                  <c:v>2.8</c:v>
                </c:pt>
                <c:pt idx="169">
                  <c:v>2.7</c:v>
                </c:pt>
                <c:pt idx="170">
                  <c:v>2.4</c:v>
                </c:pt>
                <c:pt idx="171">
                  <c:v>1.8</c:v>
                </c:pt>
                <c:pt idx="172">
                  <c:v>1.2</c:v>
                </c:pt>
                <c:pt idx="173">
                  <c:v>0.8</c:v>
                </c:pt>
                <c:pt idx="174">
                  <c:v>0.3</c:v>
                </c:pt>
                <c:pt idx="175">
                  <c:v>0.2</c:v>
                </c:pt>
                <c:pt idx="176">
                  <c:v>0.3</c:v>
                </c:pt>
                <c:pt idx="177">
                  <c:v>0.5</c:v>
                </c:pt>
                <c:pt idx="178">
                  <c:v>0.5</c:v>
                </c:pt>
                <c:pt idx="179">
                  <c:v>0.6</c:v>
                </c:pt>
                <c:pt idx="180">
                  <c:v>0.6</c:v>
                </c:pt>
                <c:pt idx="181">
                  <c:v>0.5</c:v>
                </c:pt>
                <c:pt idx="182">
                  <c:v>0.6</c:v>
                </c:pt>
                <c:pt idx="183">
                  <c:v>0.5</c:v>
                </c:pt>
                <c:pt idx="184">
                  <c:v>0.6</c:v>
                </c:pt>
                <c:pt idx="185">
                  <c:v>0.6</c:v>
                </c:pt>
                <c:pt idx="186">
                  <c:v>0.7</c:v>
                </c:pt>
                <c:pt idx="187">
                  <c:v>0.9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0.6</c:v>
                </c:pt>
                <c:pt idx="193">
                  <c:v>0.4</c:v>
                </c:pt>
                <c:pt idx="194">
                  <c:v>0.3</c:v>
                </c:pt>
                <c:pt idx="195">
                  <c:v>0.2</c:v>
                </c:pt>
                <c:pt idx="196">
                  <c:v>0.1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C00-4A55-925A-DF70F2C04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90784"/>
        <c:axId val="1318262624"/>
      </c:scatterChart>
      <c:valAx>
        <c:axId val="1077390784"/>
        <c:scaling>
          <c:orientation val="minMax"/>
          <c:max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62624"/>
        <c:crosses val="autoZero"/>
        <c:crossBetween val="midCat"/>
      </c:valAx>
      <c:valAx>
        <c:axId val="1318262624"/>
        <c:scaling>
          <c:orientation val="minMax"/>
          <c:max val="15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0784"/>
        <c:crosses val="autoZero"/>
        <c:crossBetween val="midCat"/>
        <c:majorUnit val="50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'Infected NF'!$B$2</c:f>
              <c:strCache>
                <c:ptCount val="1"/>
                <c:pt idx="0">
                  <c:v>Run 1</c:v>
                </c:pt>
              </c:strCache>
            </c:strRef>
          </c:tx>
          <c:spPr>
            <a:ln w="19050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NF'!$B$3:$B$29</c:f>
              <c:numCache>
                <c:formatCode>General</c:formatCode>
                <c:ptCount val="27"/>
                <c:pt idx="0">
                  <c:v>2</c:v>
                </c:pt>
                <c:pt idx="1">
                  <c:v>6</c:v>
                </c:pt>
                <c:pt idx="2">
                  <c:v>9</c:v>
                </c:pt>
                <c:pt idx="3">
                  <c:v>15</c:v>
                </c:pt>
                <c:pt idx="4">
                  <c:v>40</c:v>
                </c:pt>
                <c:pt idx="5">
                  <c:v>78</c:v>
                </c:pt>
                <c:pt idx="6">
                  <c:v>146</c:v>
                </c:pt>
                <c:pt idx="7">
                  <c:v>234</c:v>
                </c:pt>
                <c:pt idx="8">
                  <c:v>389</c:v>
                </c:pt>
                <c:pt idx="9">
                  <c:v>581</c:v>
                </c:pt>
                <c:pt idx="10">
                  <c:v>739</c:v>
                </c:pt>
                <c:pt idx="11">
                  <c:v>814</c:v>
                </c:pt>
                <c:pt idx="12">
                  <c:v>805</c:v>
                </c:pt>
                <c:pt idx="13">
                  <c:v>741</c:v>
                </c:pt>
                <c:pt idx="14">
                  <c:v>595</c:v>
                </c:pt>
                <c:pt idx="15">
                  <c:v>400</c:v>
                </c:pt>
                <c:pt idx="16">
                  <c:v>218</c:v>
                </c:pt>
                <c:pt idx="17">
                  <c:v>105</c:v>
                </c:pt>
                <c:pt idx="18">
                  <c:v>44</c:v>
                </c:pt>
                <c:pt idx="19">
                  <c:v>16</c:v>
                </c:pt>
                <c:pt idx="20">
                  <c:v>4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D2-4C90-A7AF-D48BAEBBFCA9}"/>
            </c:ext>
          </c:extLst>
        </c:ser>
        <c:ser>
          <c:idx val="1"/>
          <c:order val="1"/>
          <c:tx>
            <c:strRef>
              <c:f>'Infected NF'!$C$2</c:f>
              <c:strCache>
                <c:ptCount val="1"/>
                <c:pt idx="0">
                  <c:v>Run 2</c:v>
                </c:pt>
              </c:strCache>
            </c:strRef>
          </c:tx>
          <c:spPr>
            <a:ln w="19050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NF'!$C$3:$C$29</c:f>
              <c:numCache>
                <c:formatCode>General</c:formatCode>
                <c:ptCount val="2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15</c:v>
                </c:pt>
                <c:pt idx="4">
                  <c:v>24</c:v>
                </c:pt>
                <c:pt idx="5">
                  <c:v>58</c:v>
                </c:pt>
                <c:pt idx="6">
                  <c:v>121</c:v>
                </c:pt>
                <c:pt idx="7">
                  <c:v>212</c:v>
                </c:pt>
                <c:pt idx="8">
                  <c:v>372</c:v>
                </c:pt>
                <c:pt idx="9">
                  <c:v>555</c:v>
                </c:pt>
                <c:pt idx="10">
                  <c:v>732</c:v>
                </c:pt>
                <c:pt idx="11">
                  <c:v>829</c:v>
                </c:pt>
                <c:pt idx="12">
                  <c:v>833</c:v>
                </c:pt>
                <c:pt idx="13">
                  <c:v>764</c:v>
                </c:pt>
                <c:pt idx="14">
                  <c:v>611</c:v>
                </c:pt>
                <c:pt idx="15">
                  <c:v>425</c:v>
                </c:pt>
                <c:pt idx="16">
                  <c:v>240</c:v>
                </c:pt>
                <c:pt idx="17">
                  <c:v>109</c:v>
                </c:pt>
                <c:pt idx="18">
                  <c:v>41</c:v>
                </c:pt>
                <c:pt idx="19">
                  <c:v>17</c:v>
                </c:pt>
                <c:pt idx="20">
                  <c:v>6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D2-4C90-A7AF-D48BAEBBFCA9}"/>
            </c:ext>
          </c:extLst>
        </c:ser>
        <c:ser>
          <c:idx val="2"/>
          <c:order val="2"/>
          <c:tx>
            <c:strRef>
              <c:f>'Infected NF'!$D$2</c:f>
              <c:strCache>
                <c:ptCount val="1"/>
                <c:pt idx="0">
                  <c:v>Run 3</c:v>
                </c:pt>
              </c:strCache>
            </c:strRef>
          </c:tx>
          <c:spPr>
            <a:ln w="19050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NF'!$D$3:$D$29</c:f>
              <c:numCache>
                <c:formatCode>General</c:formatCode>
                <c:ptCount val="27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12</c:v>
                </c:pt>
                <c:pt idx="4">
                  <c:v>21</c:v>
                </c:pt>
                <c:pt idx="5">
                  <c:v>43</c:v>
                </c:pt>
                <c:pt idx="6">
                  <c:v>73</c:v>
                </c:pt>
                <c:pt idx="7">
                  <c:v>133</c:v>
                </c:pt>
                <c:pt idx="8">
                  <c:v>231</c:v>
                </c:pt>
                <c:pt idx="9">
                  <c:v>390</c:v>
                </c:pt>
                <c:pt idx="10">
                  <c:v>565</c:v>
                </c:pt>
                <c:pt idx="11">
                  <c:v>716</c:v>
                </c:pt>
                <c:pt idx="12">
                  <c:v>804</c:v>
                </c:pt>
                <c:pt idx="13">
                  <c:v>811</c:v>
                </c:pt>
                <c:pt idx="14">
                  <c:v>742</c:v>
                </c:pt>
                <c:pt idx="15">
                  <c:v>585</c:v>
                </c:pt>
                <c:pt idx="16">
                  <c:v>408</c:v>
                </c:pt>
                <c:pt idx="17">
                  <c:v>237</c:v>
                </c:pt>
                <c:pt idx="18">
                  <c:v>117</c:v>
                </c:pt>
                <c:pt idx="19">
                  <c:v>50</c:v>
                </c:pt>
                <c:pt idx="20">
                  <c:v>18</c:v>
                </c:pt>
                <c:pt idx="21">
                  <c:v>11</c:v>
                </c:pt>
                <c:pt idx="22">
                  <c:v>4</c:v>
                </c:pt>
                <c:pt idx="23">
                  <c:v>2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D2-4C90-A7AF-D48BAEBBFCA9}"/>
            </c:ext>
          </c:extLst>
        </c:ser>
        <c:ser>
          <c:idx val="3"/>
          <c:order val="3"/>
          <c:tx>
            <c:strRef>
              <c:f>'Infected NF'!$E$2</c:f>
              <c:strCache>
                <c:ptCount val="1"/>
                <c:pt idx="0">
                  <c:v>Run 4</c:v>
                </c:pt>
              </c:strCache>
            </c:strRef>
          </c:tx>
          <c:spPr>
            <a:ln w="19050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NF'!$E$3:$E$29</c:f>
              <c:numCache>
                <c:formatCode>General</c:formatCode>
                <c:ptCount val="27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13</c:v>
                </c:pt>
                <c:pt idx="4">
                  <c:v>26</c:v>
                </c:pt>
                <c:pt idx="5">
                  <c:v>42</c:v>
                </c:pt>
                <c:pt idx="6">
                  <c:v>84</c:v>
                </c:pt>
                <c:pt idx="7">
                  <c:v>146</c:v>
                </c:pt>
                <c:pt idx="8">
                  <c:v>265</c:v>
                </c:pt>
                <c:pt idx="9">
                  <c:v>434</c:v>
                </c:pt>
                <c:pt idx="10">
                  <c:v>599</c:v>
                </c:pt>
                <c:pt idx="11">
                  <c:v>748</c:v>
                </c:pt>
                <c:pt idx="12">
                  <c:v>801</c:v>
                </c:pt>
                <c:pt idx="13">
                  <c:v>812</c:v>
                </c:pt>
                <c:pt idx="14">
                  <c:v>706</c:v>
                </c:pt>
                <c:pt idx="15">
                  <c:v>542</c:v>
                </c:pt>
                <c:pt idx="16">
                  <c:v>367</c:v>
                </c:pt>
                <c:pt idx="17">
                  <c:v>203</c:v>
                </c:pt>
                <c:pt idx="18">
                  <c:v>106</c:v>
                </c:pt>
                <c:pt idx="19">
                  <c:v>33</c:v>
                </c:pt>
                <c:pt idx="20">
                  <c:v>16</c:v>
                </c:pt>
                <c:pt idx="21">
                  <c:v>4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D2-4C90-A7AF-D48BAEBBFCA9}"/>
            </c:ext>
          </c:extLst>
        </c:ser>
        <c:ser>
          <c:idx val="4"/>
          <c:order val="4"/>
          <c:tx>
            <c:strRef>
              <c:f>'Infected NF'!$F$2</c:f>
              <c:strCache>
                <c:ptCount val="1"/>
                <c:pt idx="0">
                  <c:v>Run 5</c:v>
                </c:pt>
              </c:strCache>
            </c:strRef>
          </c:tx>
          <c:spPr>
            <a:ln w="19050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NF'!$F$3:$F$29</c:f>
              <c:numCache>
                <c:formatCode>General</c:formatCode>
                <c:ptCount val="27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15</c:v>
                </c:pt>
                <c:pt idx="4">
                  <c:v>33</c:v>
                </c:pt>
                <c:pt idx="5">
                  <c:v>60</c:v>
                </c:pt>
                <c:pt idx="6">
                  <c:v>121</c:v>
                </c:pt>
                <c:pt idx="7">
                  <c:v>210</c:v>
                </c:pt>
                <c:pt idx="8">
                  <c:v>363</c:v>
                </c:pt>
                <c:pt idx="9">
                  <c:v>531</c:v>
                </c:pt>
                <c:pt idx="10">
                  <c:v>702</c:v>
                </c:pt>
                <c:pt idx="11">
                  <c:v>815</c:v>
                </c:pt>
                <c:pt idx="12">
                  <c:v>824</c:v>
                </c:pt>
                <c:pt idx="13">
                  <c:v>760</c:v>
                </c:pt>
                <c:pt idx="14">
                  <c:v>617</c:v>
                </c:pt>
                <c:pt idx="15">
                  <c:v>446</c:v>
                </c:pt>
                <c:pt idx="16">
                  <c:v>262</c:v>
                </c:pt>
                <c:pt idx="17">
                  <c:v>123</c:v>
                </c:pt>
                <c:pt idx="18">
                  <c:v>51</c:v>
                </c:pt>
                <c:pt idx="19">
                  <c:v>24</c:v>
                </c:pt>
                <c:pt idx="20">
                  <c:v>12</c:v>
                </c:pt>
                <c:pt idx="21">
                  <c:v>7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D2-4C90-A7AF-D48BAEBBFCA9}"/>
            </c:ext>
          </c:extLst>
        </c:ser>
        <c:ser>
          <c:idx val="5"/>
          <c:order val="5"/>
          <c:tx>
            <c:strRef>
              <c:f>'Infected NF'!$G$2</c:f>
              <c:strCache>
                <c:ptCount val="1"/>
                <c:pt idx="0">
                  <c:v>Run 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'Infected NF'!$G$3:$G$29</c:f>
              <c:numCache>
                <c:formatCode>General</c:formatCode>
                <c:ptCount val="27"/>
                <c:pt idx="0">
                  <c:v>2</c:v>
                </c:pt>
                <c:pt idx="1">
                  <c:v>7</c:v>
                </c:pt>
                <c:pt idx="2">
                  <c:v>13</c:v>
                </c:pt>
                <c:pt idx="3">
                  <c:v>25</c:v>
                </c:pt>
                <c:pt idx="4">
                  <c:v>47</c:v>
                </c:pt>
                <c:pt idx="5">
                  <c:v>92</c:v>
                </c:pt>
                <c:pt idx="6">
                  <c:v>166</c:v>
                </c:pt>
                <c:pt idx="7">
                  <c:v>293</c:v>
                </c:pt>
                <c:pt idx="8">
                  <c:v>449</c:v>
                </c:pt>
                <c:pt idx="9">
                  <c:v>615</c:v>
                </c:pt>
                <c:pt idx="10">
                  <c:v>757</c:v>
                </c:pt>
                <c:pt idx="11">
                  <c:v>825</c:v>
                </c:pt>
                <c:pt idx="12">
                  <c:v>802</c:v>
                </c:pt>
                <c:pt idx="13">
                  <c:v>688</c:v>
                </c:pt>
                <c:pt idx="14">
                  <c:v>531</c:v>
                </c:pt>
                <c:pt idx="15">
                  <c:v>355</c:v>
                </c:pt>
                <c:pt idx="16">
                  <c:v>193</c:v>
                </c:pt>
                <c:pt idx="17">
                  <c:v>81</c:v>
                </c:pt>
                <c:pt idx="18">
                  <c:v>28</c:v>
                </c:pt>
                <c:pt idx="19">
                  <c:v>10</c:v>
                </c:pt>
                <c:pt idx="20">
                  <c:v>5</c:v>
                </c:pt>
                <c:pt idx="21">
                  <c:v>3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D2-4C90-A7AF-D48BAEBBFCA9}"/>
            </c:ext>
          </c:extLst>
        </c:ser>
        <c:ser>
          <c:idx val="6"/>
          <c:order val="6"/>
          <c:tx>
            <c:strRef>
              <c:f>'Infected NF'!$H$2</c:f>
              <c:strCache>
                <c:ptCount val="1"/>
                <c:pt idx="0">
                  <c:v>Run 7</c:v>
                </c:pt>
              </c:strCache>
            </c:strRef>
          </c:tx>
          <c:spPr>
            <a:ln w="19050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NF'!$H$3:$H$29</c:f>
              <c:numCache>
                <c:formatCode>General</c:formatCode>
                <c:ptCount val="27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14</c:v>
                </c:pt>
                <c:pt idx="4">
                  <c:v>27</c:v>
                </c:pt>
                <c:pt idx="5">
                  <c:v>52</c:v>
                </c:pt>
                <c:pt idx="6">
                  <c:v>87</c:v>
                </c:pt>
                <c:pt idx="7">
                  <c:v>160</c:v>
                </c:pt>
                <c:pt idx="8">
                  <c:v>275</c:v>
                </c:pt>
                <c:pt idx="9">
                  <c:v>443</c:v>
                </c:pt>
                <c:pt idx="10">
                  <c:v>625</c:v>
                </c:pt>
                <c:pt idx="11">
                  <c:v>757</c:v>
                </c:pt>
                <c:pt idx="12">
                  <c:v>821</c:v>
                </c:pt>
                <c:pt idx="13">
                  <c:v>790</c:v>
                </c:pt>
                <c:pt idx="14">
                  <c:v>702</c:v>
                </c:pt>
                <c:pt idx="15">
                  <c:v>535</c:v>
                </c:pt>
                <c:pt idx="16">
                  <c:v>342</c:v>
                </c:pt>
                <c:pt idx="17">
                  <c:v>189</c:v>
                </c:pt>
                <c:pt idx="18">
                  <c:v>88</c:v>
                </c:pt>
                <c:pt idx="19">
                  <c:v>47</c:v>
                </c:pt>
                <c:pt idx="20">
                  <c:v>16</c:v>
                </c:pt>
                <c:pt idx="21">
                  <c:v>7</c:v>
                </c:pt>
                <c:pt idx="22">
                  <c:v>5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CD2-4C90-A7AF-D48BAEBBFCA9}"/>
            </c:ext>
          </c:extLst>
        </c:ser>
        <c:ser>
          <c:idx val="7"/>
          <c:order val="7"/>
          <c:tx>
            <c:strRef>
              <c:f>'Infected NF'!$I$2</c:f>
              <c:strCache>
                <c:ptCount val="1"/>
                <c:pt idx="0">
                  <c:v>Run 8</c:v>
                </c:pt>
              </c:strCache>
            </c:strRef>
          </c:tx>
          <c:spPr>
            <a:ln w="19050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NF'!$I$3:$I$29</c:f>
              <c:numCache>
                <c:formatCode>General</c:formatCode>
                <c:ptCount val="2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12</c:v>
                </c:pt>
                <c:pt idx="4">
                  <c:v>24</c:v>
                </c:pt>
                <c:pt idx="5">
                  <c:v>38</c:v>
                </c:pt>
                <c:pt idx="6">
                  <c:v>80</c:v>
                </c:pt>
                <c:pt idx="7">
                  <c:v>137</c:v>
                </c:pt>
                <c:pt idx="8">
                  <c:v>235</c:v>
                </c:pt>
                <c:pt idx="9">
                  <c:v>384</c:v>
                </c:pt>
                <c:pt idx="10">
                  <c:v>556</c:v>
                </c:pt>
                <c:pt idx="11">
                  <c:v>720</c:v>
                </c:pt>
                <c:pt idx="12">
                  <c:v>810</c:v>
                </c:pt>
                <c:pt idx="13">
                  <c:v>802</c:v>
                </c:pt>
                <c:pt idx="14">
                  <c:v>740</c:v>
                </c:pt>
                <c:pt idx="15">
                  <c:v>594</c:v>
                </c:pt>
                <c:pt idx="16">
                  <c:v>411</c:v>
                </c:pt>
                <c:pt idx="17">
                  <c:v>238</c:v>
                </c:pt>
                <c:pt idx="18">
                  <c:v>104</c:v>
                </c:pt>
                <c:pt idx="19">
                  <c:v>54</c:v>
                </c:pt>
                <c:pt idx="20">
                  <c:v>16</c:v>
                </c:pt>
                <c:pt idx="21">
                  <c:v>7</c:v>
                </c:pt>
                <c:pt idx="22">
                  <c:v>6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CD2-4C90-A7AF-D48BAEBBFCA9}"/>
            </c:ext>
          </c:extLst>
        </c:ser>
        <c:ser>
          <c:idx val="8"/>
          <c:order val="8"/>
          <c:tx>
            <c:strRef>
              <c:f>'Infected NF'!$J$2</c:f>
              <c:strCache>
                <c:ptCount val="1"/>
                <c:pt idx="0">
                  <c:v>Run 9</c:v>
                </c:pt>
              </c:strCache>
            </c:strRef>
          </c:tx>
          <c:spPr>
            <a:ln w="19050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NF'!$J$3:$J$29</c:f>
              <c:numCache>
                <c:formatCode>General</c:formatCode>
                <c:ptCount val="2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10</c:v>
                </c:pt>
                <c:pt idx="4">
                  <c:v>17</c:v>
                </c:pt>
                <c:pt idx="5">
                  <c:v>30</c:v>
                </c:pt>
                <c:pt idx="6">
                  <c:v>60</c:v>
                </c:pt>
                <c:pt idx="7">
                  <c:v>110</c:v>
                </c:pt>
                <c:pt idx="8">
                  <c:v>185</c:v>
                </c:pt>
                <c:pt idx="9">
                  <c:v>318</c:v>
                </c:pt>
                <c:pt idx="10">
                  <c:v>489</c:v>
                </c:pt>
                <c:pt idx="11">
                  <c:v>670</c:v>
                </c:pt>
                <c:pt idx="12">
                  <c:v>784</c:v>
                </c:pt>
                <c:pt idx="13">
                  <c:v>826</c:v>
                </c:pt>
                <c:pt idx="14">
                  <c:v>788</c:v>
                </c:pt>
                <c:pt idx="15">
                  <c:v>665</c:v>
                </c:pt>
                <c:pt idx="16">
                  <c:v>490</c:v>
                </c:pt>
                <c:pt idx="17">
                  <c:v>298</c:v>
                </c:pt>
                <c:pt idx="18">
                  <c:v>154</c:v>
                </c:pt>
                <c:pt idx="19">
                  <c:v>61</c:v>
                </c:pt>
                <c:pt idx="20">
                  <c:v>23</c:v>
                </c:pt>
                <c:pt idx="21">
                  <c:v>7</c:v>
                </c:pt>
                <c:pt idx="22">
                  <c:v>4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CD2-4C90-A7AF-D48BAEBBFCA9}"/>
            </c:ext>
          </c:extLst>
        </c:ser>
        <c:ser>
          <c:idx val="9"/>
          <c:order val="9"/>
          <c:tx>
            <c:strRef>
              <c:f>'Infected NF'!$K$2</c:f>
              <c:strCache>
                <c:ptCount val="1"/>
                <c:pt idx="0">
                  <c:v>Run 10</c:v>
                </c:pt>
              </c:strCache>
            </c:strRef>
          </c:tx>
          <c:spPr>
            <a:ln w="19050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NF'!$K$3:$K$29</c:f>
              <c:numCache>
                <c:formatCode>General</c:formatCode>
                <c:ptCount val="27"/>
                <c:pt idx="0">
                  <c:v>2</c:v>
                </c:pt>
                <c:pt idx="1">
                  <c:v>5</c:v>
                </c:pt>
                <c:pt idx="2">
                  <c:v>12</c:v>
                </c:pt>
                <c:pt idx="3">
                  <c:v>19</c:v>
                </c:pt>
                <c:pt idx="4">
                  <c:v>44</c:v>
                </c:pt>
                <c:pt idx="5">
                  <c:v>83</c:v>
                </c:pt>
                <c:pt idx="6">
                  <c:v>164</c:v>
                </c:pt>
                <c:pt idx="7">
                  <c:v>289</c:v>
                </c:pt>
                <c:pt idx="8">
                  <c:v>448</c:v>
                </c:pt>
                <c:pt idx="9">
                  <c:v>643</c:v>
                </c:pt>
                <c:pt idx="10">
                  <c:v>793</c:v>
                </c:pt>
                <c:pt idx="11">
                  <c:v>856</c:v>
                </c:pt>
                <c:pt idx="12">
                  <c:v>813</c:v>
                </c:pt>
                <c:pt idx="13">
                  <c:v>699</c:v>
                </c:pt>
                <c:pt idx="14">
                  <c:v>536</c:v>
                </c:pt>
                <c:pt idx="15">
                  <c:v>335</c:v>
                </c:pt>
                <c:pt idx="16">
                  <c:v>161</c:v>
                </c:pt>
                <c:pt idx="17">
                  <c:v>59</c:v>
                </c:pt>
                <c:pt idx="18">
                  <c:v>19</c:v>
                </c:pt>
                <c:pt idx="19">
                  <c:v>5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CD2-4C90-A7AF-D48BAEBBFCA9}"/>
            </c:ext>
          </c:extLst>
        </c:ser>
        <c:ser>
          <c:idx val="10"/>
          <c:order val="10"/>
          <c:tx>
            <c:strRef>
              <c:f>'Infected NF'!$L$2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yVal>
            <c:numRef>
              <c:f>'Infected NF'!$L$3:$L$29</c:f>
              <c:numCache>
                <c:formatCode>General</c:formatCode>
                <c:ptCount val="27"/>
                <c:pt idx="0">
                  <c:v>2</c:v>
                </c:pt>
                <c:pt idx="1">
                  <c:v>4.0999999999999996</c:v>
                </c:pt>
                <c:pt idx="2">
                  <c:v>7.8</c:v>
                </c:pt>
                <c:pt idx="3">
                  <c:v>15</c:v>
                </c:pt>
                <c:pt idx="4">
                  <c:v>30.3</c:v>
                </c:pt>
                <c:pt idx="5">
                  <c:v>57.6</c:v>
                </c:pt>
                <c:pt idx="6">
                  <c:v>110.2</c:v>
                </c:pt>
                <c:pt idx="7">
                  <c:v>192.4</c:v>
                </c:pt>
                <c:pt idx="8">
                  <c:v>321.2</c:v>
                </c:pt>
                <c:pt idx="9">
                  <c:v>489.4</c:v>
                </c:pt>
                <c:pt idx="10">
                  <c:v>655.7</c:v>
                </c:pt>
                <c:pt idx="11">
                  <c:v>775</c:v>
                </c:pt>
                <c:pt idx="12">
                  <c:v>809.7</c:v>
                </c:pt>
                <c:pt idx="13">
                  <c:v>769.3</c:v>
                </c:pt>
                <c:pt idx="14">
                  <c:v>656.8</c:v>
                </c:pt>
                <c:pt idx="15">
                  <c:v>488.2</c:v>
                </c:pt>
                <c:pt idx="16">
                  <c:v>309.2</c:v>
                </c:pt>
                <c:pt idx="17">
                  <c:v>164.2</c:v>
                </c:pt>
                <c:pt idx="18">
                  <c:v>75.2</c:v>
                </c:pt>
                <c:pt idx="19">
                  <c:v>31.7</c:v>
                </c:pt>
                <c:pt idx="20">
                  <c:v>11.8</c:v>
                </c:pt>
                <c:pt idx="21">
                  <c:v>5</c:v>
                </c:pt>
                <c:pt idx="22">
                  <c:v>2.4</c:v>
                </c:pt>
                <c:pt idx="23">
                  <c:v>0.8</c:v>
                </c:pt>
                <c:pt idx="24">
                  <c:v>0.5</c:v>
                </c:pt>
                <c:pt idx="25">
                  <c:v>0.1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CD2-4C90-A7AF-D48BAEBBF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90784"/>
        <c:axId val="1318262624"/>
      </c:scatterChart>
      <c:valAx>
        <c:axId val="107739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62624"/>
        <c:crosses val="autoZero"/>
        <c:crossBetween val="midCat"/>
      </c:valAx>
      <c:valAx>
        <c:axId val="1318262624"/>
        <c:scaling>
          <c:orientation val="minMax"/>
          <c:max val="1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0784"/>
        <c:crosses val="autoZero"/>
        <c:crossBetween val="midCat"/>
        <c:majorUnit val="200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'Mobility FF'!$B$2</c:f>
              <c:strCache>
                <c:ptCount val="1"/>
                <c:pt idx="0">
                  <c:v>Run 1</c:v>
                </c:pt>
              </c:strCache>
            </c:strRef>
          </c:tx>
          <c:spPr>
            <a:ln w="19050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'Mobility FF'!$B$3:$B$200</c:f>
              <c:numCache>
                <c:formatCode>General</c:formatCode>
                <c:ptCount val="198"/>
                <c:pt idx="0">
                  <c:v>1</c:v>
                </c:pt>
                <c:pt idx="1">
                  <c:v>0.99639999999999995</c:v>
                </c:pt>
                <c:pt idx="2">
                  <c:v>0.99519999999999997</c:v>
                </c:pt>
                <c:pt idx="3">
                  <c:v>0.998</c:v>
                </c:pt>
                <c:pt idx="4">
                  <c:v>0.61</c:v>
                </c:pt>
                <c:pt idx="5">
                  <c:v>0.59519999999999995</c:v>
                </c:pt>
                <c:pt idx="6">
                  <c:v>0.50719999999999998</c:v>
                </c:pt>
                <c:pt idx="7">
                  <c:v>0.43719999999999998</c:v>
                </c:pt>
                <c:pt idx="8">
                  <c:v>0.20680000000000001</c:v>
                </c:pt>
                <c:pt idx="9">
                  <c:v>0.1196</c:v>
                </c:pt>
                <c:pt idx="10">
                  <c:v>0.26240000000000002</c:v>
                </c:pt>
                <c:pt idx="11">
                  <c:v>0.2</c:v>
                </c:pt>
                <c:pt idx="12">
                  <c:v>0.1948</c:v>
                </c:pt>
                <c:pt idx="13">
                  <c:v>0.28760000000000002</c:v>
                </c:pt>
                <c:pt idx="14">
                  <c:v>0.2984</c:v>
                </c:pt>
                <c:pt idx="15">
                  <c:v>0.58479999999999999</c:v>
                </c:pt>
                <c:pt idx="16">
                  <c:v>0.51559999999999995</c:v>
                </c:pt>
                <c:pt idx="17">
                  <c:v>0.54239999999999999</c:v>
                </c:pt>
                <c:pt idx="18">
                  <c:v>0.44679999999999997</c:v>
                </c:pt>
                <c:pt idx="19">
                  <c:v>0.50960000000000005</c:v>
                </c:pt>
                <c:pt idx="20">
                  <c:v>0.71879999999999999</c:v>
                </c:pt>
                <c:pt idx="21">
                  <c:v>0.31280000000000002</c:v>
                </c:pt>
                <c:pt idx="22">
                  <c:v>0.51680000000000004</c:v>
                </c:pt>
                <c:pt idx="23">
                  <c:v>0.12839999999999999</c:v>
                </c:pt>
                <c:pt idx="24">
                  <c:v>0.12959999999999999</c:v>
                </c:pt>
                <c:pt idx="25">
                  <c:v>0.43480000000000002</c:v>
                </c:pt>
                <c:pt idx="26">
                  <c:v>0.48920000000000002</c:v>
                </c:pt>
                <c:pt idx="27">
                  <c:v>0.63039999999999996</c:v>
                </c:pt>
                <c:pt idx="28">
                  <c:v>0.98799999999999999</c:v>
                </c:pt>
                <c:pt idx="29">
                  <c:v>0.61439999999999995</c:v>
                </c:pt>
                <c:pt idx="30">
                  <c:v>0.996</c:v>
                </c:pt>
                <c:pt idx="31">
                  <c:v>0.63959999999999995</c:v>
                </c:pt>
                <c:pt idx="32">
                  <c:v>0.31359999999999999</c:v>
                </c:pt>
                <c:pt idx="33">
                  <c:v>0.52559999999999996</c:v>
                </c:pt>
                <c:pt idx="34">
                  <c:v>0.55520000000000003</c:v>
                </c:pt>
                <c:pt idx="35">
                  <c:v>0.57799999999999996</c:v>
                </c:pt>
                <c:pt idx="36">
                  <c:v>0.61880000000000002</c:v>
                </c:pt>
                <c:pt idx="37">
                  <c:v>0.61919999999999997</c:v>
                </c:pt>
                <c:pt idx="38">
                  <c:v>0.61040000000000005</c:v>
                </c:pt>
                <c:pt idx="39">
                  <c:v>0.60360000000000003</c:v>
                </c:pt>
                <c:pt idx="40">
                  <c:v>0.61560000000000004</c:v>
                </c:pt>
                <c:pt idx="41">
                  <c:v>0.64680000000000004</c:v>
                </c:pt>
                <c:pt idx="42">
                  <c:v>0.58399999999999996</c:v>
                </c:pt>
                <c:pt idx="43">
                  <c:v>0.59040000000000004</c:v>
                </c:pt>
                <c:pt idx="44">
                  <c:v>0.60760000000000003</c:v>
                </c:pt>
                <c:pt idx="45">
                  <c:v>0.60799999999999998</c:v>
                </c:pt>
                <c:pt idx="46">
                  <c:v>0.64119999999999999</c:v>
                </c:pt>
                <c:pt idx="47">
                  <c:v>0.99560000000000004</c:v>
                </c:pt>
                <c:pt idx="48">
                  <c:v>0.99719999999999998</c:v>
                </c:pt>
                <c:pt idx="49">
                  <c:v>0.99719999999999998</c:v>
                </c:pt>
                <c:pt idx="50">
                  <c:v>0.64880000000000004</c:v>
                </c:pt>
                <c:pt idx="51">
                  <c:v>0.59560000000000002</c:v>
                </c:pt>
                <c:pt idx="52">
                  <c:v>0.51839999999999997</c:v>
                </c:pt>
                <c:pt idx="53">
                  <c:v>0.50600000000000001</c:v>
                </c:pt>
                <c:pt idx="54">
                  <c:v>0.30599999999999999</c:v>
                </c:pt>
                <c:pt idx="55">
                  <c:v>0.51439999999999997</c:v>
                </c:pt>
                <c:pt idx="56">
                  <c:v>0.29480000000000001</c:v>
                </c:pt>
                <c:pt idx="57">
                  <c:v>0.55800000000000005</c:v>
                </c:pt>
                <c:pt idx="58">
                  <c:v>0.62239999999999995</c:v>
                </c:pt>
                <c:pt idx="59">
                  <c:v>0.60319999999999996</c:v>
                </c:pt>
                <c:pt idx="60">
                  <c:v>0.99080000000000001</c:v>
                </c:pt>
                <c:pt idx="61">
                  <c:v>0.60519999999999996</c:v>
                </c:pt>
                <c:pt idx="62">
                  <c:v>0.61799999999999999</c:v>
                </c:pt>
                <c:pt idx="63">
                  <c:v>0.64400000000000002</c:v>
                </c:pt>
                <c:pt idx="64">
                  <c:v>0.51719999999999999</c:v>
                </c:pt>
                <c:pt idx="65">
                  <c:v>0.59119999999999995</c:v>
                </c:pt>
                <c:pt idx="66">
                  <c:v>0.61560000000000004</c:v>
                </c:pt>
                <c:pt idx="67">
                  <c:v>0.6048</c:v>
                </c:pt>
                <c:pt idx="68">
                  <c:v>0.56759999999999999</c:v>
                </c:pt>
                <c:pt idx="69">
                  <c:v>0.32079999999999997</c:v>
                </c:pt>
                <c:pt idx="70">
                  <c:v>0.624</c:v>
                </c:pt>
                <c:pt idx="71">
                  <c:v>0.64559999999999995</c:v>
                </c:pt>
                <c:pt idx="72">
                  <c:v>0.60440000000000005</c:v>
                </c:pt>
                <c:pt idx="73">
                  <c:v>0.65920000000000001</c:v>
                </c:pt>
                <c:pt idx="74">
                  <c:v>0.98880000000000001</c:v>
                </c:pt>
                <c:pt idx="75">
                  <c:v>0.99719999999999998</c:v>
                </c:pt>
                <c:pt idx="76">
                  <c:v>0.99760000000000004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CA-4803-982E-19A763B79E87}"/>
            </c:ext>
          </c:extLst>
        </c:ser>
        <c:ser>
          <c:idx val="1"/>
          <c:order val="1"/>
          <c:tx>
            <c:strRef>
              <c:f>'Mobility FF'!$C$2</c:f>
              <c:strCache>
                <c:ptCount val="1"/>
                <c:pt idx="0">
                  <c:v>Run 2</c:v>
                </c:pt>
              </c:strCache>
            </c:strRef>
          </c:tx>
          <c:spPr>
            <a:ln w="19050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'Mobility FF'!$C$3:$C$200</c:f>
              <c:numCache>
                <c:formatCode>General</c:formatCode>
                <c:ptCount val="198"/>
                <c:pt idx="0">
                  <c:v>1</c:v>
                </c:pt>
                <c:pt idx="1">
                  <c:v>0.99280000000000002</c:v>
                </c:pt>
                <c:pt idx="2">
                  <c:v>0.99199999999999999</c:v>
                </c:pt>
                <c:pt idx="3">
                  <c:v>0.996</c:v>
                </c:pt>
                <c:pt idx="4">
                  <c:v>0.63360000000000005</c:v>
                </c:pt>
                <c:pt idx="5">
                  <c:v>0.64959999999999996</c:v>
                </c:pt>
                <c:pt idx="6">
                  <c:v>0.63119999999999998</c:v>
                </c:pt>
                <c:pt idx="7">
                  <c:v>0.70799999999999996</c:v>
                </c:pt>
                <c:pt idx="8">
                  <c:v>0.2112</c:v>
                </c:pt>
                <c:pt idx="9">
                  <c:v>0.14599999999999999</c:v>
                </c:pt>
                <c:pt idx="10">
                  <c:v>0.27639999999999998</c:v>
                </c:pt>
                <c:pt idx="11">
                  <c:v>7.9600000000000004E-2</c:v>
                </c:pt>
                <c:pt idx="12">
                  <c:v>0.54800000000000004</c:v>
                </c:pt>
                <c:pt idx="13">
                  <c:v>0.60440000000000005</c:v>
                </c:pt>
                <c:pt idx="14">
                  <c:v>0.63600000000000001</c:v>
                </c:pt>
                <c:pt idx="15">
                  <c:v>0.61399999999999999</c:v>
                </c:pt>
                <c:pt idx="16">
                  <c:v>0.63480000000000003</c:v>
                </c:pt>
                <c:pt idx="17">
                  <c:v>0.57640000000000002</c:v>
                </c:pt>
                <c:pt idx="18">
                  <c:v>0.32040000000000002</c:v>
                </c:pt>
                <c:pt idx="19">
                  <c:v>0.32840000000000003</c:v>
                </c:pt>
                <c:pt idx="20">
                  <c:v>0.50039999999999996</c:v>
                </c:pt>
                <c:pt idx="21">
                  <c:v>0.496</c:v>
                </c:pt>
                <c:pt idx="22">
                  <c:v>0.49640000000000001</c:v>
                </c:pt>
                <c:pt idx="23">
                  <c:v>0.31840000000000002</c:v>
                </c:pt>
                <c:pt idx="24">
                  <c:v>0.55120000000000002</c:v>
                </c:pt>
                <c:pt idx="25">
                  <c:v>0.65</c:v>
                </c:pt>
                <c:pt idx="26">
                  <c:v>0.60040000000000004</c:v>
                </c:pt>
                <c:pt idx="27">
                  <c:v>0.61919999999999997</c:v>
                </c:pt>
                <c:pt idx="28">
                  <c:v>0.64159999999999995</c:v>
                </c:pt>
                <c:pt idx="29">
                  <c:v>0.54520000000000002</c:v>
                </c:pt>
                <c:pt idx="30">
                  <c:v>0.47760000000000002</c:v>
                </c:pt>
                <c:pt idx="31">
                  <c:v>0.43959999999999999</c:v>
                </c:pt>
                <c:pt idx="32">
                  <c:v>0.21</c:v>
                </c:pt>
                <c:pt idx="33">
                  <c:v>0.30919999999999997</c:v>
                </c:pt>
                <c:pt idx="34">
                  <c:v>0.52800000000000002</c:v>
                </c:pt>
                <c:pt idx="35">
                  <c:v>0.61919999999999997</c:v>
                </c:pt>
                <c:pt idx="36">
                  <c:v>0.61839999999999995</c:v>
                </c:pt>
                <c:pt idx="37">
                  <c:v>0.64839999999999998</c:v>
                </c:pt>
                <c:pt idx="38">
                  <c:v>0.6008</c:v>
                </c:pt>
                <c:pt idx="39">
                  <c:v>0.56000000000000005</c:v>
                </c:pt>
                <c:pt idx="40">
                  <c:v>0.64759999999999995</c:v>
                </c:pt>
                <c:pt idx="41">
                  <c:v>0.61880000000000002</c:v>
                </c:pt>
                <c:pt idx="42">
                  <c:v>0.54679999999999995</c:v>
                </c:pt>
                <c:pt idx="43">
                  <c:v>0.50080000000000002</c:v>
                </c:pt>
                <c:pt idx="44">
                  <c:v>0.48199999999999998</c:v>
                </c:pt>
                <c:pt idx="45">
                  <c:v>0.49640000000000001</c:v>
                </c:pt>
                <c:pt idx="46">
                  <c:v>0.44800000000000001</c:v>
                </c:pt>
                <c:pt idx="47">
                  <c:v>0.4824</c:v>
                </c:pt>
                <c:pt idx="48">
                  <c:v>0.47960000000000003</c:v>
                </c:pt>
                <c:pt idx="49">
                  <c:v>0.54520000000000002</c:v>
                </c:pt>
                <c:pt idx="50">
                  <c:v>0.50119999999999998</c:v>
                </c:pt>
                <c:pt idx="51">
                  <c:v>0.33160000000000001</c:v>
                </c:pt>
                <c:pt idx="52">
                  <c:v>0.47720000000000001</c:v>
                </c:pt>
                <c:pt idx="53">
                  <c:v>0.60440000000000005</c:v>
                </c:pt>
                <c:pt idx="54">
                  <c:v>0.64280000000000004</c:v>
                </c:pt>
                <c:pt idx="55">
                  <c:v>0.63</c:v>
                </c:pt>
                <c:pt idx="56">
                  <c:v>0.6532</c:v>
                </c:pt>
                <c:pt idx="57">
                  <c:v>0.62639999999999996</c:v>
                </c:pt>
                <c:pt idx="58">
                  <c:v>0.61080000000000001</c:v>
                </c:pt>
                <c:pt idx="59">
                  <c:v>0.6472</c:v>
                </c:pt>
                <c:pt idx="60">
                  <c:v>0.33119999999999999</c:v>
                </c:pt>
                <c:pt idx="61">
                  <c:v>0.32200000000000001</c:v>
                </c:pt>
                <c:pt idx="62">
                  <c:v>0.63959999999999995</c:v>
                </c:pt>
                <c:pt idx="63">
                  <c:v>0.65239999999999998</c:v>
                </c:pt>
                <c:pt idx="64">
                  <c:v>0.98839999999999995</c:v>
                </c:pt>
                <c:pt idx="65">
                  <c:v>0.99519999999999997</c:v>
                </c:pt>
                <c:pt idx="66">
                  <c:v>0.99680000000000002</c:v>
                </c:pt>
                <c:pt idx="67">
                  <c:v>0.99080000000000001</c:v>
                </c:pt>
                <c:pt idx="68">
                  <c:v>0.64319999999999999</c:v>
                </c:pt>
                <c:pt idx="69">
                  <c:v>0.59079999999999999</c:v>
                </c:pt>
                <c:pt idx="70">
                  <c:v>0.59840000000000004</c:v>
                </c:pt>
                <c:pt idx="71">
                  <c:v>0.6472</c:v>
                </c:pt>
                <c:pt idx="72">
                  <c:v>0.64559999999999995</c:v>
                </c:pt>
                <c:pt idx="73">
                  <c:v>0.65559999999999996</c:v>
                </c:pt>
                <c:pt idx="74">
                  <c:v>0.99280000000000002</c:v>
                </c:pt>
                <c:pt idx="75">
                  <c:v>0.99160000000000004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CA-4803-982E-19A763B79E87}"/>
            </c:ext>
          </c:extLst>
        </c:ser>
        <c:ser>
          <c:idx val="2"/>
          <c:order val="2"/>
          <c:tx>
            <c:strRef>
              <c:f>'Mobility FF'!$D$2</c:f>
              <c:strCache>
                <c:ptCount val="1"/>
                <c:pt idx="0">
                  <c:v>Run 3</c:v>
                </c:pt>
              </c:strCache>
            </c:strRef>
          </c:tx>
          <c:spPr>
            <a:ln w="19050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'Mobility FF'!$D$3:$D$200</c:f>
              <c:numCache>
                <c:formatCode>General</c:formatCode>
                <c:ptCount val="198"/>
                <c:pt idx="0">
                  <c:v>1</c:v>
                </c:pt>
                <c:pt idx="1">
                  <c:v>0.99039999999999995</c:v>
                </c:pt>
                <c:pt idx="2">
                  <c:v>0.98919999999999997</c:v>
                </c:pt>
                <c:pt idx="3">
                  <c:v>0.98880000000000001</c:v>
                </c:pt>
                <c:pt idx="4">
                  <c:v>0.60199999999999998</c:v>
                </c:pt>
                <c:pt idx="5">
                  <c:v>0.61599999999999999</c:v>
                </c:pt>
                <c:pt idx="6">
                  <c:v>0.28160000000000002</c:v>
                </c:pt>
                <c:pt idx="7">
                  <c:v>0.51039999999999996</c:v>
                </c:pt>
                <c:pt idx="8">
                  <c:v>0.5736</c:v>
                </c:pt>
                <c:pt idx="9">
                  <c:v>0.5716</c:v>
                </c:pt>
                <c:pt idx="10">
                  <c:v>0.51959999999999995</c:v>
                </c:pt>
                <c:pt idx="11">
                  <c:v>0.28799999999999998</c:v>
                </c:pt>
                <c:pt idx="12">
                  <c:v>0.42480000000000001</c:v>
                </c:pt>
                <c:pt idx="13">
                  <c:v>0.27960000000000002</c:v>
                </c:pt>
                <c:pt idx="14">
                  <c:v>0.1784</c:v>
                </c:pt>
                <c:pt idx="15">
                  <c:v>0.48720000000000002</c:v>
                </c:pt>
                <c:pt idx="16">
                  <c:v>0.69240000000000002</c:v>
                </c:pt>
                <c:pt idx="17">
                  <c:v>0.49440000000000001</c:v>
                </c:pt>
                <c:pt idx="18">
                  <c:v>0.54959999999999998</c:v>
                </c:pt>
                <c:pt idx="19">
                  <c:v>0.57440000000000002</c:v>
                </c:pt>
                <c:pt idx="20">
                  <c:v>0.2868</c:v>
                </c:pt>
                <c:pt idx="21">
                  <c:v>0.51759999999999995</c:v>
                </c:pt>
                <c:pt idx="22">
                  <c:v>0.48720000000000002</c:v>
                </c:pt>
                <c:pt idx="23">
                  <c:v>0.52239999999999998</c:v>
                </c:pt>
                <c:pt idx="24">
                  <c:v>0.28079999999999999</c:v>
                </c:pt>
                <c:pt idx="25">
                  <c:v>0.6008</c:v>
                </c:pt>
                <c:pt idx="26">
                  <c:v>0.61639999999999995</c:v>
                </c:pt>
                <c:pt idx="27">
                  <c:v>0.62319999999999998</c:v>
                </c:pt>
                <c:pt idx="28">
                  <c:v>0.57120000000000004</c:v>
                </c:pt>
                <c:pt idx="29">
                  <c:v>0.28160000000000002</c:v>
                </c:pt>
                <c:pt idx="30">
                  <c:v>0.61080000000000001</c:v>
                </c:pt>
                <c:pt idx="31">
                  <c:v>0.57799999999999996</c:v>
                </c:pt>
                <c:pt idx="32">
                  <c:v>0.2848</c:v>
                </c:pt>
                <c:pt idx="33">
                  <c:v>0.57679999999999998</c:v>
                </c:pt>
                <c:pt idx="34">
                  <c:v>0.57999999999999996</c:v>
                </c:pt>
                <c:pt idx="35">
                  <c:v>0.59279999999999999</c:v>
                </c:pt>
                <c:pt idx="36">
                  <c:v>0.98399999999999999</c:v>
                </c:pt>
                <c:pt idx="37">
                  <c:v>0.6008</c:v>
                </c:pt>
                <c:pt idx="38">
                  <c:v>0.98280000000000001</c:v>
                </c:pt>
                <c:pt idx="39">
                  <c:v>0.58799999999999997</c:v>
                </c:pt>
                <c:pt idx="40">
                  <c:v>0.59599999999999997</c:v>
                </c:pt>
                <c:pt idx="41">
                  <c:v>0.61719999999999997</c:v>
                </c:pt>
                <c:pt idx="42">
                  <c:v>0.61439999999999995</c:v>
                </c:pt>
                <c:pt idx="43">
                  <c:v>0.59519999999999995</c:v>
                </c:pt>
                <c:pt idx="44">
                  <c:v>0.60160000000000002</c:v>
                </c:pt>
                <c:pt idx="45">
                  <c:v>0.60440000000000005</c:v>
                </c:pt>
                <c:pt idx="46">
                  <c:v>0.59760000000000002</c:v>
                </c:pt>
                <c:pt idx="47">
                  <c:v>0.98040000000000005</c:v>
                </c:pt>
                <c:pt idx="48">
                  <c:v>0.61280000000000001</c:v>
                </c:pt>
                <c:pt idx="49">
                  <c:v>0.98680000000000001</c:v>
                </c:pt>
                <c:pt idx="50">
                  <c:v>0.98560000000000003</c:v>
                </c:pt>
                <c:pt idx="51">
                  <c:v>0.62519999999999998</c:v>
                </c:pt>
                <c:pt idx="52">
                  <c:v>0.98560000000000003</c:v>
                </c:pt>
                <c:pt idx="53">
                  <c:v>0.98760000000000003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CA-4803-982E-19A763B79E87}"/>
            </c:ext>
          </c:extLst>
        </c:ser>
        <c:ser>
          <c:idx val="3"/>
          <c:order val="3"/>
          <c:tx>
            <c:strRef>
              <c:f>'Mobility FF'!$E$2</c:f>
              <c:strCache>
                <c:ptCount val="1"/>
                <c:pt idx="0">
                  <c:v>Run 4</c:v>
                </c:pt>
              </c:strCache>
            </c:strRef>
          </c:tx>
          <c:spPr>
            <a:ln w="19050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'Mobility FF'!$E$3:$E$200</c:f>
              <c:numCache>
                <c:formatCode>General</c:formatCode>
                <c:ptCount val="198"/>
                <c:pt idx="0">
                  <c:v>1</c:v>
                </c:pt>
                <c:pt idx="1">
                  <c:v>0.99560000000000004</c:v>
                </c:pt>
                <c:pt idx="2">
                  <c:v>0.99760000000000004</c:v>
                </c:pt>
                <c:pt idx="3">
                  <c:v>0.99639999999999995</c:v>
                </c:pt>
                <c:pt idx="4">
                  <c:v>0.62519999999999998</c:v>
                </c:pt>
                <c:pt idx="5">
                  <c:v>0.98960000000000004</c:v>
                </c:pt>
                <c:pt idx="6">
                  <c:v>0.58640000000000003</c:v>
                </c:pt>
                <c:pt idx="7">
                  <c:v>0.47039999999999998</c:v>
                </c:pt>
                <c:pt idx="8">
                  <c:v>0.5544</c:v>
                </c:pt>
                <c:pt idx="9">
                  <c:v>0.23480000000000001</c:v>
                </c:pt>
                <c:pt idx="10">
                  <c:v>0.1196</c:v>
                </c:pt>
                <c:pt idx="11">
                  <c:v>0.1132</c:v>
                </c:pt>
                <c:pt idx="12">
                  <c:v>0.252</c:v>
                </c:pt>
                <c:pt idx="13">
                  <c:v>0.19359999999999999</c:v>
                </c:pt>
                <c:pt idx="14">
                  <c:v>0.4844</c:v>
                </c:pt>
                <c:pt idx="15">
                  <c:v>0.55320000000000003</c:v>
                </c:pt>
                <c:pt idx="16">
                  <c:v>0.61199999999999999</c:v>
                </c:pt>
                <c:pt idx="17">
                  <c:v>0.64680000000000004</c:v>
                </c:pt>
                <c:pt idx="18">
                  <c:v>0.60760000000000003</c:v>
                </c:pt>
                <c:pt idx="19">
                  <c:v>0.57679999999999998</c:v>
                </c:pt>
                <c:pt idx="20">
                  <c:v>0.5232</c:v>
                </c:pt>
                <c:pt idx="21">
                  <c:v>0.56079999999999997</c:v>
                </c:pt>
                <c:pt idx="22">
                  <c:v>0.50080000000000002</c:v>
                </c:pt>
                <c:pt idx="23">
                  <c:v>0.49559999999999998</c:v>
                </c:pt>
                <c:pt idx="24">
                  <c:v>0.49159999999999998</c:v>
                </c:pt>
                <c:pt idx="25">
                  <c:v>0.4924</c:v>
                </c:pt>
                <c:pt idx="26">
                  <c:v>0.71279999999999999</c:v>
                </c:pt>
                <c:pt idx="27">
                  <c:v>0.56320000000000003</c:v>
                </c:pt>
                <c:pt idx="28">
                  <c:v>0.44119999999999998</c:v>
                </c:pt>
                <c:pt idx="29">
                  <c:v>0.55840000000000001</c:v>
                </c:pt>
                <c:pt idx="30">
                  <c:v>0.2828</c:v>
                </c:pt>
                <c:pt idx="31">
                  <c:v>0.29320000000000002</c:v>
                </c:pt>
                <c:pt idx="32">
                  <c:v>0.46879999999999999</c:v>
                </c:pt>
                <c:pt idx="33">
                  <c:v>0.1832</c:v>
                </c:pt>
                <c:pt idx="34">
                  <c:v>0.69440000000000002</c:v>
                </c:pt>
                <c:pt idx="35">
                  <c:v>0.43840000000000001</c:v>
                </c:pt>
                <c:pt idx="36">
                  <c:v>0.55879999999999996</c:v>
                </c:pt>
                <c:pt idx="37">
                  <c:v>0.27079999999999999</c:v>
                </c:pt>
                <c:pt idx="38">
                  <c:v>0.50760000000000005</c:v>
                </c:pt>
                <c:pt idx="39">
                  <c:v>0.26840000000000003</c:v>
                </c:pt>
                <c:pt idx="40">
                  <c:v>0.61599999999999999</c:v>
                </c:pt>
                <c:pt idx="41">
                  <c:v>0.98599999999999999</c:v>
                </c:pt>
                <c:pt idx="42">
                  <c:v>0.63239999999999996</c:v>
                </c:pt>
                <c:pt idx="43">
                  <c:v>0.99280000000000002</c:v>
                </c:pt>
                <c:pt idx="44">
                  <c:v>0.61360000000000003</c:v>
                </c:pt>
                <c:pt idx="45">
                  <c:v>0.62880000000000003</c:v>
                </c:pt>
                <c:pt idx="46">
                  <c:v>0.58040000000000003</c:v>
                </c:pt>
                <c:pt idx="47">
                  <c:v>0.29520000000000002</c:v>
                </c:pt>
                <c:pt idx="48">
                  <c:v>0.6008</c:v>
                </c:pt>
                <c:pt idx="49">
                  <c:v>0.52039999999999997</c:v>
                </c:pt>
                <c:pt idx="50">
                  <c:v>0.61199999999999999</c:v>
                </c:pt>
                <c:pt idx="51">
                  <c:v>0.61160000000000003</c:v>
                </c:pt>
                <c:pt idx="52">
                  <c:v>0.99</c:v>
                </c:pt>
                <c:pt idx="53">
                  <c:v>0.63439999999999996</c:v>
                </c:pt>
                <c:pt idx="54">
                  <c:v>0.62639999999999996</c:v>
                </c:pt>
                <c:pt idx="55">
                  <c:v>0.99839999999999995</c:v>
                </c:pt>
                <c:pt idx="56">
                  <c:v>0.624</c:v>
                </c:pt>
                <c:pt idx="57">
                  <c:v>0.63039999999999996</c:v>
                </c:pt>
                <c:pt idx="58">
                  <c:v>0.61280000000000001</c:v>
                </c:pt>
                <c:pt idx="59">
                  <c:v>0.29039999999999999</c:v>
                </c:pt>
                <c:pt idx="60">
                  <c:v>0.62119999999999997</c:v>
                </c:pt>
                <c:pt idx="61">
                  <c:v>0.27679999999999999</c:v>
                </c:pt>
                <c:pt idx="62">
                  <c:v>0.46439999999999998</c:v>
                </c:pt>
                <c:pt idx="63">
                  <c:v>0.27200000000000002</c:v>
                </c:pt>
                <c:pt idx="64">
                  <c:v>0.28239999999999998</c:v>
                </c:pt>
                <c:pt idx="65">
                  <c:v>0.61680000000000001</c:v>
                </c:pt>
                <c:pt idx="66">
                  <c:v>0.61040000000000005</c:v>
                </c:pt>
                <c:pt idx="67">
                  <c:v>0.99480000000000002</c:v>
                </c:pt>
                <c:pt idx="68">
                  <c:v>0.63639999999999997</c:v>
                </c:pt>
                <c:pt idx="69">
                  <c:v>0.62319999999999998</c:v>
                </c:pt>
                <c:pt idx="70">
                  <c:v>0.996</c:v>
                </c:pt>
                <c:pt idx="71">
                  <c:v>0.6452</c:v>
                </c:pt>
                <c:pt idx="72">
                  <c:v>0.63600000000000001</c:v>
                </c:pt>
                <c:pt idx="73">
                  <c:v>0.65080000000000005</c:v>
                </c:pt>
                <c:pt idx="74">
                  <c:v>0.63400000000000001</c:v>
                </c:pt>
                <c:pt idx="75">
                  <c:v>0.99319999999999997</c:v>
                </c:pt>
                <c:pt idx="76">
                  <c:v>0.996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CA-4803-982E-19A763B79E87}"/>
            </c:ext>
          </c:extLst>
        </c:ser>
        <c:ser>
          <c:idx val="4"/>
          <c:order val="4"/>
          <c:tx>
            <c:strRef>
              <c:f>'Mobility FF'!$F$2</c:f>
              <c:strCache>
                <c:ptCount val="1"/>
                <c:pt idx="0">
                  <c:v>Run 5</c:v>
                </c:pt>
              </c:strCache>
            </c:strRef>
          </c:tx>
          <c:spPr>
            <a:ln w="19050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'Mobility FF'!$F$3:$F$200</c:f>
              <c:numCache>
                <c:formatCode>General</c:formatCode>
                <c:ptCount val="198"/>
                <c:pt idx="0">
                  <c:v>1</c:v>
                </c:pt>
                <c:pt idx="1">
                  <c:v>0.99360000000000004</c:v>
                </c:pt>
                <c:pt idx="2">
                  <c:v>0.99560000000000004</c:v>
                </c:pt>
                <c:pt idx="3">
                  <c:v>0.99199999999999999</c:v>
                </c:pt>
                <c:pt idx="4">
                  <c:v>0.622</c:v>
                </c:pt>
                <c:pt idx="5">
                  <c:v>0.62960000000000005</c:v>
                </c:pt>
                <c:pt idx="6">
                  <c:v>0.28720000000000001</c:v>
                </c:pt>
                <c:pt idx="7">
                  <c:v>0.55959999999999999</c:v>
                </c:pt>
                <c:pt idx="8">
                  <c:v>0.46560000000000001</c:v>
                </c:pt>
                <c:pt idx="9">
                  <c:v>0.7056</c:v>
                </c:pt>
                <c:pt idx="10">
                  <c:v>0.71640000000000004</c:v>
                </c:pt>
                <c:pt idx="11">
                  <c:v>0.4728</c:v>
                </c:pt>
                <c:pt idx="12">
                  <c:v>0.13439999999999999</c:v>
                </c:pt>
                <c:pt idx="13">
                  <c:v>0.1988</c:v>
                </c:pt>
                <c:pt idx="14">
                  <c:v>3.9199999999999999E-2</c:v>
                </c:pt>
                <c:pt idx="15">
                  <c:v>7.8E-2</c:v>
                </c:pt>
                <c:pt idx="16">
                  <c:v>0.5212</c:v>
                </c:pt>
                <c:pt idx="17">
                  <c:v>0.4456</c:v>
                </c:pt>
                <c:pt idx="18">
                  <c:v>0.59240000000000004</c:v>
                </c:pt>
                <c:pt idx="19">
                  <c:v>0.60640000000000005</c:v>
                </c:pt>
                <c:pt idx="20">
                  <c:v>0.60360000000000003</c:v>
                </c:pt>
                <c:pt idx="21">
                  <c:v>0.60799999999999998</c:v>
                </c:pt>
                <c:pt idx="22">
                  <c:v>0.2868</c:v>
                </c:pt>
                <c:pt idx="23">
                  <c:v>0.48959999999999998</c:v>
                </c:pt>
                <c:pt idx="24">
                  <c:v>0.47960000000000003</c:v>
                </c:pt>
                <c:pt idx="25">
                  <c:v>0.7268</c:v>
                </c:pt>
                <c:pt idx="26">
                  <c:v>0.26600000000000001</c:v>
                </c:pt>
                <c:pt idx="27">
                  <c:v>0.49280000000000002</c:v>
                </c:pt>
                <c:pt idx="28">
                  <c:v>0.58919999999999995</c:v>
                </c:pt>
                <c:pt idx="29">
                  <c:v>0.22559999999999999</c:v>
                </c:pt>
                <c:pt idx="30">
                  <c:v>0.60760000000000003</c:v>
                </c:pt>
                <c:pt idx="31">
                  <c:v>0.45879999999999999</c:v>
                </c:pt>
                <c:pt idx="32">
                  <c:v>0.58199999999999996</c:v>
                </c:pt>
                <c:pt idx="33">
                  <c:v>0.98960000000000004</c:v>
                </c:pt>
                <c:pt idx="34">
                  <c:v>0.62639999999999996</c:v>
                </c:pt>
                <c:pt idx="35">
                  <c:v>0.62360000000000004</c:v>
                </c:pt>
                <c:pt idx="36">
                  <c:v>0.60319999999999996</c:v>
                </c:pt>
                <c:pt idx="37">
                  <c:v>0.74760000000000004</c:v>
                </c:pt>
                <c:pt idx="38">
                  <c:v>0.61280000000000001</c:v>
                </c:pt>
                <c:pt idx="39">
                  <c:v>0.46</c:v>
                </c:pt>
                <c:pt idx="40">
                  <c:v>0.57840000000000003</c:v>
                </c:pt>
                <c:pt idx="41">
                  <c:v>0.48680000000000001</c:v>
                </c:pt>
                <c:pt idx="42">
                  <c:v>0.22639999999999999</c:v>
                </c:pt>
                <c:pt idx="43">
                  <c:v>0.58879999999999999</c:v>
                </c:pt>
                <c:pt idx="44">
                  <c:v>0.3352</c:v>
                </c:pt>
                <c:pt idx="45">
                  <c:v>0.59279999999999999</c:v>
                </c:pt>
                <c:pt idx="46">
                  <c:v>0.60160000000000002</c:v>
                </c:pt>
                <c:pt idx="47">
                  <c:v>0.60799999999999998</c:v>
                </c:pt>
                <c:pt idx="48">
                  <c:v>0.60519999999999996</c:v>
                </c:pt>
                <c:pt idx="49">
                  <c:v>0.63080000000000003</c:v>
                </c:pt>
                <c:pt idx="50">
                  <c:v>0.59640000000000004</c:v>
                </c:pt>
                <c:pt idx="51">
                  <c:v>0.98960000000000004</c:v>
                </c:pt>
                <c:pt idx="52">
                  <c:v>0.99119999999999997</c:v>
                </c:pt>
                <c:pt idx="53">
                  <c:v>0.99399999999999999</c:v>
                </c:pt>
                <c:pt idx="54">
                  <c:v>0.99280000000000002</c:v>
                </c:pt>
                <c:pt idx="55">
                  <c:v>0.99160000000000004</c:v>
                </c:pt>
                <c:pt idx="56">
                  <c:v>0.62880000000000003</c:v>
                </c:pt>
                <c:pt idx="57">
                  <c:v>0.60440000000000005</c:v>
                </c:pt>
                <c:pt idx="58">
                  <c:v>0.60760000000000003</c:v>
                </c:pt>
                <c:pt idx="59">
                  <c:v>0.28320000000000001</c:v>
                </c:pt>
                <c:pt idx="60">
                  <c:v>0.56279999999999997</c:v>
                </c:pt>
                <c:pt idx="61">
                  <c:v>0.5776</c:v>
                </c:pt>
                <c:pt idx="62">
                  <c:v>0.61480000000000001</c:v>
                </c:pt>
                <c:pt idx="63">
                  <c:v>0.98399999999999999</c:v>
                </c:pt>
                <c:pt idx="64">
                  <c:v>0.62319999999999998</c:v>
                </c:pt>
                <c:pt idx="65">
                  <c:v>0.98839999999999995</c:v>
                </c:pt>
                <c:pt idx="66">
                  <c:v>0.99</c:v>
                </c:pt>
                <c:pt idx="67">
                  <c:v>0.2964</c:v>
                </c:pt>
                <c:pt idx="68">
                  <c:v>0.60399999999999998</c:v>
                </c:pt>
                <c:pt idx="69">
                  <c:v>0.60160000000000002</c:v>
                </c:pt>
                <c:pt idx="70">
                  <c:v>0.60319999999999996</c:v>
                </c:pt>
                <c:pt idx="71">
                  <c:v>0.60560000000000003</c:v>
                </c:pt>
                <c:pt idx="72">
                  <c:v>0.626</c:v>
                </c:pt>
                <c:pt idx="73">
                  <c:v>0.63239999999999996</c:v>
                </c:pt>
                <c:pt idx="74">
                  <c:v>0.99319999999999997</c:v>
                </c:pt>
                <c:pt idx="75">
                  <c:v>0.62280000000000002</c:v>
                </c:pt>
                <c:pt idx="76">
                  <c:v>0.98960000000000004</c:v>
                </c:pt>
                <c:pt idx="77">
                  <c:v>0.61919999999999997</c:v>
                </c:pt>
                <c:pt idx="78">
                  <c:v>0.61719999999999997</c:v>
                </c:pt>
                <c:pt idx="79">
                  <c:v>0.61480000000000001</c:v>
                </c:pt>
                <c:pt idx="80">
                  <c:v>0.61439999999999995</c:v>
                </c:pt>
                <c:pt idx="81">
                  <c:v>0.58240000000000003</c:v>
                </c:pt>
                <c:pt idx="82">
                  <c:v>0.63400000000000001</c:v>
                </c:pt>
                <c:pt idx="83">
                  <c:v>0.61919999999999997</c:v>
                </c:pt>
                <c:pt idx="84">
                  <c:v>0.99280000000000002</c:v>
                </c:pt>
                <c:pt idx="85">
                  <c:v>0.99039999999999995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CA-4803-982E-19A763B79E87}"/>
            </c:ext>
          </c:extLst>
        </c:ser>
        <c:ser>
          <c:idx val="5"/>
          <c:order val="5"/>
          <c:tx>
            <c:strRef>
              <c:f>'Mobility FF'!$G$2</c:f>
              <c:strCache>
                <c:ptCount val="1"/>
                <c:pt idx="0">
                  <c:v>Run 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'Mobility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'Mobility FF'!$G$3:$G$200</c:f>
              <c:numCache>
                <c:formatCode>General</c:formatCode>
                <c:ptCount val="198"/>
                <c:pt idx="0">
                  <c:v>1</c:v>
                </c:pt>
                <c:pt idx="1">
                  <c:v>0.99319999999999997</c:v>
                </c:pt>
                <c:pt idx="2">
                  <c:v>0.99399999999999999</c:v>
                </c:pt>
                <c:pt idx="3">
                  <c:v>0.99399999999999999</c:v>
                </c:pt>
                <c:pt idx="4">
                  <c:v>0.63119999999999998</c:v>
                </c:pt>
                <c:pt idx="5">
                  <c:v>0.98960000000000004</c:v>
                </c:pt>
                <c:pt idx="6">
                  <c:v>0.64359999999999995</c:v>
                </c:pt>
                <c:pt idx="7">
                  <c:v>0.63080000000000003</c:v>
                </c:pt>
                <c:pt idx="8">
                  <c:v>0.60840000000000005</c:v>
                </c:pt>
                <c:pt idx="9">
                  <c:v>0.4904</c:v>
                </c:pt>
                <c:pt idx="10">
                  <c:v>0.61719999999999997</c:v>
                </c:pt>
                <c:pt idx="11">
                  <c:v>0.68359999999999999</c:v>
                </c:pt>
                <c:pt idx="12">
                  <c:v>0.3372</c:v>
                </c:pt>
                <c:pt idx="13">
                  <c:v>0.21959999999999999</c:v>
                </c:pt>
                <c:pt idx="14">
                  <c:v>0.30680000000000002</c:v>
                </c:pt>
                <c:pt idx="15">
                  <c:v>0.15279999999999999</c:v>
                </c:pt>
                <c:pt idx="16">
                  <c:v>0.29599999999999999</c:v>
                </c:pt>
                <c:pt idx="17">
                  <c:v>0.46960000000000002</c:v>
                </c:pt>
                <c:pt idx="18">
                  <c:v>0.49280000000000002</c:v>
                </c:pt>
                <c:pt idx="19">
                  <c:v>0.5948</c:v>
                </c:pt>
                <c:pt idx="20">
                  <c:v>0.61080000000000001</c:v>
                </c:pt>
                <c:pt idx="21">
                  <c:v>0.63439999999999996</c:v>
                </c:pt>
                <c:pt idx="22">
                  <c:v>0.63959999999999995</c:v>
                </c:pt>
                <c:pt idx="23">
                  <c:v>0.63200000000000001</c:v>
                </c:pt>
                <c:pt idx="24">
                  <c:v>0.30320000000000003</c:v>
                </c:pt>
                <c:pt idx="25">
                  <c:v>0.30359999999999998</c:v>
                </c:pt>
                <c:pt idx="26">
                  <c:v>0.29480000000000001</c:v>
                </c:pt>
                <c:pt idx="27">
                  <c:v>0.29799999999999999</c:v>
                </c:pt>
                <c:pt idx="28">
                  <c:v>0.62960000000000005</c:v>
                </c:pt>
                <c:pt idx="29">
                  <c:v>0.64839999999999998</c:v>
                </c:pt>
                <c:pt idx="30">
                  <c:v>0.63439999999999996</c:v>
                </c:pt>
                <c:pt idx="31">
                  <c:v>0.62919999999999998</c:v>
                </c:pt>
                <c:pt idx="32">
                  <c:v>0.63039999999999996</c:v>
                </c:pt>
                <c:pt idx="33">
                  <c:v>0.63</c:v>
                </c:pt>
                <c:pt idx="34">
                  <c:v>0.63239999999999996</c:v>
                </c:pt>
                <c:pt idx="35">
                  <c:v>0.63680000000000003</c:v>
                </c:pt>
                <c:pt idx="36">
                  <c:v>0.66320000000000001</c:v>
                </c:pt>
                <c:pt idx="37">
                  <c:v>0.60680000000000001</c:v>
                </c:pt>
                <c:pt idx="38">
                  <c:v>0.628</c:v>
                </c:pt>
                <c:pt idx="39">
                  <c:v>0.64839999999999998</c:v>
                </c:pt>
                <c:pt idx="40">
                  <c:v>0.62439999999999996</c:v>
                </c:pt>
                <c:pt idx="41">
                  <c:v>0.62960000000000005</c:v>
                </c:pt>
                <c:pt idx="42">
                  <c:v>0.61399999999999999</c:v>
                </c:pt>
                <c:pt idx="43">
                  <c:v>0.63360000000000005</c:v>
                </c:pt>
                <c:pt idx="44">
                  <c:v>0.62880000000000003</c:v>
                </c:pt>
                <c:pt idx="45">
                  <c:v>0.60960000000000003</c:v>
                </c:pt>
                <c:pt idx="46">
                  <c:v>0.624</c:v>
                </c:pt>
                <c:pt idx="47">
                  <c:v>0.65600000000000003</c:v>
                </c:pt>
                <c:pt idx="48">
                  <c:v>0.62119999999999997</c:v>
                </c:pt>
                <c:pt idx="49">
                  <c:v>0.63039999999999996</c:v>
                </c:pt>
                <c:pt idx="50">
                  <c:v>0.62719999999999998</c:v>
                </c:pt>
                <c:pt idx="51">
                  <c:v>0.64280000000000004</c:v>
                </c:pt>
                <c:pt idx="52">
                  <c:v>0.624</c:v>
                </c:pt>
                <c:pt idx="53">
                  <c:v>0.29880000000000001</c:v>
                </c:pt>
                <c:pt idx="54">
                  <c:v>0.61560000000000004</c:v>
                </c:pt>
                <c:pt idx="55">
                  <c:v>0.30280000000000001</c:v>
                </c:pt>
                <c:pt idx="56">
                  <c:v>0.2928</c:v>
                </c:pt>
                <c:pt idx="57">
                  <c:v>0.64359999999999995</c:v>
                </c:pt>
                <c:pt idx="58">
                  <c:v>0.63639999999999997</c:v>
                </c:pt>
                <c:pt idx="59">
                  <c:v>0.62160000000000004</c:v>
                </c:pt>
                <c:pt idx="60">
                  <c:v>0.64</c:v>
                </c:pt>
                <c:pt idx="61">
                  <c:v>0.61799999999999999</c:v>
                </c:pt>
                <c:pt idx="62">
                  <c:v>0.63400000000000001</c:v>
                </c:pt>
                <c:pt idx="63">
                  <c:v>0.62639999999999996</c:v>
                </c:pt>
                <c:pt idx="64">
                  <c:v>0.61680000000000001</c:v>
                </c:pt>
                <c:pt idx="65">
                  <c:v>0.64280000000000004</c:v>
                </c:pt>
                <c:pt idx="66">
                  <c:v>0.64639999999999997</c:v>
                </c:pt>
                <c:pt idx="67">
                  <c:v>0.60040000000000004</c:v>
                </c:pt>
                <c:pt idx="68">
                  <c:v>0.61199999999999999</c:v>
                </c:pt>
                <c:pt idx="69">
                  <c:v>0.29399999999999998</c:v>
                </c:pt>
                <c:pt idx="70">
                  <c:v>0.64439999999999997</c:v>
                </c:pt>
                <c:pt idx="71">
                  <c:v>0.30399999999999999</c:v>
                </c:pt>
                <c:pt idx="72">
                  <c:v>0.30280000000000001</c:v>
                </c:pt>
                <c:pt idx="73">
                  <c:v>0.622</c:v>
                </c:pt>
                <c:pt idx="74">
                  <c:v>0.99360000000000004</c:v>
                </c:pt>
                <c:pt idx="75">
                  <c:v>0.65720000000000001</c:v>
                </c:pt>
                <c:pt idx="76">
                  <c:v>0.62319999999999998</c:v>
                </c:pt>
                <c:pt idx="77">
                  <c:v>0.64439999999999997</c:v>
                </c:pt>
                <c:pt idx="78">
                  <c:v>0.62439999999999996</c:v>
                </c:pt>
                <c:pt idx="79">
                  <c:v>0.63360000000000005</c:v>
                </c:pt>
                <c:pt idx="80">
                  <c:v>0.61719999999999997</c:v>
                </c:pt>
                <c:pt idx="81">
                  <c:v>0.62439999999999996</c:v>
                </c:pt>
                <c:pt idx="82">
                  <c:v>0.61839999999999995</c:v>
                </c:pt>
                <c:pt idx="83">
                  <c:v>0.61880000000000002</c:v>
                </c:pt>
                <c:pt idx="84">
                  <c:v>0.63439999999999996</c:v>
                </c:pt>
                <c:pt idx="85">
                  <c:v>0.99080000000000001</c:v>
                </c:pt>
                <c:pt idx="86">
                  <c:v>0.99199999999999999</c:v>
                </c:pt>
                <c:pt idx="87">
                  <c:v>0.99080000000000001</c:v>
                </c:pt>
                <c:pt idx="88">
                  <c:v>0.64</c:v>
                </c:pt>
                <c:pt idx="89">
                  <c:v>0.64400000000000002</c:v>
                </c:pt>
                <c:pt idx="90">
                  <c:v>0.61960000000000004</c:v>
                </c:pt>
                <c:pt idx="91">
                  <c:v>0.63839999999999997</c:v>
                </c:pt>
                <c:pt idx="92">
                  <c:v>0.62160000000000004</c:v>
                </c:pt>
                <c:pt idx="93">
                  <c:v>0.63319999999999999</c:v>
                </c:pt>
                <c:pt idx="94">
                  <c:v>0.99199999999999999</c:v>
                </c:pt>
                <c:pt idx="95">
                  <c:v>0.99680000000000002</c:v>
                </c:pt>
                <c:pt idx="96">
                  <c:v>0.99760000000000004</c:v>
                </c:pt>
                <c:pt idx="97">
                  <c:v>0.99719999999999998</c:v>
                </c:pt>
                <c:pt idx="98">
                  <c:v>0.63519999999999999</c:v>
                </c:pt>
                <c:pt idx="99">
                  <c:v>0.62080000000000002</c:v>
                </c:pt>
                <c:pt idx="100">
                  <c:v>0.63560000000000005</c:v>
                </c:pt>
                <c:pt idx="101">
                  <c:v>0.61599999999999999</c:v>
                </c:pt>
                <c:pt idx="102">
                  <c:v>0.99280000000000002</c:v>
                </c:pt>
                <c:pt idx="103">
                  <c:v>0.99039999999999995</c:v>
                </c:pt>
                <c:pt idx="104">
                  <c:v>0.99480000000000002</c:v>
                </c:pt>
                <c:pt idx="105">
                  <c:v>0.99160000000000004</c:v>
                </c:pt>
                <c:pt idx="106">
                  <c:v>0.63400000000000001</c:v>
                </c:pt>
                <c:pt idx="107">
                  <c:v>0.64</c:v>
                </c:pt>
                <c:pt idx="108">
                  <c:v>0.63959999999999995</c:v>
                </c:pt>
                <c:pt idx="109">
                  <c:v>0.64280000000000004</c:v>
                </c:pt>
                <c:pt idx="110">
                  <c:v>0.64439999999999997</c:v>
                </c:pt>
                <c:pt idx="111">
                  <c:v>0.64839999999999998</c:v>
                </c:pt>
                <c:pt idx="112">
                  <c:v>0.64439999999999997</c:v>
                </c:pt>
                <c:pt idx="113">
                  <c:v>0.64480000000000004</c:v>
                </c:pt>
                <c:pt idx="114">
                  <c:v>0.60719999999999996</c:v>
                </c:pt>
                <c:pt idx="115">
                  <c:v>0.61319999999999997</c:v>
                </c:pt>
                <c:pt idx="116">
                  <c:v>0.63400000000000001</c:v>
                </c:pt>
                <c:pt idx="117">
                  <c:v>0.30280000000000001</c:v>
                </c:pt>
                <c:pt idx="118">
                  <c:v>0.63</c:v>
                </c:pt>
                <c:pt idx="119">
                  <c:v>0.6452</c:v>
                </c:pt>
                <c:pt idx="120">
                  <c:v>0.63239999999999996</c:v>
                </c:pt>
                <c:pt idx="121">
                  <c:v>0.62960000000000005</c:v>
                </c:pt>
                <c:pt idx="122">
                  <c:v>0.98799999999999999</c:v>
                </c:pt>
                <c:pt idx="123">
                  <c:v>0.99639999999999995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CA-4803-982E-19A763B79E87}"/>
            </c:ext>
          </c:extLst>
        </c:ser>
        <c:ser>
          <c:idx val="6"/>
          <c:order val="6"/>
          <c:tx>
            <c:strRef>
              <c:f>'Mobility FF'!$H$2</c:f>
              <c:strCache>
                <c:ptCount val="1"/>
                <c:pt idx="0">
                  <c:v>Run 7</c:v>
                </c:pt>
              </c:strCache>
            </c:strRef>
          </c:tx>
          <c:spPr>
            <a:ln w="19050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'Mobility FF'!$H$3:$H$200</c:f>
              <c:numCache>
                <c:formatCode>General</c:formatCode>
                <c:ptCount val="198"/>
                <c:pt idx="0">
                  <c:v>1</c:v>
                </c:pt>
                <c:pt idx="1">
                  <c:v>0.98960000000000004</c:v>
                </c:pt>
                <c:pt idx="2">
                  <c:v>0.99280000000000002</c:v>
                </c:pt>
                <c:pt idx="3">
                  <c:v>0.99160000000000004</c:v>
                </c:pt>
                <c:pt idx="4">
                  <c:v>0.60319999999999996</c:v>
                </c:pt>
                <c:pt idx="5">
                  <c:v>0.64439999999999997</c:v>
                </c:pt>
                <c:pt idx="6">
                  <c:v>0.59279999999999999</c:v>
                </c:pt>
                <c:pt idx="7">
                  <c:v>0.3004</c:v>
                </c:pt>
                <c:pt idx="8">
                  <c:v>0.59040000000000004</c:v>
                </c:pt>
                <c:pt idx="9">
                  <c:v>0.58720000000000006</c:v>
                </c:pt>
                <c:pt idx="10">
                  <c:v>0.30280000000000001</c:v>
                </c:pt>
                <c:pt idx="11">
                  <c:v>0.57440000000000002</c:v>
                </c:pt>
                <c:pt idx="12">
                  <c:v>0.58079999999999998</c:v>
                </c:pt>
                <c:pt idx="13">
                  <c:v>0.50800000000000001</c:v>
                </c:pt>
                <c:pt idx="14">
                  <c:v>0.57240000000000002</c:v>
                </c:pt>
                <c:pt idx="15">
                  <c:v>0.56799999999999995</c:v>
                </c:pt>
                <c:pt idx="16">
                  <c:v>0.56399999999999995</c:v>
                </c:pt>
                <c:pt idx="17">
                  <c:v>0.54039999999999999</c:v>
                </c:pt>
                <c:pt idx="18">
                  <c:v>0.5252</c:v>
                </c:pt>
                <c:pt idx="19">
                  <c:v>0.30559999999999998</c:v>
                </c:pt>
                <c:pt idx="20">
                  <c:v>0.54920000000000002</c:v>
                </c:pt>
                <c:pt idx="21">
                  <c:v>0.5968</c:v>
                </c:pt>
                <c:pt idx="22">
                  <c:v>0.52359999999999995</c:v>
                </c:pt>
                <c:pt idx="23">
                  <c:v>0.29120000000000001</c:v>
                </c:pt>
                <c:pt idx="24">
                  <c:v>0.46400000000000002</c:v>
                </c:pt>
                <c:pt idx="25">
                  <c:v>0.69720000000000004</c:v>
                </c:pt>
                <c:pt idx="26">
                  <c:v>0.69599999999999995</c:v>
                </c:pt>
                <c:pt idx="27">
                  <c:v>0.55479999999999996</c:v>
                </c:pt>
                <c:pt idx="28">
                  <c:v>0.55400000000000005</c:v>
                </c:pt>
                <c:pt idx="29">
                  <c:v>0.29399999999999998</c:v>
                </c:pt>
                <c:pt idx="30">
                  <c:v>0.29920000000000002</c:v>
                </c:pt>
                <c:pt idx="31">
                  <c:v>0.2024</c:v>
                </c:pt>
                <c:pt idx="32">
                  <c:v>0.22159999999999999</c:v>
                </c:pt>
                <c:pt idx="33">
                  <c:v>0.1888</c:v>
                </c:pt>
                <c:pt idx="34">
                  <c:v>0.66439999999999999</c:v>
                </c:pt>
                <c:pt idx="35">
                  <c:v>0.4844</c:v>
                </c:pt>
                <c:pt idx="36">
                  <c:v>0.56679999999999997</c:v>
                </c:pt>
                <c:pt idx="37">
                  <c:v>0.2984</c:v>
                </c:pt>
                <c:pt idx="38">
                  <c:v>0.5756</c:v>
                </c:pt>
                <c:pt idx="39">
                  <c:v>0.56640000000000001</c:v>
                </c:pt>
                <c:pt idx="40">
                  <c:v>0.47960000000000003</c:v>
                </c:pt>
                <c:pt idx="41">
                  <c:v>0.52680000000000005</c:v>
                </c:pt>
                <c:pt idx="42">
                  <c:v>0.47720000000000001</c:v>
                </c:pt>
                <c:pt idx="43">
                  <c:v>0.54400000000000004</c:v>
                </c:pt>
                <c:pt idx="44">
                  <c:v>0.2944</c:v>
                </c:pt>
                <c:pt idx="45">
                  <c:v>0.2868</c:v>
                </c:pt>
                <c:pt idx="46">
                  <c:v>0.55320000000000003</c:v>
                </c:pt>
                <c:pt idx="47">
                  <c:v>0.53439999999999999</c:v>
                </c:pt>
                <c:pt idx="48">
                  <c:v>0.59760000000000002</c:v>
                </c:pt>
                <c:pt idx="49">
                  <c:v>0.65</c:v>
                </c:pt>
                <c:pt idx="50">
                  <c:v>0.58520000000000005</c:v>
                </c:pt>
                <c:pt idx="51">
                  <c:v>0.55120000000000002</c:v>
                </c:pt>
                <c:pt idx="52">
                  <c:v>0.64400000000000002</c:v>
                </c:pt>
                <c:pt idx="53">
                  <c:v>0.55959999999999999</c:v>
                </c:pt>
                <c:pt idx="54">
                  <c:v>0.98680000000000001</c:v>
                </c:pt>
                <c:pt idx="55">
                  <c:v>0.99280000000000002</c:v>
                </c:pt>
                <c:pt idx="56">
                  <c:v>0.65959999999999996</c:v>
                </c:pt>
                <c:pt idx="57">
                  <c:v>0.99360000000000004</c:v>
                </c:pt>
                <c:pt idx="58">
                  <c:v>0.99360000000000004</c:v>
                </c:pt>
                <c:pt idx="59">
                  <c:v>0.57120000000000004</c:v>
                </c:pt>
                <c:pt idx="60">
                  <c:v>0.64600000000000002</c:v>
                </c:pt>
                <c:pt idx="61">
                  <c:v>0.55959999999999999</c:v>
                </c:pt>
                <c:pt idx="62">
                  <c:v>0.59960000000000002</c:v>
                </c:pt>
                <c:pt idx="63">
                  <c:v>0.59119999999999995</c:v>
                </c:pt>
                <c:pt idx="64">
                  <c:v>0.64880000000000004</c:v>
                </c:pt>
                <c:pt idx="65">
                  <c:v>0.60160000000000002</c:v>
                </c:pt>
                <c:pt idx="66">
                  <c:v>0.66679999999999995</c:v>
                </c:pt>
                <c:pt idx="67">
                  <c:v>0.64</c:v>
                </c:pt>
                <c:pt idx="68">
                  <c:v>0.61280000000000001</c:v>
                </c:pt>
                <c:pt idx="69">
                  <c:v>0.59640000000000004</c:v>
                </c:pt>
                <c:pt idx="70">
                  <c:v>0.54800000000000004</c:v>
                </c:pt>
                <c:pt idx="71">
                  <c:v>0.63959999999999995</c:v>
                </c:pt>
                <c:pt idx="72">
                  <c:v>0.98719999999999997</c:v>
                </c:pt>
                <c:pt idx="73">
                  <c:v>0.54600000000000004</c:v>
                </c:pt>
                <c:pt idx="74">
                  <c:v>0.59399999999999997</c:v>
                </c:pt>
                <c:pt idx="75">
                  <c:v>0.59760000000000002</c:v>
                </c:pt>
                <c:pt idx="76">
                  <c:v>0.48520000000000002</c:v>
                </c:pt>
                <c:pt idx="77">
                  <c:v>0.97160000000000002</c:v>
                </c:pt>
                <c:pt idx="78">
                  <c:v>0.59040000000000004</c:v>
                </c:pt>
                <c:pt idx="79">
                  <c:v>0.66920000000000002</c:v>
                </c:pt>
                <c:pt idx="80">
                  <c:v>0.99</c:v>
                </c:pt>
                <c:pt idx="81">
                  <c:v>0.65480000000000005</c:v>
                </c:pt>
                <c:pt idx="82">
                  <c:v>0.99199999999999999</c:v>
                </c:pt>
                <c:pt idx="83">
                  <c:v>0.99280000000000002</c:v>
                </c:pt>
                <c:pt idx="84">
                  <c:v>0.61240000000000006</c:v>
                </c:pt>
                <c:pt idx="85">
                  <c:v>0.65759999999999996</c:v>
                </c:pt>
                <c:pt idx="86">
                  <c:v>0.99080000000000001</c:v>
                </c:pt>
                <c:pt idx="87">
                  <c:v>0.99639999999999995</c:v>
                </c:pt>
                <c:pt idx="88">
                  <c:v>0.998</c:v>
                </c:pt>
                <c:pt idx="89">
                  <c:v>0.998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8CA-4803-982E-19A763B79E87}"/>
            </c:ext>
          </c:extLst>
        </c:ser>
        <c:ser>
          <c:idx val="7"/>
          <c:order val="7"/>
          <c:tx>
            <c:strRef>
              <c:f>'Mobility FF'!$I$2</c:f>
              <c:strCache>
                <c:ptCount val="1"/>
                <c:pt idx="0">
                  <c:v>Run 8</c:v>
                </c:pt>
              </c:strCache>
            </c:strRef>
          </c:tx>
          <c:spPr>
            <a:ln w="19050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'Mobility FF'!$I$3:$I$200</c:f>
              <c:numCache>
                <c:formatCode>General</c:formatCode>
                <c:ptCount val="198"/>
                <c:pt idx="0">
                  <c:v>1</c:v>
                </c:pt>
                <c:pt idx="1">
                  <c:v>0.99760000000000004</c:v>
                </c:pt>
                <c:pt idx="2">
                  <c:v>0.99560000000000004</c:v>
                </c:pt>
                <c:pt idx="3">
                  <c:v>0.99680000000000002</c:v>
                </c:pt>
                <c:pt idx="4">
                  <c:v>0.61399999999999999</c:v>
                </c:pt>
                <c:pt idx="5">
                  <c:v>0.58079999999999998</c:v>
                </c:pt>
                <c:pt idx="6">
                  <c:v>0.59199999999999997</c:v>
                </c:pt>
                <c:pt idx="7">
                  <c:v>0.44919999999999999</c:v>
                </c:pt>
                <c:pt idx="8">
                  <c:v>0.4748</c:v>
                </c:pt>
                <c:pt idx="9">
                  <c:v>0.21240000000000001</c:v>
                </c:pt>
                <c:pt idx="10">
                  <c:v>0.2092</c:v>
                </c:pt>
                <c:pt idx="11">
                  <c:v>0.2132</c:v>
                </c:pt>
                <c:pt idx="12">
                  <c:v>0.54479999999999995</c:v>
                </c:pt>
                <c:pt idx="13">
                  <c:v>0.46279999999999999</c:v>
                </c:pt>
                <c:pt idx="14">
                  <c:v>0.26640000000000003</c:v>
                </c:pt>
                <c:pt idx="15">
                  <c:v>0.52559999999999996</c:v>
                </c:pt>
                <c:pt idx="16">
                  <c:v>0.59799999999999998</c:v>
                </c:pt>
                <c:pt idx="17">
                  <c:v>0.27879999999999999</c:v>
                </c:pt>
                <c:pt idx="18">
                  <c:v>0.60840000000000005</c:v>
                </c:pt>
                <c:pt idx="19">
                  <c:v>0.58599999999999997</c:v>
                </c:pt>
                <c:pt idx="20">
                  <c:v>0.2868</c:v>
                </c:pt>
                <c:pt idx="21">
                  <c:v>0.61480000000000001</c:v>
                </c:pt>
                <c:pt idx="22">
                  <c:v>0.58879999999999999</c:v>
                </c:pt>
                <c:pt idx="23">
                  <c:v>0.60680000000000001</c:v>
                </c:pt>
                <c:pt idx="24">
                  <c:v>0.62919999999999998</c:v>
                </c:pt>
                <c:pt idx="25">
                  <c:v>0.60119999999999996</c:v>
                </c:pt>
                <c:pt idx="26">
                  <c:v>0.61199999999999999</c:v>
                </c:pt>
                <c:pt idx="27">
                  <c:v>0.59640000000000004</c:v>
                </c:pt>
                <c:pt idx="28">
                  <c:v>0.59079999999999999</c:v>
                </c:pt>
                <c:pt idx="29">
                  <c:v>0.99080000000000001</c:v>
                </c:pt>
                <c:pt idx="30">
                  <c:v>0.62760000000000005</c:v>
                </c:pt>
                <c:pt idx="31">
                  <c:v>0.65200000000000002</c:v>
                </c:pt>
                <c:pt idx="32">
                  <c:v>0.98960000000000004</c:v>
                </c:pt>
                <c:pt idx="33">
                  <c:v>0.29399999999999998</c:v>
                </c:pt>
                <c:pt idx="34">
                  <c:v>0.28839999999999999</c:v>
                </c:pt>
                <c:pt idx="35">
                  <c:v>0.52400000000000002</c:v>
                </c:pt>
                <c:pt idx="36">
                  <c:v>0.22439999999999999</c:v>
                </c:pt>
                <c:pt idx="37">
                  <c:v>0.59399999999999997</c:v>
                </c:pt>
                <c:pt idx="38">
                  <c:v>0.44119999999999998</c:v>
                </c:pt>
                <c:pt idx="39">
                  <c:v>0.45400000000000001</c:v>
                </c:pt>
                <c:pt idx="40">
                  <c:v>0.6048</c:v>
                </c:pt>
                <c:pt idx="41">
                  <c:v>0.2732</c:v>
                </c:pt>
                <c:pt idx="42">
                  <c:v>0.60560000000000003</c:v>
                </c:pt>
                <c:pt idx="43">
                  <c:v>0.59399999999999997</c:v>
                </c:pt>
                <c:pt idx="44">
                  <c:v>0.754</c:v>
                </c:pt>
                <c:pt idx="45">
                  <c:v>0.57240000000000002</c:v>
                </c:pt>
                <c:pt idx="46">
                  <c:v>0.50600000000000001</c:v>
                </c:pt>
                <c:pt idx="47">
                  <c:v>0.46479999999999999</c:v>
                </c:pt>
                <c:pt idx="48">
                  <c:v>0.47039999999999998</c:v>
                </c:pt>
                <c:pt idx="49">
                  <c:v>0.46039999999999998</c:v>
                </c:pt>
                <c:pt idx="50">
                  <c:v>0.48799999999999999</c:v>
                </c:pt>
                <c:pt idx="51">
                  <c:v>0.72799999999999998</c:v>
                </c:pt>
                <c:pt idx="52">
                  <c:v>0.43440000000000001</c:v>
                </c:pt>
                <c:pt idx="53">
                  <c:v>0.74039999999999995</c:v>
                </c:pt>
                <c:pt idx="54">
                  <c:v>0.46039999999999998</c:v>
                </c:pt>
                <c:pt idx="55">
                  <c:v>0.21360000000000001</c:v>
                </c:pt>
                <c:pt idx="56">
                  <c:v>0.71040000000000003</c:v>
                </c:pt>
                <c:pt idx="57">
                  <c:v>0.12839999999999999</c:v>
                </c:pt>
                <c:pt idx="58">
                  <c:v>0.45960000000000001</c:v>
                </c:pt>
                <c:pt idx="59">
                  <c:v>0.58919999999999995</c:v>
                </c:pt>
                <c:pt idx="60">
                  <c:v>0.57879999999999998</c:v>
                </c:pt>
                <c:pt idx="61">
                  <c:v>0.62639999999999996</c:v>
                </c:pt>
                <c:pt idx="62">
                  <c:v>0.62680000000000002</c:v>
                </c:pt>
                <c:pt idx="63">
                  <c:v>0.98640000000000005</c:v>
                </c:pt>
                <c:pt idx="64">
                  <c:v>0.99519999999999997</c:v>
                </c:pt>
                <c:pt idx="65">
                  <c:v>0.99639999999999995</c:v>
                </c:pt>
                <c:pt idx="66">
                  <c:v>0.998</c:v>
                </c:pt>
                <c:pt idx="67">
                  <c:v>0.99439999999999995</c:v>
                </c:pt>
                <c:pt idx="68">
                  <c:v>0.61119999999999997</c:v>
                </c:pt>
                <c:pt idx="69">
                  <c:v>0.99239999999999995</c:v>
                </c:pt>
                <c:pt idx="70">
                  <c:v>0.63039999999999996</c:v>
                </c:pt>
                <c:pt idx="71">
                  <c:v>0.62039999999999995</c:v>
                </c:pt>
                <c:pt idx="72">
                  <c:v>0.65359999999999996</c:v>
                </c:pt>
                <c:pt idx="73">
                  <c:v>0.28760000000000002</c:v>
                </c:pt>
                <c:pt idx="74">
                  <c:v>0.61280000000000001</c:v>
                </c:pt>
                <c:pt idx="75">
                  <c:v>0.98960000000000004</c:v>
                </c:pt>
                <c:pt idx="76">
                  <c:v>0.62080000000000002</c:v>
                </c:pt>
                <c:pt idx="77">
                  <c:v>0.99480000000000002</c:v>
                </c:pt>
                <c:pt idx="78">
                  <c:v>0.60040000000000004</c:v>
                </c:pt>
                <c:pt idx="79">
                  <c:v>0.49880000000000002</c:v>
                </c:pt>
                <c:pt idx="80">
                  <c:v>0.57640000000000002</c:v>
                </c:pt>
                <c:pt idx="81">
                  <c:v>0.21879999999999999</c:v>
                </c:pt>
                <c:pt idx="82">
                  <c:v>0.52880000000000005</c:v>
                </c:pt>
                <c:pt idx="83">
                  <c:v>0.61839999999999995</c:v>
                </c:pt>
                <c:pt idx="84">
                  <c:v>0.62719999999999998</c:v>
                </c:pt>
                <c:pt idx="85">
                  <c:v>0.64159999999999995</c:v>
                </c:pt>
                <c:pt idx="86">
                  <c:v>0.63839999999999997</c:v>
                </c:pt>
                <c:pt idx="87">
                  <c:v>0.99319999999999997</c:v>
                </c:pt>
                <c:pt idx="88">
                  <c:v>0.6532</c:v>
                </c:pt>
                <c:pt idx="89">
                  <c:v>0.6512</c:v>
                </c:pt>
                <c:pt idx="90">
                  <c:v>0.99039999999999995</c:v>
                </c:pt>
                <c:pt idx="91">
                  <c:v>0.626</c:v>
                </c:pt>
                <c:pt idx="92">
                  <c:v>0.65439999999999998</c:v>
                </c:pt>
                <c:pt idx="93">
                  <c:v>0.99199999999999999</c:v>
                </c:pt>
                <c:pt idx="94">
                  <c:v>0.48399999999999999</c:v>
                </c:pt>
                <c:pt idx="95">
                  <c:v>0.65839999999999999</c:v>
                </c:pt>
                <c:pt idx="96">
                  <c:v>0.61480000000000001</c:v>
                </c:pt>
                <c:pt idx="97">
                  <c:v>0.59760000000000002</c:v>
                </c:pt>
                <c:pt idx="98">
                  <c:v>0.63360000000000005</c:v>
                </c:pt>
                <c:pt idx="99">
                  <c:v>0.61280000000000001</c:v>
                </c:pt>
                <c:pt idx="100">
                  <c:v>0.64319999999999999</c:v>
                </c:pt>
                <c:pt idx="101">
                  <c:v>0.622</c:v>
                </c:pt>
                <c:pt idx="102">
                  <c:v>0.64159999999999995</c:v>
                </c:pt>
                <c:pt idx="103">
                  <c:v>0.61760000000000004</c:v>
                </c:pt>
                <c:pt idx="104">
                  <c:v>0.64680000000000004</c:v>
                </c:pt>
                <c:pt idx="105">
                  <c:v>0.99319999999999997</c:v>
                </c:pt>
                <c:pt idx="106">
                  <c:v>0.99719999999999998</c:v>
                </c:pt>
                <c:pt idx="107">
                  <c:v>0.99960000000000004</c:v>
                </c:pt>
                <c:pt idx="108">
                  <c:v>0.99480000000000002</c:v>
                </c:pt>
                <c:pt idx="109">
                  <c:v>0.622</c:v>
                </c:pt>
                <c:pt idx="110">
                  <c:v>0.65559999999999996</c:v>
                </c:pt>
                <c:pt idx="111">
                  <c:v>0.65200000000000002</c:v>
                </c:pt>
                <c:pt idx="112">
                  <c:v>0.63800000000000001</c:v>
                </c:pt>
                <c:pt idx="113">
                  <c:v>0.64480000000000004</c:v>
                </c:pt>
                <c:pt idx="114">
                  <c:v>0.99319999999999997</c:v>
                </c:pt>
                <c:pt idx="115">
                  <c:v>0.998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8CA-4803-982E-19A763B79E87}"/>
            </c:ext>
          </c:extLst>
        </c:ser>
        <c:ser>
          <c:idx val="8"/>
          <c:order val="8"/>
          <c:tx>
            <c:strRef>
              <c:f>'Mobility FF'!$J$2</c:f>
              <c:strCache>
                <c:ptCount val="1"/>
                <c:pt idx="0">
                  <c:v>Run 9</c:v>
                </c:pt>
              </c:strCache>
            </c:strRef>
          </c:tx>
          <c:spPr>
            <a:ln w="19050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'Mobility FF'!$J$3:$J$200</c:f>
              <c:numCache>
                <c:formatCode>General</c:formatCode>
                <c:ptCount val="198"/>
                <c:pt idx="0">
                  <c:v>1</c:v>
                </c:pt>
                <c:pt idx="1">
                  <c:v>0.99280000000000002</c:v>
                </c:pt>
                <c:pt idx="2">
                  <c:v>0.99480000000000002</c:v>
                </c:pt>
                <c:pt idx="3">
                  <c:v>0.99080000000000001</c:v>
                </c:pt>
                <c:pt idx="4">
                  <c:v>0.61280000000000001</c:v>
                </c:pt>
                <c:pt idx="5">
                  <c:v>0.59719999999999995</c:v>
                </c:pt>
                <c:pt idx="6">
                  <c:v>0.60919999999999996</c:v>
                </c:pt>
                <c:pt idx="7">
                  <c:v>0.32519999999999999</c:v>
                </c:pt>
                <c:pt idx="8">
                  <c:v>0.62039999999999995</c:v>
                </c:pt>
                <c:pt idx="9">
                  <c:v>0.64600000000000002</c:v>
                </c:pt>
                <c:pt idx="10">
                  <c:v>0.57120000000000004</c:v>
                </c:pt>
                <c:pt idx="11">
                  <c:v>0.56759999999999999</c:v>
                </c:pt>
                <c:pt idx="12">
                  <c:v>0.57999999999999996</c:v>
                </c:pt>
                <c:pt idx="13">
                  <c:v>0.6</c:v>
                </c:pt>
                <c:pt idx="14">
                  <c:v>0.56359999999999999</c:v>
                </c:pt>
                <c:pt idx="15">
                  <c:v>0.30559999999999998</c:v>
                </c:pt>
                <c:pt idx="16">
                  <c:v>0.1288</c:v>
                </c:pt>
                <c:pt idx="17">
                  <c:v>0.19</c:v>
                </c:pt>
                <c:pt idx="18">
                  <c:v>4.5999999999999999E-2</c:v>
                </c:pt>
                <c:pt idx="19">
                  <c:v>0.3196</c:v>
                </c:pt>
                <c:pt idx="20">
                  <c:v>0.59079999999999999</c:v>
                </c:pt>
                <c:pt idx="21">
                  <c:v>0.54879999999999995</c:v>
                </c:pt>
                <c:pt idx="22">
                  <c:v>0.98199999999999998</c:v>
                </c:pt>
                <c:pt idx="23">
                  <c:v>0.61040000000000005</c:v>
                </c:pt>
                <c:pt idx="24">
                  <c:v>0.62519999999999998</c:v>
                </c:pt>
                <c:pt idx="25">
                  <c:v>0.98960000000000004</c:v>
                </c:pt>
                <c:pt idx="26">
                  <c:v>0.51559999999999995</c:v>
                </c:pt>
                <c:pt idx="27">
                  <c:v>0.53080000000000005</c:v>
                </c:pt>
                <c:pt idx="28">
                  <c:v>0.4884</c:v>
                </c:pt>
                <c:pt idx="29">
                  <c:v>0.17280000000000001</c:v>
                </c:pt>
                <c:pt idx="30">
                  <c:v>0.49359999999999998</c:v>
                </c:pt>
                <c:pt idx="31">
                  <c:v>0.12479999999999999</c:v>
                </c:pt>
                <c:pt idx="32">
                  <c:v>0.1236</c:v>
                </c:pt>
                <c:pt idx="33">
                  <c:v>0.2964</c:v>
                </c:pt>
                <c:pt idx="34">
                  <c:v>0.52080000000000004</c:v>
                </c:pt>
                <c:pt idx="35">
                  <c:v>0.58640000000000003</c:v>
                </c:pt>
                <c:pt idx="36">
                  <c:v>0.98919999999999997</c:v>
                </c:pt>
                <c:pt idx="37">
                  <c:v>0.99160000000000004</c:v>
                </c:pt>
                <c:pt idx="38">
                  <c:v>0.99319999999999997</c:v>
                </c:pt>
                <c:pt idx="39">
                  <c:v>0.99</c:v>
                </c:pt>
                <c:pt idx="40">
                  <c:v>0.62119999999999997</c:v>
                </c:pt>
                <c:pt idx="41">
                  <c:v>0.61</c:v>
                </c:pt>
                <c:pt idx="42">
                  <c:v>0.98960000000000004</c:v>
                </c:pt>
                <c:pt idx="43">
                  <c:v>0.996</c:v>
                </c:pt>
                <c:pt idx="44">
                  <c:v>0.98960000000000004</c:v>
                </c:pt>
                <c:pt idx="45">
                  <c:v>0.98839999999999995</c:v>
                </c:pt>
                <c:pt idx="46">
                  <c:v>0.6532</c:v>
                </c:pt>
                <c:pt idx="47">
                  <c:v>0.59360000000000002</c:v>
                </c:pt>
                <c:pt idx="48">
                  <c:v>0.47960000000000003</c:v>
                </c:pt>
                <c:pt idx="49">
                  <c:v>0.1996</c:v>
                </c:pt>
                <c:pt idx="50">
                  <c:v>0.19639999999999999</c:v>
                </c:pt>
                <c:pt idx="51">
                  <c:v>0.18559999999999999</c:v>
                </c:pt>
                <c:pt idx="52">
                  <c:v>0.32200000000000001</c:v>
                </c:pt>
                <c:pt idx="53">
                  <c:v>0.5524</c:v>
                </c:pt>
                <c:pt idx="54">
                  <c:v>0.53280000000000005</c:v>
                </c:pt>
                <c:pt idx="55">
                  <c:v>0.57279999999999998</c:v>
                </c:pt>
                <c:pt idx="56">
                  <c:v>0.60560000000000003</c:v>
                </c:pt>
                <c:pt idx="57">
                  <c:v>0.58160000000000001</c:v>
                </c:pt>
                <c:pt idx="58">
                  <c:v>0.6</c:v>
                </c:pt>
                <c:pt idx="59">
                  <c:v>0.60599999999999998</c:v>
                </c:pt>
                <c:pt idx="60">
                  <c:v>0.62680000000000002</c:v>
                </c:pt>
                <c:pt idx="61">
                  <c:v>0.62360000000000004</c:v>
                </c:pt>
                <c:pt idx="62">
                  <c:v>0.65200000000000002</c:v>
                </c:pt>
                <c:pt idx="63">
                  <c:v>0.61119999999999997</c:v>
                </c:pt>
                <c:pt idx="64">
                  <c:v>0.61919999999999997</c:v>
                </c:pt>
                <c:pt idx="65">
                  <c:v>0.60799999999999998</c:v>
                </c:pt>
                <c:pt idx="66">
                  <c:v>0.61599999999999999</c:v>
                </c:pt>
                <c:pt idx="67">
                  <c:v>0.61839999999999995</c:v>
                </c:pt>
                <c:pt idx="68">
                  <c:v>0.98560000000000003</c:v>
                </c:pt>
                <c:pt idx="69">
                  <c:v>0.99319999999999997</c:v>
                </c:pt>
                <c:pt idx="70">
                  <c:v>0.99480000000000002</c:v>
                </c:pt>
                <c:pt idx="71">
                  <c:v>0.99560000000000004</c:v>
                </c:pt>
                <c:pt idx="72">
                  <c:v>0.59760000000000002</c:v>
                </c:pt>
                <c:pt idx="73">
                  <c:v>0.98799999999999999</c:v>
                </c:pt>
                <c:pt idx="74">
                  <c:v>0.98719999999999997</c:v>
                </c:pt>
                <c:pt idx="75">
                  <c:v>0.62280000000000002</c:v>
                </c:pt>
                <c:pt idx="76">
                  <c:v>0.98799999999999999</c:v>
                </c:pt>
                <c:pt idx="77">
                  <c:v>0.98680000000000001</c:v>
                </c:pt>
                <c:pt idx="78">
                  <c:v>0.61319999999999997</c:v>
                </c:pt>
                <c:pt idx="79">
                  <c:v>0.99160000000000004</c:v>
                </c:pt>
                <c:pt idx="80">
                  <c:v>0.62680000000000002</c:v>
                </c:pt>
                <c:pt idx="81">
                  <c:v>0.98960000000000004</c:v>
                </c:pt>
                <c:pt idx="82">
                  <c:v>0.99039999999999995</c:v>
                </c:pt>
                <c:pt idx="83">
                  <c:v>0.61080000000000001</c:v>
                </c:pt>
                <c:pt idx="84">
                  <c:v>0.61199999999999999</c:v>
                </c:pt>
                <c:pt idx="85">
                  <c:v>0.62080000000000002</c:v>
                </c:pt>
                <c:pt idx="86">
                  <c:v>0.58399999999999996</c:v>
                </c:pt>
                <c:pt idx="87">
                  <c:v>0.57799999999999996</c:v>
                </c:pt>
                <c:pt idx="88">
                  <c:v>0.61119999999999997</c:v>
                </c:pt>
                <c:pt idx="89">
                  <c:v>0.61319999999999997</c:v>
                </c:pt>
                <c:pt idx="90">
                  <c:v>0.99360000000000004</c:v>
                </c:pt>
                <c:pt idx="91">
                  <c:v>0.61719999999999997</c:v>
                </c:pt>
                <c:pt idx="92">
                  <c:v>0.61960000000000004</c:v>
                </c:pt>
                <c:pt idx="93">
                  <c:v>0.98880000000000001</c:v>
                </c:pt>
                <c:pt idx="94">
                  <c:v>0.61919999999999997</c:v>
                </c:pt>
                <c:pt idx="95">
                  <c:v>0.61</c:v>
                </c:pt>
                <c:pt idx="96">
                  <c:v>0.6008</c:v>
                </c:pt>
                <c:pt idx="97">
                  <c:v>0.628</c:v>
                </c:pt>
                <c:pt idx="98">
                  <c:v>0.61599999999999999</c:v>
                </c:pt>
                <c:pt idx="99">
                  <c:v>0.99239999999999995</c:v>
                </c:pt>
                <c:pt idx="100">
                  <c:v>0.99199999999999999</c:v>
                </c:pt>
                <c:pt idx="101">
                  <c:v>0.98880000000000001</c:v>
                </c:pt>
                <c:pt idx="102">
                  <c:v>0.99280000000000002</c:v>
                </c:pt>
                <c:pt idx="103">
                  <c:v>0.63239999999999996</c:v>
                </c:pt>
                <c:pt idx="104">
                  <c:v>0.60560000000000003</c:v>
                </c:pt>
                <c:pt idx="105">
                  <c:v>0.98640000000000005</c:v>
                </c:pt>
                <c:pt idx="106">
                  <c:v>0.99280000000000002</c:v>
                </c:pt>
                <c:pt idx="107">
                  <c:v>0.99239999999999995</c:v>
                </c:pt>
                <c:pt idx="108">
                  <c:v>0.99239999999999995</c:v>
                </c:pt>
                <c:pt idx="109">
                  <c:v>0.62839999999999996</c:v>
                </c:pt>
                <c:pt idx="110">
                  <c:v>0.62</c:v>
                </c:pt>
                <c:pt idx="111">
                  <c:v>0.99319999999999997</c:v>
                </c:pt>
                <c:pt idx="112">
                  <c:v>0.58199999999999996</c:v>
                </c:pt>
                <c:pt idx="113">
                  <c:v>0.61760000000000004</c:v>
                </c:pt>
                <c:pt idx="114">
                  <c:v>0.98719999999999997</c:v>
                </c:pt>
                <c:pt idx="115">
                  <c:v>0.61839999999999995</c:v>
                </c:pt>
                <c:pt idx="116">
                  <c:v>0.61399999999999999</c:v>
                </c:pt>
                <c:pt idx="117">
                  <c:v>0.59519999999999995</c:v>
                </c:pt>
                <c:pt idx="118">
                  <c:v>0.51280000000000003</c:v>
                </c:pt>
                <c:pt idx="119">
                  <c:v>0.59240000000000004</c:v>
                </c:pt>
                <c:pt idx="120">
                  <c:v>0.59240000000000004</c:v>
                </c:pt>
                <c:pt idx="121">
                  <c:v>0.60719999999999996</c:v>
                </c:pt>
                <c:pt idx="122">
                  <c:v>0.61360000000000003</c:v>
                </c:pt>
                <c:pt idx="123">
                  <c:v>0.57920000000000005</c:v>
                </c:pt>
                <c:pt idx="124">
                  <c:v>0.61880000000000002</c:v>
                </c:pt>
                <c:pt idx="125">
                  <c:v>0.65080000000000005</c:v>
                </c:pt>
                <c:pt idx="126">
                  <c:v>0.57599999999999996</c:v>
                </c:pt>
                <c:pt idx="127">
                  <c:v>0.30840000000000001</c:v>
                </c:pt>
                <c:pt idx="128">
                  <c:v>0.5736</c:v>
                </c:pt>
                <c:pt idx="129">
                  <c:v>0.61</c:v>
                </c:pt>
                <c:pt idx="130">
                  <c:v>0.98480000000000001</c:v>
                </c:pt>
                <c:pt idx="131">
                  <c:v>0.99239999999999995</c:v>
                </c:pt>
                <c:pt idx="132">
                  <c:v>0.99360000000000004</c:v>
                </c:pt>
                <c:pt idx="133">
                  <c:v>0.99439999999999995</c:v>
                </c:pt>
                <c:pt idx="134">
                  <c:v>0.99080000000000001</c:v>
                </c:pt>
                <c:pt idx="135">
                  <c:v>0.61760000000000004</c:v>
                </c:pt>
                <c:pt idx="136">
                  <c:v>0.624</c:v>
                </c:pt>
                <c:pt idx="137">
                  <c:v>0.61080000000000001</c:v>
                </c:pt>
                <c:pt idx="138">
                  <c:v>0.58040000000000003</c:v>
                </c:pt>
                <c:pt idx="139">
                  <c:v>0.98280000000000001</c:v>
                </c:pt>
                <c:pt idx="140">
                  <c:v>0.98839999999999995</c:v>
                </c:pt>
                <c:pt idx="141">
                  <c:v>0.98880000000000001</c:v>
                </c:pt>
                <c:pt idx="142">
                  <c:v>0.99319999999999997</c:v>
                </c:pt>
                <c:pt idx="143">
                  <c:v>0.99319999999999997</c:v>
                </c:pt>
                <c:pt idx="144">
                  <c:v>0.61880000000000002</c:v>
                </c:pt>
                <c:pt idx="145">
                  <c:v>0.63</c:v>
                </c:pt>
                <c:pt idx="146">
                  <c:v>0.59840000000000004</c:v>
                </c:pt>
                <c:pt idx="147">
                  <c:v>0.32279999999999998</c:v>
                </c:pt>
                <c:pt idx="148">
                  <c:v>0.64800000000000002</c:v>
                </c:pt>
                <c:pt idx="149">
                  <c:v>0.62960000000000005</c:v>
                </c:pt>
                <c:pt idx="150">
                  <c:v>0.32040000000000002</c:v>
                </c:pt>
                <c:pt idx="151">
                  <c:v>0.58040000000000003</c:v>
                </c:pt>
                <c:pt idx="152">
                  <c:v>0.64959999999999996</c:v>
                </c:pt>
                <c:pt idx="153">
                  <c:v>0.97719999999999996</c:v>
                </c:pt>
                <c:pt idx="154">
                  <c:v>0.64200000000000002</c:v>
                </c:pt>
                <c:pt idx="155">
                  <c:v>0.98960000000000004</c:v>
                </c:pt>
                <c:pt idx="156">
                  <c:v>0.61560000000000004</c:v>
                </c:pt>
                <c:pt idx="157">
                  <c:v>0.61560000000000004</c:v>
                </c:pt>
                <c:pt idx="158">
                  <c:v>0.62360000000000004</c:v>
                </c:pt>
                <c:pt idx="159">
                  <c:v>0.99119999999999997</c:v>
                </c:pt>
                <c:pt idx="160">
                  <c:v>0.99199999999999999</c:v>
                </c:pt>
                <c:pt idx="161">
                  <c:v>0.99119999999999997</c:v>
                </c:pt>
                <c:pt idx="162">
                  <c:v>0.99199999999999999</c:v>
                </c:pt>
                <c:pt idx="163">
                  <c:v>0.99360000000000004</c:v>
                </c:pt>
                <c:pt idx="164">
                  <c:v>0.62719999999999998</c:v>
                </c:pt>
                <c:pt idx="165">
                  <c:v>0.98960000000000004</c:v>
                </c:pt>
                <c:pt idx="166">
                  <c:v>0.61360000000000003</c:v>
                </c:pt>
                <c:pt idx="167">
                  <c:v>0.58720000000000006</c:v>
                </c:pt>
                <c:pt idx="168">
                  <c:v>0.58720000000000006</c:v>
                </c:pt>
                <c:pt idx="169">
                  <c:v>0.55679999999999996</c:v>
                </c:pt>
                <c:pt idx="170">
                  <c:v>0.53639999999999999</c:v>
                </c:pt>
                <c:pt idx="171">
                  <c:v>0.63800000000000001</c:v>
                </c:pt>
                <c:pt idx="172">
                  <c:v>0.54600000000000004</c:v>
                </c:pt>
                <c:pt idx="173">
                  <c:v>0.62</c:v>
                </c:pt>
                <c:pt idx="174">
                  <c:v>0.98760000000000003</c:v>
                </c:pt>
                <c:pt idx="175">
                  <c:v>0.99480000000000002</c:v>
                </c:pt>
                <c:pt idx="176">
                  <c:v>0.99239999999999995</c:v>
                </c:pt>
                <c:pt idx="177">
                  <c:v>0.998</c:v>
                </c:pt>
                <c:pt idx="178">
                  <c:v>0.61639999999999995</c:v>
                </c:pt>
                <c:pt idx="179">
                  <c:v>0.62360000000000004</c:v>
                </c:pt>
                <c:pt idx="180">
                  <c:v>0.62760000000000005</c:v>
                </c:pt>
                <c:pt idx="181">
                  <c:v>0.62280000000000002</c:v>
                </c:pt>
                <c:pt idx="182">
                  <c:v>0.98560000000000003</c:v>
                </c:pt>
                <c:pt idx="183">
                  <c:v>0.61399999999999999</c:v>
                </c:pt>
                <c:pt idx="184">
                  <c:v>0.62519999999999998</c:v>
                </c:pt>
                <c:pt idx="185">
                  <c:v>0.98919999999999997</c:v>
                </c:pt>
                <c:pt idx="186">
                  <c:v>0.62119999999999997</c:v>
                </c:pt>
                <c:pt idx="187">
                  <c:v>0.61599999999999999</c:v>
                </c:pt>
                <c:pt idx="188">
                  <c:v>0.6048</c:v>
                </c:pt>
                <c:pt idx="189">
                  <c:v>0.59760000000000002</c:v>
                </c:pt>
                <c:pt idx="190">
                  <c:v>0.61280000000000001</c:v>
                </c:pt>
                <c:pt idx="191">
                  <c:v>0.60960000000000003</c:v>
                </c:pt>
                <c:pt idx="192">
                  <c:v>0.62</c:v>
                </c:pt>
                <c:pt idx="193">
                  <c:v>0.61599999999999999</c:v>
                </c:pt>
                <c:pt idx="194">
                  <c:v>0.63360000000000005</c:v>
                </c:pt>
                <c:pt idx="195">
                  <c:v>0.62080000000000002</c:v>
                </c:pt>
                <c:pt idx="196">
                  <c:v>0.98719999999999997</c:v>
                </c:pt>
                <c:pt idx="197">
                  <c:v>0.99280000000000002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8CA-4803-982E-19A763B79E87}"/>
            </c:ext>
          </c:extLst>
        </c:ser>
        <c:ser>
          <c:idx val="9"/>
          <c:order val="9"/>
          <c:tx>
            <c:strRef>
              <c:f>'Mobility FF'!$K$2</c:f>
              <c:strCache>
                <c:ptCount val="1"/>
                <c:pt idx="0">
                  <c:v>Run 10</c:v>
                </c:pt>
              </c:strCache>
            </c:strRef>
          </c:tx>
          <c:spPr>
            <a:ln w="19050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'Mobility FF'!$K$3:$K$200</c:f>
              <c:numCache>
                <c:formatCode>General</c:formatCode>
                <c:ptCount val="198"/>
                <c:pt idx="0">
                  <c:v>1</c:v>
                </c:pt>
                <c:pt idx="1">
                  <c:v>0.99560000000000004</c:v>
                </c:pt>
                <c:pt idx="2">
                  <c:v>0.99680000000000002</c:v>
                </c:pt>
                <c:pt idx="3">
                  <c:v>0.99760000000000004</c:v>
                </c:pt>
                <c:pt idx="4">
                  <c:v>0.62239999999999995</c:v>
                </c:pt>
                <c:pt idx="5">
                  <c:v>0.32319999999999999</c:v>
                </c:pt>
                <c:pt idx="6">
                  <c:v>0.56879999999999997</c:v>
                </c:pt>
                <c:pt idx="7">
                  <c:v>0.30080000000000001</c:v>
                </c:pt>
                <c:pt idx="8">
                  <c:v>0.308</c:v>
                </c:pt>
                <c:pt idx="9">
                  <c:v>0.60719999999999996</c:v>
                </c:pt>
                <c:pt idx="10">
                  <c:v>0.63239999999999996</c:v>
                </c:pt>
                <c:pt idx="11">
                  <c:v>0.61839999999999995</c:v>
                </c:pt>
                <c:pt idx="12">
                  <c:v>0.63839999999999997</c:v>
                </c:pt>
                <c:pt idx="13">
                  <c:v>0.63519999999999999</c:v>
                </c:pt>
                <c:pt idx="14">
                  <c:v>0.31159999999999999</c:v>
                </c:pt>
                <c:pt idx="15">
                  <c:v>0.58840000000000003</c:v>
                </c:pt>
                <c:pt idx="16">
                  <c:v>0.30919999999999997</c:v>
                </c:pt>
                <c:pt idx="17">
                  <c:v>0.70920000000000005</c:v>
                </c:pt>
                <c:pt idx="18">
                  <c:v>0.55600000000000005</c:v>
                </c:pt>
                <c:pt idx="19">
                  <c:v>0.46239999999999998</c:v>
                </c:pt>
                <c:pt idx="20">
                  <c:v>0.436</c:v>
                </c:pt>
                <c:pt idx="21">
                  <c:v>0.2248</c:v>
                </c:pt>
                <c:pt idx="22">
                  <c:v>0.21479999999999999</c:v>
                </c:pt>
                <c:pt idx="23">
                  <c:v>0.22159999999999999</c:v>
                </c:pt>
                <c:pt idx="24">
                  <c:v>0.69479999999999997</c:v>
                </c:pt>
                <c:pt idx="25">
                  <c:v>0.55559999999999998</c:v>
                </c:pt>
                <c:pt idx="26">
                  <c:v>0.58199999999999996</c:v>
                </c:pt>
                <c:pt idx="27">
                  <c:v>0.29399999999999998</c:v>
                </c:pt>
                <c:pt idx="28">
                  <c:v>0.47439999999999999</c:v>
                </c:pt>
                <c:pt idx="29">
                  <c:v>0.55640000000000001</c:v>
                </c:pt>
                <c:pt idx="30">
                  <c:v>0.32240000000000002</c:v>
                </c:pt>
                <c:pt idx="31">
                  <c:v>0.30759999999999998</c:v>
                </c:pt>
                <c:pt idx="32">
                  <c:v>0.46279999999999999</c:v>
                </c:pt>
                <c:pt idx="33">
                  <c:v>0.48039999999999999</c:v>
                </c:pt>
                <c:pt idx="34">
                  <c:v>0.5796</c:v>
                </c:pt>
                <c:pt idx="35">
                  <c:v>0.60440000000000005</c:v>
                </c:pt>
                <c:pt idx="36">
                  <c:v>0.56840000000000002</c:v>
                </c:pt>
                <c:pt idx="37">
                  <c:v>0.5796</c:v>
                </c:pt>
                <c:pt idx="38">
                  <c:v>0.58320000000000005</c:v>
                </c:pt>
                <c:pt idx="39">
                  <c:v>0.46239999999999998</c:v>
                </c:pt>
                <c:pt idx="40">
                  <c:v>0.3004</c:v>
                </c:pt>
                <c:pt idx="41">
                  <c:v>0.52159999999999995</c:v>
                </c:pt>
                <c:pt idx="42">
                  <c:v>0.53120000000000001</c:v>
                </c:pt>
                <c:pt idx="43">
                  <c:v>0.53200000000000003</c:v>
                </c:pt>
                <c:pt idx="44">
                  <c:v>0.61680000000000001</c:v>
                </c:pt>
                <c:pt idx="45">
                  <c:v>0.65600000000000003</c:v>
                </c:pt>
                <c:pt idx="46">
                  <c:v>0.63119999999999998</c:v>
                </c:pt>
                <c:pt idx="47">
                  <c:v>0.61240000000000006</c:v>
                </c:pt>
                <c:pt idx="48">
                  <c:v>0.62760000000000005</c:v>
                </c:pt>
                <c:pt idx="49">
                  <c:v>0.63480000000000003</c:v>
                </c:pt>
                <c:pt idx="50">
                  <c:v>0.64</c:v>
                </c:pt>
                <c:pt idx="51">
                  <c:v>0.626</c:v>
                </c:pt>
                <c:pt idx="52">
                  <c:v>0.99639999999999995</c:v>
                </c:pt>
                <c:pt idx="53">
                  <c:v>0.99880000000000002</c:v>
                </c:pt>
                <c:pt idx="54">
                  <c:v>0.99639999999999995</c:v>
                </c:pt>
                <c:pt idx="55">
                  <c:v>0.99560000000000004</c:v>
                </c:pt>
                <c:pt idx="56">
                  <c:v>0.63600000000000001</c:v>
                </c:pt>
                <c:pt idx="57">
                  <c:v>0.99399999999999999</c:v>
                </c:pt>
                <c:pt idx="58">
                  <c:v>0.62080000000000002</c:v>
                </c:pt>
                <c:pt idx="59">
                  <c:v>0.5756</c:v>
                </c:pt>
                <c:pt idx="60">
                  <c:v>0.61960000000000004</c:v>
                </c:pt>
                <c:pt idx="61">
                  <c:v>0.6048</c:v>
                </c:pt>
                <c:pt idx="62">
                  <c:v>0.63680000000000003</c:v>
                </c:pt>
                <c:pt idx="63">
                  <c:v>0.30719999999999997</c:v>
                </c:pt>
                <c:pt idx="64">
                  <c:v>0.64319999999999999</c:v>
                </c:pt>
                <c:pt idx="65">
                  <c:v>0.30719999999999997</c:v>
                </c:pt>
                <c:pt idx="66">
                  <c:v>0.62239999999999995</c:v>
                </c:pt>
                <c:pt idx="67">
                  <c:v>0.64</c:v>
                </c:pt>
                <c:pt idx="68">
                  <c:v>0.56079999999999997</c:v>
                </c:pt>
                <c:pt idx="69">
                  <c:v>0.60760000000000003</c:v>
                </c:pt>
                <c:pt idx="70">
                  <c:v>0.62360000000000004</c:v>
                </c:pt>
                <c:pt idx="71">
                  <c:v>0.59240000000000004</c:v>
                </c:pt>
                <c:pt idx="72">
                  <c:v>0.98839999999999995</c:v>
                </c:pt>
                <c:pt idx="73">
                  <c:v>0.61719999999999997</c:v>
                </c:pt>
                <c:pt idx="74">
                  <c:v>0.99319999999999997</c:v>
                </c:pt>
                <c:pt idx="75">
                  <c:v>0.61560000000000004</c:v>
                </c:pt>
                <c:pt idx="76">
                  <c:v>0.63</c:v>
                </c:pt>
                <c:pt idx="77">
                  <c:v>0.62119999999999997</c:v>
                </c:pt>
                <c:pt idx="78">
                  <c:v>0.99439999999999995</c:v>
                </c:pt>
                <c:pt idx="79">
                  <c:v>0.63200000000000001</c:v>
                </c:pt>
                <c:pt idx="80">
                  <c:v>0.63680000000000003</c:v>
                </c:pt>
                <c:pt idx="81">
                  <c:v>0.61599999999999999</c:v>
                </c:pt>
                <c:pt idx="82">
                  <c:v>0.64319999999999999</c:v>
                </c:pt>
                <c:pt idx="83">
                  <c:v>0.98880000000000001</c:v>
                </c:pt>
                <c:pt idx="84">
                  <c:v>0.61599999999999999</c:v>
                </c:pt>
                <c:pt idx="85">
                  <c:v>0.99399999999999999</c:v>
                </c:pt>
                <c:pt idx="86">
                  <c:v>0.63439999999999996</c:v>
                </c:pt>
                <c:pt idx="87">
                  <c:v>0.63</c:v>
                </c:pt>
                <c:pt idx="88">
                  <c:v>0.62480000000000002</c:v>
                </c:pt>
                <c:pt idx="89">
                  <c:v>0.63119999999999998</c:v>
                </c:pt>
                <c:pt idx="90">
                  <c:v>0.99480000000000002</c:v>
                </c:pt>
                <c:pt idx="91">
                  <c:v>0.99560000000000004</c:v>
                </c:pt>
                <c:pt idx="92">
                  <c:v>0.99680000000000002</c:v>
                </c:pt>
                <c:pt idx="93">
                  <c:v>0.99480000000000002</c:v>
                </c:pt>
                <c:pt idx="94">
                  <c:v>0.624</c:v>
                </c:pt>
                <c:pt idx="95">
                  <c:v>0.99399999999999999</c:v>
                </c:pt>
                <c:pt idx="96">
                  <c:v>0.99519999999999997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8CA-4803-982E-19A763B79E87}"/>
            </c:ext>
          </c:extLst>
        </c:ser>
        <c:ser>
          <c:idx val="10"/>
          <c:order val="10"/>
          <c:tx>
            <c:strRef>
              <c:f>'Mobility FF'!$L$2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'Mobility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'Mobility FF'!$L$3:$L$200</c:f>
              <c:numCache>
                <c:formatCode>General</c:formatCode>
                <c:ptCount val="198"/>
                <c:pt idx="0">
                  <c:v>1</c:v>
                </c:pt>
                <c:pt idx="1">
                  <c:v>0.99375999999999998</c:v>
                </c:pt>
                <c:pt idx="2">
                  <c:v>0.99436000000000002</c:v>
                </c:pt>
                <c:pt idx="3">
                  <c:v>0.99419999999999997</c:v>
                </c:pt>
                <c:pt idx="4">
                  <c:v>0.61763999999999997</c:v>
                </c:pt>
                <c:pt idx="5">
                  <c:v>0.66152</c:v>
                </c:pt>
                <c:pt idx="6">
                  <c:v>0.52999999999999992</c:v>
                </c:pt>
                <c:pt idx="7">
                  <c:v>0.46919999999999995</c:v>
                </c:pt>
                <c:pt idx="8">
                  <c:v>0.46135999999999999</c:v>
                </c:pt>
                <c:pt idx="9">
                  <c:v>0.43208000000000002</c:v>
                </c:pt>
                <c:pt idx="10">
                  <c:v>0.42271999999999998</c:v>
                </c:pt>
                <c:pt idx="11">
                  <c:v>0.38107999999999997</c:v>
                </c:pt>
                <c:pt idx="12">
                  <c:v>0.42352000000000001</c:v>
                </c:pt>
                <c:pt idx="13">
                  <c:v>0.39896000000000004</c:v>
                </c:pt>
                <c:pt idx="14">
                  <c:v>0.36571999999999999</c:v>
                </c:pt>
                <c:pt idx="15">
                  <c:v>0.44575999999999993</c:v>
                </c:pt>
                <c:pt idx="16">
                  <c:v>0.48719999999999997</c:v>
                </c:pt>
                <c:pt idx="17">
                  <c:v>0.48935999999999991</c:v>
                </c:pt>
                <c:pt idx="18">
                  <c:v>0.47452000000000005</c:v>
                </c:pt>
                <c:pt idx="19">
                  <c:v>0.48640000000000005</c:v>
                </c:pt>
                <c:pt idx="20">
                  <c:v>0.51063999999999998</c:v>
                </c:pt>
                <c:pt idx="21">
                  <c:v>0.51147999999999993</c:v>
                </c:pt>
                <c:pt idx="22">
                  <c:v>0.52368000000000003</c:v>
                </c:pt>
                <c:pt idx="23">
                  <c:v>0.43163999999999997</c:v>
                </c:pt>
                <c:pt idx="24">
                  <c:v>0.46492000000000006</c:v>
                </c:pt>
                <c:pt idx="25">
                  <c:v>0.60520000000000007</c:v>
                </c:pt>
                <c:pt idx="26">
                  <c:v>0.53852</c:v>
                </c:pt>
                <c:pt idx="27">
                  <c:v>0.52027999999999996</c:v>
                </c:pt>
                <c:pt idx="28">
                  <c:v>0.59684000000000004</c:v>
                </c:pt>
                <c:pt idx="29">
                  <c:v>0.48875999999999997</c:v>
                </c:pt>
                <c:pt idx="30">
                  <c:v>0.5351999999999999</c:v>
                </c:pt>
                <c:pt idx="31">
                  <c:v>0.43251999999999996</c:v>
                </c:pt>
                <c:pt idx="32">
                  <c:v>0.42872000000000005</c:v>
                </c:pt>
                <c:pt idx="33">
                  <c:v>0.44740000000000002</c:v>
                </c:pt>
                <c:pt idx="34">
                  <c:v>0.56696000000000013</c:v>
                </c:pt>
                <c:pt idx="35">
                  <c:v>0.56880000000000008</c:v>
                </c:pt>
                <c:pt idx="36">
                  <c:v>0.63952000000000009</c:v>
                </c:pt>
                <c:pt idx="37">
                  <c:v>0.59572000000000003</c:v>
                </c:pt>
                <c:pt idx="38">
                  <c:v>0.65355999999999992</c:v>
                </c:pt>
                <c:pt idx="39">
                  <c:v>0.56012000000000006</c:v>
                </c:pt>
                <c:pt idx="40">
                  <c:v>0.56840000000000002</c:v>
                </c:pt>
                <c:pt idx="41">
                  <c:v>0.59168000000000009</c:v>
                </c:pt>
                <c:pt idx="42">
                  <c:v>0.58216000000000001</c:v>
                </c:pt>
                <c:pt idx="43">
                  <c:v>0.65676000000000001</c:v>
                </c:pt>
                <c:pt idx="44">
                  <c:v>0.59236</c:v>
                </c:pt>
                <c:pt idx="45">
                  <c:v>0.60436000000000001</c:v>
                </c:pt>
                <c:pt idx="46">
                  <c:v>0.58364000000000005</c:v>
                </c:pt>
                <c:pt idx="47">
                  <c:v>0.62228000000000006</c:v>
                </c:pt>
                <c:pt idx="48">
                  <c:v>0.60919999999999996</c:v>
                </c:pt>
                <c:pt idx="49">
                  <c:v>0.62556</c:v>
                </c:pt>
                <c:pt idx="50">
                  <c:v>0.58808000000000005</c:v>
                </c:pt>
                <c:pt idx="51">
                  <c:v>0.58872000000000002</c:v>
                </c:pt>
                <c:pt idx="52">
                  <c:v>0.69832000000000005</c:v>
                </c:pt>
                <c:pt idx="53">
                  <c:v>0.68763999999999992</c:v>
                </c:pt>
                <c:pt idx="54">
                  <c:v>0.71599999999999997</c:v>
                </c:pt>
                <c:pt idx="55">
                  <c:v>0.72120000000000017</c:v>
                </c:pt>
                <c:pt idx="56">
                  <c:v>0.61051999999999995</c:v>
                </c:pt>
                <c:pt idx="57">
                  <c:v>0.67603999999999997</c:v>
                </c:pt>
                <c:pt idx="58">
                  <c:v>0.67639999999999989</c:v>
                </c:pt>
                <c:pt idx="59">
                  <c:v>0.57875999999999994</c:v>
                </c:pt>
                <c:pt idx="60">
                  <c:v>0.66172000000000009</c:v>
                </c:pt>
                <c:pt idx="61">
                  <c:v>0.58140000000000003</c:v>
                </c:pt>
                <c:pt idx="62">
                  <c:v>0.64860000000000007</c:v>
                </c:pt>
                <c:pt idx="63">
                  <c:v>0.66748000000000007</c:v>
                </c:pt>
                <c:pt idx="64">
                  <c:v>0.69344000000000006</c:v>
                </c:pt>
                <c:pt idx="65">
                  <c:v>0.73475999999999986</c:v>
                </c:pt>
                <c:pt idx="66">
                  <c:v>0.77624000000000004</c:v>
                </c:pt>
                <c:pt idx="67">
                  <c:v>0.73799999999999988</c:v>
                </c:pt>
                <c:pt idx="68">
                  <c:v>0.68336000000000008</c:v>
                </c:pt>
                <c:pt idx="69">
                  <c:v>0.66199999999999992</c:v>
                </c:pt>
                <c:pt idx="70">
                  <c:v>0.72627999999999993</c:v>
                </c:pt>
                <c:pt idx="71">
                  <c:v>0.66955999999999993</c:v>
                </c:pt>
                <c:pt idx="72">
                  <c:v>0.7041599999999999</c:v>
                </c:pt>
                <c:pt idx="73">
                  <c:v>0.66588000000000014</c:v>
                </c:pt>
                <c:pt idx="74">
                  <c:v>0.87895999999999996</c:v>
                </c:pt>
                <c:pt idx="75">
                  <c:v>0.80876000000000003</c:v>
                </c:pt>
                <c:pt idx="76">
                  <c:v>0.83304000000000011</c:v>
                </c:pt>
                <c:pt idx="77">
                  <c:v>0.88380000000000014</c:v>
                </c:pt>
                <c:pt idx="78">
                  <c:v>0.80399999999999994</c:v>
                </c:pt>
                <c:pt idx="79">
                  <c:v>0.80400000000000005</c:v>
                </c:pt>
                <c:pt idx="80">
                  <c:v>0.80615999999999999</c:v>
                </c:pt>
                <c:pt idx="81">
                  <c:v>0.76859999999999995</c:v>
                </c:pt>
                <c:pt idx="82">
                  <c:v>0.84068000000000009</c:v>
                </c:pt>
                <c:pt idx="83">
                  <c:v>0.84488000000000008</c:v>
                </c:pt>
                <c:pt idx="84">
                  <c:v>0.80948000000000009</c:v>
                </c:pt>
                <c:pt idx="85">
                  <c:v>0.88952000000000009</c:v>
                </c:pt>
                <c:pt idx="86">
                  <c:v>0.88395999999999986</c:v>
                </c:pt>
                <c:pt idx="87">
                  <c:v>0.91883999999999999</c:v>
                </c:pt>
                <c:pt idx="88">
                  <c:v>0.85272000000000003</c:v>
                </c:pt>
                <c:pt idx="89">
                  <c:v>0.85376000000000007</c:v>
                </c:pt>
                <c:pt idx="90">
                  <c:v>0.95984000000000003</c:v>
                </c:pt>
                <c:pt idx="91">
                  <c:v>0.88772000000000006</c:v>
                </c:pt>
                <c:pt idx="92">
                  <c:v>0.88924000000000003</c:v>
                </c:pt>
                <c:pt idx="93">
                  <c:v>0.96088000000000007</c:v>
                </c:pt>
                <c:pt idx="94">
                  <c:v>0.87192000000000003</c:v>
                </c:pt>
                <c:pt idx="95">
                  <c:v>0.92591999999999997</c:v>
                </c:pt>
                <c:pt idx="96">
                  <c:v>0.9208400000000001</c:v>
                </c:pt>
                <c:pt idx="97">
                  <c:v>0.92227999999999999</c:v>
                </c:pt>
                <c:pt idx="98">
                  <c:v>0.88848000000000005</c:v>
                </c:pt>
                <c:pt idx="99">
                  <c:v>0.92259999999999986</c:v>
                </c:pt>
                <c:pt idx="100">
                  <c:v>0.92708000000000013</c:v>
                </c:pt>
                <c:pt idx="101">
                  <c:v>0.92267999999999994</c:v>
                </c:pt>
                <c:pt idx="102">
                  <c:v>0.96272000000000002</c:v>
                </c:pt>
                <c:pt idx="103">
                  <c:v>0.92404000000000008</c:v>
                </c:pt>
                <c:pt idx="104">
                  <c:v>0.92471999999999999</c:v>
                </c:pt>
                <c:pt idx="105">
                  <c:v>0.99712000000000001</c:v>
                </c:pt>
                <c:pt idx="106">
                  <c:v>0.96240000000000003</c:v>
                </c:pt>
                <c:pt idx="107">
                  <c:v>0.96319999999999995</c:v>
                </c:pt>
                <c:pt idx="108">
                  <c:v>0.96267999999999998</c:v>
                </c:pt>
                <c:pt idx="109">
                  <c:v>0.88932</c:v>
                </c:pt>
                <c:pt idx="110">
                  <c:v>0.89200000000000002</c:v>
                </c:pt>
                <c:pt idx="111">
                  <c:v>0.92935999999999996</c:v>
                </c:pt>
                <c:pt idx="112">
                  <c:v>0.88644000000000001</c:v>
                </c:pt>
                <c:pt idx="113">
                  <c:v>0.89071999999999996</c:v>
                </c:pt>
                <c:pt idx="114">
                  <c:v>0.95876000000000006</c:v>
                </c:pt>
                <c:pt idx="115">
                  <c:v>0.92296</c:v>
                </c:pt>
                <c:pt idx="116">
                  <c:v>0.92480000000000007</c:v>
                </c:pt>
                <c:pt idx="117">
                  <c:v>0.88979999999999992</c:v>
                </c:pt>
                <c:pt idx="118">
                  <c:v>0.91427999999999998</c:v>
                </c:pt>
                <c:pt idx="119">
                  <c:v>0.92376000000000003</c:v>
                </c:pt>
                <c:pt idx="120">
                  <c:v>0.92247999999999997</c:v>
                </c:pt>
                <c:pt idx="121">
                  <c:v>0.92368000000000006</c:v>
                </c:pt>
                <c:pt idx="122">
                  <c:v>0.9601599999999999</c:v>
                </c:pt>
                <c:pt idx="123">
                  <c:v>0.95755999999999997</c:v>
                </c:pt>
                <c:pt idx="124">
                  <c:v>0.96188000000000007</c:v>
                </c:pt>
                <c:pt idx="125">
                  <c:v>0.96508000000000005</c:v>
                </c:pt>
                <c:pt idx="126">
                  <c:v>0.95760000000000001</c:v>
                </c:pt>
                <c:pt idx="127">
                  <c:v>0.93084000000000011</c:v>
                </c:pt>
                <c:pt idx="128">
                  <c:v>0.9573600000000001</c:v>
                </c:pt>
                <c:pt idx="129">
                  <c:v>0.96099999999999997</c:v>
                </c:pt>
                <c:pt idx="130">
                  <c:v>0.99848000000000003</c:v>
                </c:pt>
                <c:pt idx="131">
                  <c:v>0.99924000000000002</c:v>
                </c:pt>
                <c:pt idx="132">
                  <c:v>0.99936000000000003</c:v>
                </c:pt>
                <c:pt idx="133">
                  <c:v>0.99944000000000011</c:v>
                </c:pt>
                <c:pt idx="134">
                  <c:v>0.99907999999999997</c:v>
                </c:pt>
                <c:pt idx="135">
                  <c:v>0.96175999999999995</c:v>
                </c:pt>
                <c:pt idx="136">
                  <c:v>0.96240000000000003</c:v>
                </c:pt>
                <c:pt idx="137">
                  <c:v>0.96107999999999993</c:v>
                </c:pt>
                <c:pt idx="138">
                  <c:v>0.95804000000000011</c:v>
                </c:pt>
                <c:pt idx="139">
                  <c:v>0.99827999999999995</c:v>
                </c:pt>
                <c:pt idx="140">
                  <c:v>0.99884000000000006</c:v>
                </c:pt>
                <c:pt idx="141">
                  <c:v>0.99887999999999999</c:v>
                </c:pt>
                <c:pt idx="142">
                  <c:v>0.99931999999999999</c:v>
                </c:pt>
                <c:pt idx="143">
                  <c:v>0.99931999999999999</c:v>
                </c:pt>
                <c:pt idx="144">
                  <c:v>0.96188000000000007</c:v>
                </c:pt>
                <c:pt idx="145">
                  <c:v>0.96300000000000008</c:v>
                </c:pt>
                <c:pt idx="146">
                  <c:v>0.95984000000000003</c:v>
                </c:pt>
                <c:pt idx="147">
                  <c:v>0.93228000000000011</c:v>
                </c:pt>
                <c:pt idx="148">
                  <c:v>0.96479999999999999</c:v>
                </c:pt>
                <c:pt idx="149">
                  <c:v>0.96296000000000004</c:v>
                </c:pt>
                <c:pt idx="150">
                  <c:v>0.93203999999999998</c:v>
                </c:pt>
                <c:pt idx="151">
                  <c:v>0.95804000000000011</c:v>
                </c:pt>
                <c:pt idx="152">
                  <c:v>0.96495999999999993</c:v>
                </c:pt>
                <c:pt idx="153">
                  <c:v>0.99771999999999994</c:v>
                </c:pt>
                <c:pt idx="154">
                  <c:v>0.96419999999999995</c:v>
                </c:pt>
                <c:pt idx="155">
                  <c:v>0.99895999999999996</c:v>
                </c:pt>
                <c:pt idx="156">
                  <c:v>0.96156000000000008</c:v>
                </c:pt>
                <c:pt idx="157">
                  <c:v>0.96156000000000008</c:v>
                </c:pt>
                <c:pt idx="158">
                  <c:v>0.96235999999999999</c:v>
                </c:pt>
                <c:pt idx="159">
                  <c:v>0.9991199999999999</c:v>
                </c:pt>
                <c:pt idx="160">
                  <c:v>0.99920000000000009</c:v>
                </c:pt>
                <c:pt idx="161">
                  <c:v>0.9991199999999999</c:v>
                </c:pt>
                <c:pt idx="162">
                  <c:v>0.99920000000000009</c:v>
                </c:pt>
                <c:pt idx="163">
                  <c:v>0.99936000000000003</c:v>
                </c:pt>
                <c:pt idx="164">
                  <c:v>0.96272000000000002</c:v>
                </c:pt>
                <c:pt idx="165">
                  <c:v>0.99895999999999996</c:v>
                </c:pt>
                <c:pt idx="166">
                  <c:v>0.96135999999999999</c:v>
                </c:pt>
                <c:pt idx="167">
                  <c:v>0.95871999999999991</c:v>
                </c:pt>
                <c:pt idx="168">
                  <c:v>0.95871999999999991</c:v>
                </c:pt>
                <c:pt idx="169">
                  <c:v>0.95567999999999986</c:v>
                </c:pt>
                <c:pt idx="170">
                  <c:v>0.95364000000000004</c:v>
                </c:pt>
                <c:pt idx="171">
                  <c:v>0.96379999999999999</c:v>
                </c:pt>
                <c:pt idx="172">
                  <c:v>0.95459999999999989</c:v>
                </c:pt>
                <c:pt idx="173">
                  <c:v>0.96199999999999997</c:v>
                </c:pt>
                <c:pt idx="174">
                  <c:v>0.99876000000000009</c:v>
                </c:pt>
                <c:pt idx="175">
                  <c:v>0.99947999999999992</c:v>
                </c:pt>
                <c:pt idx="176">
                  <c:v>0.99924000000000002</c:v>
                </c:pt>
                <c:pt idx="177">
                  <c:v>0.99979999999999991</c:v>
                </c:pt>
                <c:pt idx="178">
                  <c:v>0.96164000000000005</c:v>
                </c:pt>
                <c:pt idx="179">
                  <c:v>0.96235999999999999</c:v>
                </c:pt>
                <c:pt idx="180">
                  <c:v>0.96275999999999995</c:v>
                </c:pt>
                <c:pt idx="181">
                  <c:v>0.96228000000000002</c:v>
                </c:pt>
                <c:pt idx="182">
                  <c:v>0.99856</c:v>
                </c:pt>
                <c:pt idx="183">
                  <c:v>0.96140000000000003</c:v>
                </c:pt>
                <c:pt idx="184">
                  <c:v>0.96251999999999993</c:v>
                </c:pt>
                <c:pt idx="185">
                  <c:v>0.99892000000000003</c:v>
                </c:pt>
                <c:pt idx="186">
                  <c:v>0.96211999999999998</c:v>
                </c:pt>
                <c:pt idx="187">
                  <c:v>0.96160000000000001</c:v>
                </c:pt>
                <c:pt idx="188">
                  <c:v>0.96048000000000011</c:v>
                </c:pt>
                <c:pt idx="189">
                  <c:v>0.95975999999999995</c:v>
                </c:pt>
                <c:pt idx="190">
                  <c:v>0.96128000000000002</c:v>
                </c:pt>
                <c:pt idx="191">
                  <c:v>0.96096000000000004</c:v>
                </c:pt>
                <c:pt idx="192">
                  <c:v>0.96199999999999997</c:v>
                </c:pt>
                <c:pt idx="193">
                  <c:v>0.96160000000000001</c:v>
                </c:pt>
                <c:pt idx="194">
                  <c:v>0.96335999999999999</c:v>
                </c:pt>
                <c:pt idx="195">
                  <c:v>0.96207999999999994</c:v>
                </c:pt>
                <c:pt idx="196">
                  <c:v>0.99871999999999994</c:v>
                </c:pt>
                <c:pt idx="197">
                  <c:v>0.99928000000000006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8CA-4803-982E-19A763B79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90784"/>
        <c:axId val="1318262624"/>
      </c:scatterChart>
      <c:valAx>
        <c:axId val="1077390784"/>
        <c:scaling>
          <c:orientation val="minMax"/>
          <c:max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62624"/>
        <c:crosses val="autoZero"/>
        <c:crossBetween val="midCat"/>
      </c:valAx>
      <c:valAx>
        <c:axId val="1318262624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 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0784"/>
        <c:crosses val="autoZero"/>
        <c:crossBetween val="midCat"/>
        <c:majorUnit val="0.2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'# Out NF'!$O$2</c:f>
              <c:strCache>
                <c:ptCount val="1"/>
                <c:pt idx="0">
                  <c:v>Run 1</c:v>
                </c:pt>
              </c:strCache>
            </c:strRef>
          </c:tx>
          <c:spPr>
            <a:ln w="19050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NF'!$N$3:$N$29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'# Out NF'!$O$3:$O$29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2C-46C3-BC9F-F3019261F1C9}"/>
            </c:ext>
          </c:extLst>
        </c:ser>
        <c:ser>
          <c:idx val="1"/>
          <c:order val="1"/>
          <c:tx>
            <c:strRef>
              <c:f>'# Out NF'!$P$2</c:f>
              <c:strCache>
                <c:ptCount val="1"/>
                <c:pt idx="0">
                  <c:v>Run 2</c:v>
                </c:pt>
              </c:strCache>
            </c:strRef>
          </c:tx>
          <c:spPr>
            <a:ln w="19050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NF'!$N$3:$N$29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'# Out NF'!$P$3:$P$29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2C-46C3-BC9F-F3019261F1C9}"/>
            </c:ext>
          </c:extLst>
        </c:ser>
        <c:ser>
          <c:idx val="2"/>
          <c:order val="2"/>
          <c:tx>
            <c:strRef>
              <c:f>'# Out NF'!$Q$2</c:f>
              <c:strCache>
                <c:ptCount val="1"/>
                <c:pt idx="0">
                  <c:v>Run 3</c:v>
                </c:pt>
              </c:strCache>
            </c:strRef>
          </c:tx>
          <c:spPr>
            <a:ln w="19050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NF'!$N$3:$N$29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'# Out NF'!$Q$3:$Q$29</c:f>
              <c:numCache>
                <c:formatCode>General</c:formatCode>
                <c:ptCount val="27"/>
                <c:pt idx="0">
                  <c:v>1</c:v>
                </c:pt>
                <c:pt idx="1">
                  <c:v>0.999</c:v>
                </c:pt>
                <c:pt idx="2">
                  <c:v>0.999</c:v>
                </c:pt>
                <c:pt idx="3">
                  <c:v>0.999</c:v>
                </c:pt>
                <c:pt idx="4">
                  <c:v>0.999</c:v>
                </c:pt>
                <c:pt idx="5">
                  <c:v>0.999</c:v>
                </c:pt>
                <c:pt idx="6">
                  <c:v>0.999</c:v>
                </c:pt>
                <c:pt idx="7">
                  <c:v>0.999</c:v>
                </c:pt>
                <c:pt idx="8">
                  <c:v>0.999</c:v>
                </c:pt>
                <c:pt idx="9">
                  <c:v>0.999</c:v>
                </c:pt>
                <c:pt idx="10">
                  <c:v>0.999</c:v>
                </c:pt>
                <c:pt idx="11">
                  <c:v>0.999</c:v>
                </c:pt>
                <c:pt idx="12">
                  <c:v>0.999</c:v>
                </c:pt>
                <c:pt idx="13">
                  <c:v>0.999</c:v>
                </c:pt>
                <c:pt idx="14">
                  <c:v>0.999</c:v>
                </c:pt>
                <c:pt idx="15">
                  <c:v>0.999</c:v>
                </c:pt>
                <c:pt idx="16">
                  <c:v>0.999</c:v>
                </c:pt>
                <c:pt idx="17">
                  <c:v>0.999</c:v>
                </c:pt>
                <c:pt idx="18">
                  <c:v>0.999</c:v>
                </c:pt>
                <c:pt idx="19">
                  <c:v>0.999</c:v>
                </c:pt>
                <c:pt idx="20">
                  <c:v>0.999</c:v>
                </c:pt>
                <c:pt idx="21">
                  <c:v>0.999</c:v>
                </c:pt>
                <c:pt idx="22">
                  <c:v>0.999</c:v>
                </c:pt>
                <c:pt idx="23">
                  <c:v>0.999</c:v>
                </c:pt>
                <c:pt idx="24">
                  <c:v>0.999</c:v>
                </c:pt>
                <c:pt idx="25">
                  <c:v>0.999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2C-46C3-BC9F-F3019261F1C9}"/>
            </c:ext>
          </c:extLst>
        </c:ser>
        <c:ser>
          <c:idx val="3"/>
          <c:order val="3"/>
          <c:tx>
            <c:strRef>
              <c:f>'# Out NF'!$R$2</c:f>
              <c:strCache>
                <c:ptCount val="1"/>
                <c:pt idx="0">
                  <c:v>Run 4</c:v>
                </c:pt>
              </c:strCache>
            </c:strRef>
          </c:tx>
          <c:spPr>
            <a:ln w="19050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NF'!$N$3:$N$29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'# Out NF'!$R$3:$R$29</c:f>
              <c:numCache>
                <c:formatCode>General</c:formatCode>
                <c:ptCount val="27"/>
                <c:pt idx="0">
                  <c:v>1</c:v>
                </c:pt>
                <c:pt idx="1">
                  <c:v>0.999</c:v>
                </c:pt>
                <c:pt idx="2">
                  <c:v>0.999</c:v>
                </c:pt>
                <c:pt idx="3">
                  <c:v>0.999</c:v>
                </c:pt>
                <c:pt idx="4">
                  <c:v>0.999</c:v>
                </c:pt>
                <c:pt idx="5">
                  <c:v>0.999</c:v>
                </c:pt>
                <c:pt idx="6">
                  <c:v>0.999</c:v>
                </c:pt>
                <c:pt idx="7">
                  <c:v>0.999</c:v>
                </c:pt>
                <c:pt idx="8">
                  <c:v>0.999</c:v>
                </c:pt>
                <c:pt idx="9">
                  <c:v>0.999</c:v>
                </c:pt>
                <c:pt idx="10">
                  <c:v>0.999</c:v>
                </c:pt>
                <c:pt idx="11">
                  <c:v>0.999</c:v>
                </c:pt>
                <c:pt idx="12">
                  <c:v>0.999</c:v>
                </c:pt>
                <c:pt idx="13">
                  <c:v>0.999</c:v>
                </c:pt>
                <c:pt idx="14">
                  <c:v>0.999</c:v>
                </c:pt>
                <c:pt idx="15">
                  <c:v>0.999</c:v>
                </c:pt>
                <c:pt idx="16">
                  <c:v>0.999</c:v>
                </c:pt>
                <c:pt idx="17">
                  <c:v>0.999</c:v>
                </c:pt>
                <c:pt idx="18">
                  <c:v>0.999</c:v>
                </c:pt>
                <c:pt idx="19">
                  <c:v>0.999</c:v>
                </c:pt>
                <c:pt idx="20">
                  <c:v>0.998</c:v>
                </c:pt>
                <c:pt idx="21">
                  <c:v>0.999</c:v>
                </c:pt>
                <c:pt idx="22">
                  <c:v>0.999</c:v>
                </c:pt>
                <c:pt idx="23">
                  <c:v>0.999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2C-46C3-BC9F-F3019261F1C9}"/>
            </c:ext>
          </c:extLst>
        </c:ser>
        <c:ser>
          <c:idx val="4"/>
          <c:order val="4"/>
          <c:tx>
            <c:strRef>
              <c:f>'# Out NF'!$S$2</c:f>
              <c:strCache>
                <c:ptCount val="1"/>
                <c:pt idx="0">
                  <c:v>Run 5</c:v>
                </c:pt>
              </c:strCache>
            </c:strRef>
          </c:tx>
          <c:spPr>
            <a:ln w="19050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NF'!$N$3:$N$29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'# Out NF'!$S$3:$S$29</c:f>
              <c:numCache>
                <c:formatCode>General</c:formatCode>
                <c:ptCount val="27"/>
                <c:pt idx="0">
                  <c:v>1</c:v>
                </c:pt>
                <c:pt idx="1">
                  <c:v>0.999</c:v>
                </c:pt>
                <c:pt idx="2">
                  <c:v>0.999</c:v>
                </c:pt>
                <c:pt idx="3">
                  <c:v>0.999</c:v>
                </c:pt>
                <c:pt idx="4">
                  <c:v>0.999</c:v>
                </c:pt>
                <c:pt idx="5">
                  <c:v>0.999</c:v>
                </c:pt>
                <c:pt idx="6">
                  <c:v>0.999</c:v>
                </c:pt>
                <c:pt idx="7">
                  <c:v>0.999</c:v>
                </c:pt>
                <c:pt idx="8">
                  <c:v>0.999</c:v>
                </c:pt>
                <c:pt idx="9">
                  <c:v>0.999</c:v>
                </c:pt>
                <c:pt idx="10">
                  <c:v>0.998</c:v>
                </c:pt>
                <c:pt idx="11">
                  <c:v>0.999</c:v>
                </c:pt>
                <c:pt idx="12">
                  <c:v>0.998</c:v>
                </c:pt>
                <c:pt idx="13">
                  <c:v>0.999</c:v>
                </c:pt>
                <c:pt idx="14">
                  <c:v>0.999</c:v>
                </c:pt>
                <c:pt idx="15">
                  <c:v>0.999</c:v>
                </c:pt>
                <c:pt idx="16">
                  <c:v>0.999</c:v>
                </c:pt>
                <c:pt idx="17">
                  <c:v>0.999</c:v>
                </c:pt>
                <c:pt idx="18">
                  <c:v>0.999</c:v>
                </c:pt>
                <c:pt idx="19">
                  <c:v>0.999</c:v>
                </c:pt>
                <c:pt idx="20">
                  <c:v>0.998</c:v>
                </c:pt>
                <c:pt idx="21">
                  <c:v>0.999</c:v>
                </c:pt>
                <c:pt idx="22">
                  <c:v>0.998</c:v>
                </c:pt>
                <c:pt idx="23">
                  <c:v>0.998</c:v>
                </c:pt>
                <c:pt idx="24">
                  <c:v>0.998</c:v>
                </c:pt>
                <c:pt idx="25">
                  <c:v>0.998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2C-46C3-BC9F-F3019261F1C9}"/>
            </c:ext>
          </c:extLst>
        </c:ser>
        <c:ser>
          <c:idx val="5"/>
          <c:order val="5"/>
          <c:tx>
            <c:strRef>
              <c:f>'# Out NF'!$T$2</c:f>
              <c:strCache>
                <c:ptCount val="1"/>
                <c:pt idx="0">
                  <c:v>Run 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'# Out NF'!$N$3:$N$29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'# Out NF'!$T$3:$T$29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2C-46C3-BC9F-F3019261F1C9}"/>
            </c:ext>
          </c:extLst>
        </c:ser>
        <c:ser>
          <c:idx val="6"/>
          <c:order val="6"/>
          <c:tx>
            <c:strRef>
              <c:f>'# Out NF'!$U$2</c:f>
              <c:strCache>
                <c:ptCount val="1"/>
                <c:pt idx="0">
                  <c:v>Run 7</c:v>
                </c:pt>
              </c:strCache>
            </c:strRef>
          </c:tx>
          <c:spPr>
            <a:ln w="19050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NF'!$N$3:$N$29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'# Out NF'!$U$3:$U$29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B2C-46C3-BC9F-F3019261F1C9}"/>
            </c:ext>
          </c:extLst>
        </c:ser>
        <c:ser>
          <c:idx val="7"/>
          <c:order val="7"/>
          <c:tx>
            <c:strRef>
              <c:f>'# Out NF'!$V$2</c:f>
              <c:strCache>
                <c:ptCount val="1"/>
                <c:pt idx="0">
                  <c:v>Run 8</c:v>
                </c:pt>
              </c:strCache>
            </c:strRef>
          </c:tx>
          <c:spPr>
            <a:ln w="19050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NF'!$N$3:$N$29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'# Out NF'!$V$3:$V$29</c:f>
              <c:numCache>
                <c:formatCode>General</c:formatCode>
                <c:ptCount val="27"/>
                <c:pt idx="0">
                  <c:v>1</c:v>
                </c:pt>
                <c:pt idx="1">
                  <c:v>0.998</c:v>
                </c:pt>
                <c:pt idx="2">
                  <c:v>0.998</c:v>
                </c:pt>
                <c:pt idx="3">
                  <c:v>0.997</c:v>
                </c:pt>
                <c:pt idx="4">
                  <c:v>0.998</c:v>
                </c:pt>
                <c:pt idx="5">
                  <c:v>0.997</c:v>
                </c:pt>
                <c:pt idx="6">
                  <c:v>0.998</c:v>
                </c:pt>
                <c:pt idx="7">
                  <c:v>0.998</c:v>
                </c:pt>
                <c:pt idx="8">
                  <c:v>0.998</c:v>
                </c:pt>
                <c:pt idx="9">
                  <c:v>0.998</c:v>
                </c:pt>
                <c:pt idx="10">
                  <c:v>0.998</c:v>
                </c:pt>
                <c:pt idx="11">
                  <c:v>0.998</c:v>
                </c:pt>
                <c:pt idx="12">
                  <c:v>0.998</c:v>
                </c:pt>
                <c:pt idx="13">
                  <c:v>0.998</c:v>
                </c:pt>
                <c:pt idx="14">
                  <c:v>0.998</c:v>
                </c:pt>
                <c:pt idx="15">
                  <c:v>0.998</c:v>
                </c:pt>
                <c:pt idx="16">
                  <c:v>0.998</c:v>
                </c:pt>
                <c:pt idx="17">
                  <c:v>0.998</c:v>
                </c:pt>
                <c:pt idx="18">
                  <c:v>0.998</c:v>
                </c:pt>
                <c:pt idx="19">
                  <c:v>0.999</c:v>
                </c:pt>
                <c:pt idx="20">
                  <c:v>0.998</c:v>
                </c:pt>
                <c:pt idx="21">
                  <c:v>0.998</c:v>
                </c:pt>
                <c:pt idx="22">
                  <c:v>0.998</c:v>
                </c:pt>
                <c:pt idx="23">
                  <c:v>0.998</c:v>
                </c:pt>
                <c:pt idx="24">
                  <c:v>0.998</c:v>
                </c:pt>
                <c:pt idx="25">
                  <c:v>0.998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B2C-46C3-BC9F-F3019261F1C9}"/>
            </c:ext>
          </c:extLst>
        </c:ser>
        <c:ser>
          <c:idx val="8"/>
          <c:order val="8"/>
          <c:tx>
            <c:strRef>
              <c:f>'# Out NF'!$W$2</c:f>
              <c:strCache>
                <c:ptCount val="1"/>
                <c:pt idx="0">
                  <c:v>Run 9</c:v>
                </c:pt>
              </c:strCache>
            </c:strRef>
          </c:tx>
          <c:spPr>
            <a:ln w="19050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NF'!$N$3:$N$29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'# Out NF'!$W$3:$W$29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B2C-46C3-BC9F-F3019261F1C9}"/>
            </c:ext>
          </c:extLst>
        </c:ser>
        <c:ser>
          <c:idx val="9"/>
          <c:order val="9"/>
          <c:tx>
            <c:strRef>
              <c:f>'# Out NF'!$X$2</c:f>
              <c:strCache>
                <c:ptCount val="1"/>
                <c:pt idx="0">
                  <c:v>Run 10</c:v>
                </c:pt>
              </c:strCache>
            </c:strRef>
          </c:tx>
          <c:spPr>
            <a:ln w="19050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NF'!$N$3:$N$29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'# Out NF'!$X$3:$X$29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0.999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0.999</c:v>
                </c:pt>
                <c:pt idx="10">
                  <c:v>1</c:v>
                </c:pt>
                <c:pt idx="11">
                  <c:v>1</c:v>
                </c:pt>
                <c:pt idx="12">
                  <c:v>0.999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0.999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B2C-46C3-BC9F-F3019261F1C9}"/>
            </c:ext>
          </c:extLst>
        </c:ser>
        <c:ser>
          <c:idx val="10"/>
          <c:order val="10"/>
          <c:tx>
            <c:strRef>
              <c:f>'# Out NF'!$Y$2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'# Out NF'!$N$3:$N$29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'# Out NF'!$Y$3:$Y$29</c:f>
              <c:numCache>
                <c:formatCode>General</c:formatCode>
                <c:ptCount val="27"/>
                <c:pt idx="0">
                  <c:v>1</c:v>
                </c:pt>
                <c:pt idx="1">
                  <c:v>0.99950000000000006</c:v>
                </c:pt>
                <c:pt idx="2">
                  <c:v>0.99950000000000006</c:v>
                </c:pt>
                <c:pt idx="3">
                  <c:v>0.99939999999999996</c:v>
                </c:pt>
                <c:pt idx="4">
                  <c:v>0.99939999999999996</c:v>
                </c:pt>
                <c:pt idx="5">
                  <c:v>0.99939999999999996</c:v>
                </c:pt>
                <c:pt idx="6">
                  <c:v>0.99950000000000006</c:v>
                </c:pt>
                <c:pt idx="7">
                  <c:v>0.99950000000000006</c:v>
                </c:pt>
                <c:pt idx="8">
                  <c:v>0.99950000000000006</c:v>
                </c:pt>
                <c:pt idx="9">
                  <c:v>0.99939999999999996</c:v>
                </c:pt>
                <c:pt idx="10">
                  <c:v>0.99939999999999996</c:v>
                </c:pt>
                <c:pt idx="11">
                  <c:v>0.99950000000000006</c:v>
                </c:pt>
                <c:pt idx="12">
                  <c:v>0.99929999999999997</c:v>
                </c:pt>
                <c:pt idx="13">
                  <c:v>0.99950000000000006</c:v>
                </c:pt>
                <c:pt idx="14">
                  <c:v>0.99950000000000006</c:v>
                </c:pt>
                <c:pt idx="15">
                  <c:v>0.99950000000000006</c:v>
                </c:pt>
                <c:pt idx="16">
                  <c:v>0.99939999999999996</c:v>
                </c:pt>
                <c:pt idx="17">
                  <c:v>0.99950000000000006</c:v>
                </c:pt>
                <c:pt idx="18">
                  <c:v>0.99950000000000006</c:v>
                </c:pt>
                <c:pt idx="19">
                  <c:v>0.99960000000000004</c:v>
                </c:pt>
                <c:pt idx="20">
                  <c:v>0.99929999999999997</c:v>
                </c:pt>
                <c:pt idx="21">
                  <c:v>0.99950000000000006</c:v>
                </c:pt>
                <c:pt idx="22">
                  <c:v>0.99939999999999996</c:v>
                </c:pt>
                <c:pt idx="23">
                  <c:v>0.99939999999999996</c:v>
                </c:pt>
                <c:pt idx="24">
                  <c:v>0.99950000000000006</c:v>
                </c:pt>
                <c:pt idx="25">
                  <c:v>0.99950000000000006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B2C-46C3-BC9F-F3019261F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90784"/>
        <c:axId val="1318262624"/>
      </c:scatterChart>
      <c:valAx>
        <c:axId val="107739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62624"/>
        <c:crosses val="autoZero"/>
        <c:crossBetween val="midCat"/>
      </c:valAx>
      <c:valAx>
        <c:axId val="1318262624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0784"/>
        <c:crosses val="autoZero"/>
        <c:crossBetween val="midCat"/>
        <c:majorUnit val="0.2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'# Out SF'!$O$2</c:f>
              <c:strCache>
                <c:ptCount val="1"/>
                <c:pt idx="0">
                  <c:v>Run 1</c:v>
                </c:pt>
              </c:strCache>
            </c:strRef>
          </c:tx>
          <c:spPr>
            <a:ln w="19050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SF'!$N$3:$N$37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'# Out SF'!$O$3:$O$37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0.99399999999999999</c:v>
                </c:pt>
                <c:pt idx="5">
                  <c:v>0.99</c:v>
                </c:pt>
                <c:pt idx="6">
                  <c:v>0.97899999999999998</c:v>
                </c:pt>
                <c:pt idx="7">
                  <c:v>0.96499999999999997</c:v>
                </c:pt>
                <c:pt idx="8">
                  <c:v>0.94</c:v>
                </c:pt>
                <c:pt idx="9">
                  <c:v>0.90700000000000003</c:v>
                </c:pt>
                <c:pt idx="10">
                  <c:v>0.86099999999999999</c:v>
                </c:pt>
                <c:pt idx="11">
                  <c:v>0.81499999999999995</c:v>
                </c:pt>
                <c:pt idx="12">
                  <c:v>0.77200000000000002</c:v>
                </c:pt>
                <c:pt idx="13">
                  <c:v>0.72299999999999998</c:v>
                </c:pt>
                <c:pt idx="14">
                  <c:v>0.69699999999999995</c:v>
                </c:pt>
                <c:pt idx="15">
                  <c:v>0.67</c:v>
                </c:pt>
                <c:pt idx="16">
                  <c:v>0.66800000000000004</c:v>
                </c:pt>
                <c:pt idx="17">
                  <c:v>0.70299999999999996</c:v>
                </c:pt>
                <c:pt idx="18">
                  <c:v>0.74199999999999999</c:v>
                </c:pt>
                <c:pt idx="19">
                  <c:v>0.80900000000000005</c:v>
                </c:pt>
                <c:pt idx="20">
                  <c:v>0.86499999999999999</c:v>
                </c:pt>
                <c:pt idx="21">
                  <c:v>0.91</c:v>
                </c:pt>
                <c:pt idx="22">
                  <c:v>0.94699999999999995</c:v>
                </c:pt>
                <c:pt idx="23">
                  <c:v>0.96499999999999997</c:v>
                </c:pt>
                <c:pt idx="24">
                  <c:v>0.98199999999999998</c:v>
                </c:pt>
                <c:pt idx="25">
                  <c:v>0.98899999999999999</c:v>
                </c:pt>
                <c:pt idx="26">
                  <c:v>0.99399999999999999</c:v>
                </c:pt>
                <c:pt idx="27">
                  <c:v>0.997</c:v>
                </c:pt>
                <c:pt idx="28">
                  <c:v>0.997</c:v>
                </c:pt>
                <c:pt idx="29">
                  <c:v>0.996</c:v>
                </c:pt>
                <c:pt idx="30">
                  <c:v>0.997</c:v>
                </c:pt>
                <c:pt idx="31">
                  <c:v>0.999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C7-454A-A4B6-E18526733897}"/>
            </c:ext>
          </c:extLst>
        </c:ser>
        <c:ser>
          <c:idx val="1"/>
          <c:order val="1"/>
          <c:tx>
            <c:strRef>
              <c:f>'# Out SF'!$P$2</c:f>
              <c:strCache>
                <c:ptCount val="1"/>
                <c:pt idx="0">
                  <c:v>Run 2</c:v>
                </c:pt>
              </c:strCache>
            </c:strRef>
          </c:tx>
          <c:spPr>
            <a:ln w="19050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SF'!$N$3:$N$37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'# Out SF'!$P$3:$P$37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0.996</c:v>
                </c:pt>
                <c:pt idx="5">
                  <c:v>0.98799999999999999</c:v>
                </c:pt>
                <c:pt idx="6">
                  <c:v>0.98299999999999998</c:v>
                </c:pt>
                <c:pt idx="7">
                  <c:v>0.97599999999999998</c:v>
                </c:pt>
                <c:pt idx="8">
                  <c:v>0.96399999999999997</c:v>
                </c:pt>
                <c:pt idx="9">
                  <c:v>0.95699999999999996</c:v>
                </c:pt>
                <c:pt idx="10">
                  <c:v>0.93400000000000005</c:v>
                </c:pt>
                <c:pt idx="11">
                  <c:v>0.90700000000000003</c:v>
                </c:pt>
                <c:pt idx="12">
                  <c:v>0.871</c:v>
                </c:pt>
                <c:pt idx="13">
                  <c:v>0.82099999999999995</c:v>
                </c:pt>
                <c:pt idx="14">
                  <c:v>0.77400000000000002</c:v>
                </c:pt>
                <c:pt idx="15">
                  <c:v>0.72099999999999997</c:v>
                </c:pt>
                <c:pt idx="16">
                  <c:v>0.67600000000000005</c:v>
                </c:pt>
                <c:pt idx="17">
                  <c:v>0.66</c:v>
                </c:pt>
                <c:pt idx="18">
                  <c:v>0.66800000000000004</c:v>
                </c:pt>
                <c:pt idx="19">
                  <c:v>0.70399999999999996</c:v>
                </c:pt>
                <c:pt idx="20">
                  <c:v>0.76500000000000001</c:v>
                </c:pt>
                <c:pt idx="21">
                  <c:v>0.82199999999999995</c:v>
                </c:pt>
                <c:pt idx="22">
                  <c:v>0.874</c:v>
                </c:pt>
                <c:pt idx="23">
                  <c:v>0.92200000000000004</c:v>
                </c:pt>
                <c:pt idx="24">
                  <c:v>0.95199999999999996</c:v>
                </c:pt>
                <c:pt idx="25">
                  <c:v>0.97199999999999998</c:v>
                </c:pt>
                <c:pt idx="26">
                  <c:v>0.98599999999999999</c:v>
                </c:pt>
                <c:pt idx="27">
                  <c:v>0.99099999999999999</c:v>
                </c:pt>
                <c:pt idx="28">
                  <c:v>0.995</c:v>
                </c:pt>
                <c:pt idx="29">
                  <c:v>0.999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C7-454A-A4B6-E18526733897}"/>
            </c:ext>
          </c:extLst>
        </c:ser>
        <c:ser>
          <c:idx val="2"/>
          <c:order val="2"/>
          <c:tx>
            <c:strRef>
              <c:f>'# Out SF'!$Q$2</c:f>
              <c:strCache>
                <c:ptCount val="1"/>
                <c:pt idx="0">
                  <c:v>Run 3</c:v>
                </c:pt>
              </c:strCache>
            </c:strRef>
          </c:tx>
          <c:spPr>
            <a:ln w="19050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SF'!$N$3:$N$37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'# Out SF'!$Q$3:$Q$37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0.996</c:v>
                </c:pt>
                <c:pt idx="5">
                  <c:v>0.99299999999999999</c:v>
                </c:pt>
                <c:pt idx="6">
                  <c:v>0.98899999999999999</c:v>
                </c:pt>
                <c:pt idx="7">
                  <c:v>0.98299999999999998</c:v>
                </c:pt>
                <c:pt idx="8">
                  <c:v>0.97499999999999998</c:v>
                </c:pt>
                <c:pt idx="9">
                  <c:v>0.95799999999999996</c:v>
                </c:pt>
                <c:pt idx="10">
                  <c:v>0.94299999999999995</c:v>
                </c:pt>
                <c:pt idx="11">
                  <c:v>0.91900000000000004</c:v>
                </c:pt>
                <c:pt idx="12">
                  <c:v>0.88700000000000001</c:v>
                </c:pt>
                <c:pt idx="13">
                  <c:v>0.84699999999999998</c:v>
                </c:pt>
                <c:pt idx="14">
                  <c:v>0.80700000000000005</c:v>
                </c:pt>
                <c:pt idx="15">
                  <c:v>0.75600000000000001</c:v>
                </c:pt>
                <c:pt idx="16">
                  <c:v>0.71199999999999997</c:v>
                </c:pt>
                <c:pt idx="17">
                  <c:v>0.68400000000000005</c:v>
                </c:pt>
                <c:pt idx="18">
                  <c:v>0.66700000000000004</c:v>
                </c:pt>
                <c:pt idx="19">
                  <c:v>0.69299999999999995</c:v>
                </c:pt>
                <c:pt idx="20">
                  <c:v>0.73799999999999999</c:v>
                </c:pt>
                <c:pt idx="21">
                  <c:v>0.79600000000000004</c:v>
                </c:pt>
                <c:pt idx="22">
                  <c:v>0.85199999999999998</c:v>
                </c:pt>
                <c:pt idx="23">
                  <c:v>0.90100000000000002</c:v>
                </c:pt>
                <c:pt idx="24">
                  <c:v>0.93200000000000005</c:v>
                </c:pt>
                <c:pt idx="25">
                  <c:v>0.95599999999999996</c:v>
                </c:pt>
                <c:pt idx="26">
                  <c:v>0.97199999999999998</c:v>
                </c:pt>
                <c:pt idx="27">
                  <c:v>0.98</c:v>
                </c:pt>
                <c:pt idx="28">
                  <c:v>0.99</c:v>
                </c:pt>
                <c:pt idx="29">
                  <c:v>0.99399999999999999</c:v>
                </c:pt>
                <c:pt idx="30">
                  <c:v>0.997</c:v>
                </c:pt>
                <c:pt idx="31">
                  <c:v>0.999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C7-454A-A4B6-E18526733897}"/>
            </c:ext>
          </c:extLst>
        </c:ser>
        <c:ser>
          <c:idx val="3"/>
          <c:order val="3"/>
          <c:tx>
            <c:strRef>
              <c:f>'# Out SF'!$R$2</c:f>
              <c:strCache>
                <c:ptCount val="1"/>
                <c:pt idx="0">
                  <c:v>Run 4</c:v>
                </c:pt>
              </c:strCache>
            </c:strRef>
          </c:tx>
          <c:spPr>
            <a:ln w="19050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SF'!$N$3:$N$37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'# Out SF'!$R$3:$R$37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0.998</c:v>
                </c:pt>
                <c:pt idx="5">
                  <c:v>0.998</c:v>
                </c:pt>
                <c:pt idx="6">
                  <c:v>0.998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C7-454A-A4B6-E18526733897}"/>
            </c:ext>
          </c:extLst>
        </c:ser>
        <c:ser>
          <c:idx val="4"/>
          <c:order val="4"/>
          <c:tx>
            <c:strRef>
              <c:f>'# Out SF'!$S$2</c:f>
              <c:strCache>
                <c:ptCount val="1"/>
                <c:pt idx="0">
                  <c:v>Run 5</c:v>
                </c:pt>
              </c:strCache>
            </c:strRef>
          </c:tx>
          <c:spPr>
            <a:ln w="19050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SF'!$N$3:$N$37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'# Out SF'!$S$3:$S$37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0.995</c:v>
                </c:pt>
                <c:pt idx="5">
                  <c:v>0.98899999999999999</c:v>
                </c:pt>
                <c:pt idx="6">
                  <c:v>0.98199999999999998</c:v>
                </c:pt>
                <c:pt idx="7">
                  <c:v>0.97699999999999998</c:v>
                </c:pt>
                <c:pt idx="8">
                  <c:v>0.96399999999999997</c:v>
                </c:pt>
                <c:pt idx="9">
                  <c:v>0.94499999999999995</c:v>
                </c:pt>
                <c:pt idx="10">
                  <c:v>0.91200000000000003</c:v>
                </c:pt>
                <c:pt idx="11">
                  <c:v>0.86</c:v>
                </c:pt>
                <c:pt idx="12">
                  <c:v>0.80400000000000005</c:v>
                </c:pt>
                <c:pt idx="13">
                  <c:v>0.72499999999999998</c:v>
                </c:pt>
                <c:pt idx="14">
                  <c:v>0.66700000000000004</c:v>
                </c:pt>
                <c:pt idx="15">
                  <c:v>0.63400000000000001</c:v>
                </c:pt>
                <c:pt idx="16">
                  <c:v>0.626</c:v>
                </c:pt>
                <c:pt idx="17">
                  <c:v>0.68500000000000005</c:v>
                </c:pt>
                <c:pt idx="18">
                  <c:v>0.745</c:v>
                </c:pt>
                <c:pt idx="19">
                  <c:v>0.81799999999999995</c:v>
                </c:pt>
                <c:pt idx="20">
                  <c:v>0.88200000000000001</c:v>
                </c:pt>
                <c:pt idx="21">
                  <c:v>0.91300000000000003</c:v>
                </c:pt>
                <c:pt idx="22">
                  <c:v>0.94599999999999995</c:v>
                </c:pt>
                <c:pt idx="23">
                  <c:v>0.95899999999999996</c:v>
                </c:pt>
                <c:pt idx="24">
                  <c:v>0.97099999999999997</c:v>
                </c:pt>
                <c:pt idx="25">
                  <c:v>0.98299999999999998</c:v>
                </c:pt>
                <c:pt idx="26">
                  <c:v>0.98799999999999999</c:v>
                </c:pt>
                <c:pt idx="27">
                  <c:v>0.99299999999999999</c:v>
                </c:pt>
                <c:pt idx="28">
                  <c:v>0.996</c:v>
                </c:pt>
                <c:pt idx="29">
                  <c:v>0.998</c:v>
                </c:pt>
                <c:pt idx="30">
                  <c:v>0.999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8C7-454A-A4B6-E18526733897}"/>
            </c:ext>
          </c:extLst>
        </c:ser>
        <c:ser>
          <c:idx val="5"/>
          <c:order val="5"/>
          <c:tx>
            <c:strRef>
              <c:f>'# Out SF'!$T$2</c:f>
              <c:strCache>
                <c:ptCount val="1"/>
                <c:pt idx="0">
                  <c:v>Run 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'# Out SF'!$N$3:$N$37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'# Out SF'!$T$3:$T$37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0.996</c:v>
                </c:pt>
                <c:pt idx="5">
                  <c:v>0.99099999999999999</c:v>
                </c:pt>
                <c:pt idx="6">
                  <c:v>0.98</c:v>
                </c:pt>
                <c:pt idx="7">
                  <c:v>0.97199999999999998</c:v>
                </c:pt>
                <c:pt idx="8">
                  <c:v>0.95699999999999996</c:v>
                </c:pt>
                <c:pt idx="9">
                  <c:v>0.93600000000000005</c:v>
                </c:pt>
                <c:pt idx="10">
                  <c:v>0.89800000000000002</c:v>
                </c:pt>
                <c:pt idx="11">
                  <c:v>0.85299999999999998</c:v>
                </c:pt>
                <c:pt idx="12">
                  <c:v>0.78600000000000003</c:v>
                </c:pt>
                <c:pt idx="13">
                  <c:v>0.72699999999999998</c:v>
                </c:pt>
                <c:pt idx="14">
                  <c:v>0.66500000000000004</c:v>
                </c:pt>
                <c:pt idx="15">
                  <c:v>0.60799999999999998</c:v>
                </c:pt>
                <c:pt idx="16">
                  <c:v>0.60699999999999998</c:v>
                </c:pt>
                <c:pt idx="17">
                  <c:v>0.625</c:v>
                </c:pt>
                <c:pt idx="18">
                  <c:v>0.69899999999999995</c:v>
                </c:pt>
                <c:pt idx="19">
                  <c:v>0.78800000000000003</c:v>
                </c:pt>
                <c:pt idx="20">
                  <c:v>0.85299999999999998</c:v>
                </c:pt>
                <c:pt idx="21">
                  <c:v>0.91300000000000003</c:v>
                </c:pt>
                <c:pt idx="22">
                  <c:v>0.95199999999999996</c:v>
                </c:pt>
                <c:pt idx="23">
                  <c:v>0.97199999999999998</c:v>
                </c:pt>
                <c:pt idx="24">
                  <c:v>0.98899999999999999</c:v>
                </c:pt>
                <c:pt idx="25">
                  <c:v>0.996</c:v>
                </c:pt>
                <c:pt idx="26">
                  <c:v>0.998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8C7-454A-A4B6-E18526733897}"/>
            </c:ext>
          </c:extLst>
        </c:ser>
        <c:ser>
          <c:idx val="6"/>
          <c:order val="6"/>
          <c:tx>
            <c:strRef>
              <c:f>'# Out SF'!$U$2</c:f>
              <c:strCache>
                <c:ptCount val="1"/>
                <c:pt idx="0">
                  <c:v>Run 7</c:v>
                </c:pt>
              </c:strCache>
            </c:strRef>
          </c:tx>
          <c:spPr>
            <a:ln w="19050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SF'!$N$3:$N$37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'# Out SF'!$U$3:$U$37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0.997</c:v>
                </c:pt>
                <c:pt idx="5">
                  <c:v>0.99399999999999999</c:v>
                </c:pt>
                <c:pt idx="6">
                  <c:v>0.98699999999999999</c:v>
                </c:pt>
                <c:pt idx="7">
                  <c:v>0.98199999999999998</c:v>
                </c:pt>
                <c:pt idx="8">
                  <c:v>0.96899999999999997</c:v>
                </c:pt>
                <c:pt idx="9">
                  <c:v>0.94899999999999995</c:v>
                </c:pt>
                <c:pt idx="10">
                  <c:v>0.91700000000000004</c:v>
                </c:pt>
                <c:pt idx="11">
                  <c:v>0.878</c:v>
                </c:pt>
                <c:pt idx="12">
                  <c:v>0.82199999999999995</c:v>
                </c:pt>
                <c:pt idx="13">
                  <c:v>0.76900000000000002</c:v>
                </c:pt>
                <c:pt idx="14">
                  <c:v>0.71399999999999997</c:v>
                </c:pt>
                <c:pt idx="15">
                  <c:v>0.67400000000000004</c:v>
                </c:pt>
                <c:pt idx="16">
                  <c:v>0.65400000000000003</c:v>
                </c:pt>
                <c:pt idx="17">
                  <c:v>0.65900000000000003</c:v>
                </c:pt>
                <c:pt idx="18">
                  <c:v>0.69699999999999995</c:v>
                </c:pt>
                <c:pt idx="19">
                  <c:v>0.747</c:v>
                </c:pt>
                <c:pt idx="20">
                  <c:v>0.81899999999999995</c:v>
                </c:pt>
                <c:pt idx="21">
                  <c:v>0.88</c:v>
                </c:pt>
                <c:pt idx="22">
                  <c:v>0.92500000000000004</c:v>
                </c:pt>
                <c:pt idx="23">
                  <c:v>0.95699999999999996</c:v>
                </c:pt>
                <c:pt idx="24">
                  <c:v>0.97099999999999997</c:v>
                </c:pt>
                <c:pt idx="25">
                  <c:v>0.97799999999999998</c:v>
                </c:pt>
                <c:pt idx="26">
                  <c:v>0.98799999999999999</c:v>
                </c:pt>
                <c:pt idx="27">
                  <c:v>0.99099999999999999</c:v>
                </c:pt>
                <c:pt idx="28">
                  <c:v>0.99299999999999999</c:v>
                </c:pt>
                <c:pt idx="29">
                  <c:v>0.996</c:v>
                </c:pt>
                <c:pt idx="30">
                  <c:v>0.997</c:v>
                </c:pt>
                <c:pt idx="31">
                  <c:v>0.998</c:v>
                </c:pt>
                <c:pt idx="32">
                  <c:v>0.999</c:v>
                </c:pt>
                <c:pt idx="33">
                  <c:v>0.999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8C7-454A-A4B6-E18526733897}"/>
            </c:ext>
          </c:extLst>
        </c:ser>
        <c:ser>
          <c:idx val="7"/>
          <c:order val="7"/>
          <c:tx>
            <c:strRef>
              <c:f>'# Out SF'!$V$2</c:f>
              <c:strCache>
                <c:ptCount val="1"/>
                <c:pt idx="0">
                  <c:v>Run 8</c:v>
                </c:pt>
              </c:strCache>
            </c:strRef>
          </c:tx>
          <c:spPr>
            <a:ln w="19050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SF'!$N$3:$N$37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'# Out SF'!$V$3:$V$37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0.99399999999999999</c:v>
                </c:pt>
                <c:pt idx="5">
                  <c:v>0.98899999999999999</c:v>
                </c:pt>
                <c:pt idx="6">
                  <c:v>0.97799999999999998</c:v>
                </c:pt>
                <c:pt idx="7">
                  <c:v>0.96399999999999997</c:v>
                </c:pt>
                <c:pt idx="8">
                  <c:v>0.94299999999999995</c:v>
                </c:pt>
                <c:pt idx="9">
                  <c:v>0.90700000000000003</c:v>
                </c:pt>
                <c:pt idx="10">
                  <c:v>0.85699999999999998</c:v>
                </c:pt>
                <c:pt idx="11">
                  <c:v>0.79600000000000004</c:v>
                </c:pt>
                <c:pt idx="12">
                  <c:v>0.72699999999999998</c:v>
                </c:pt>
                <c:pt idx="13">
                  <c:v>0.67400000000000004</c:v>
                </c:pt>
                <c:pt idx="14">
                  <c:v>0.63600000000000001</c:v>
                </c:pt>
                <c:pt idx="15">
                  <c:v>0.626</c:v>
                </c:pt>
                <c:pt idx="16">
                  <c:v>0.65100000000000002</c:v>
                </c:pt>
                <c:pt idx="17">
                  <c:v>0.69199999999999995</c:v>
                </c:pt>
                <c:pt idx="18">
                  <c:v>0.76400000000000001</c:v>
                </c:pt>
                <c:pt idx="19">
                  <c:v>0.84399999999999997</c:v>
                </c:pt>
                <c:pt idx="20">
                  <c:v>0.90500000000000003</c:v>
                </c:pt>
                <c:pt idx="21">
                  <c:v>0.95499999999999996</c:v>
                </c:pt>
                <c:pt idx="22">
                  <c:v>0.97799999999999998</c:v>
                </c:pt>
                <c:pt idx="23">
                  <c:v>0.98499999999999999</c:v>
                </c:pt>
                <c:pt idx="24">
                  <c:v>0.99199999999999999</c:v>
                </c:pt>
                <c:pt idx="25">
                  <c:v>0.99199999999999999</c:v>
                </c:pt>
                <c:pt idx="26">
                  <c:v>0.996</c:v>
                </c:pt>
                <c:pt idx="27">
                  <c:v>0.996</c:v>
                </c:pt>
                <c:pt idx="28">
                  <c:v>0.997</c:v>
                </c:pt>
                <c:pt idx="29">
                  <c:v>0.997</c:v>
                </c:pt>
                <c:pt idx="30">
                  <c:v>0.998</c:v>
                </c:pt>
                <c:pt idx="31">
                  <c:v>0.999</c:v>
                </c:pt>
                <c:pt idx="32">
                  <c:v>0.999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8C7-454A-A4B6-E18526733897}"/>
            </c:ext>
          </c:extLst>
        </c:ser>
        <c:ser>
          <c:idx val="8"/>
          <c:order val="8"/>
          <c:tx>
            <c:strRef>
              <c:f>'# Out SF'!$W$2</c:f>
              <c:strCache>
                <c:ptCount val="1"/>
                <c:pt idx="0">
                  <c:v>Run 9</c:v>
                </c:pt>
              </c:strCache>
            </c:strRef>
          </c:tx>
          <c:spPr>
            <a:ln w="19050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SF'!$N$3:$N$37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'# Out SF'!$W$3:$W$37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0.996</c:v>
                </c:pt>
                <c:pt idx="5">
                  <c:v>0.98899999999999999</c:v>
                </c:pt>
                <c:pt idx="6">
                  <c:v>0.98299999999999998</c:v>
                </c:pt>
                <c:pt idx="7">
                  <c:v>0.97499999999999998</c:v>
                </c:pt>
                <c:pt idx="8">
                  <c:v>0.96299999999999997</c:v>
                </c:pt>
                <c:pt idx="9">
                  <c:v>0.95399999999999996</c:v>
                </c:pt>
                <c:pt idx="10">
                  <c:v>0.92900000000000005</c:v>
                </c:pt>
                <c:pt idx="11">
                  <c:v>0.90700000000000003</c:v>
                </c:pt>
                <c:pt idx="12">
                  <c:v>0.86699999999999999</c:v>
                </c:pt>
                <c:pt idx="13">
                  <c:v>0.81599999999999995</c:v>
                </c:pt>
                <c:pt idx="14">
                  <c:v>0.76900000000000002</c:v>
                </c:pt>
                <c:pt idx="15">
                  <c:v>0.70699999999999996</c:v>
                </c:pt>
                <c:pt idx="16">
                  <c:v>0.68700000000000006</c:v>
                </c:pt>
                <c:pt idx="17">
                  <c:v>0.67300000000000004</c:v>
                </c:pt>
                <c:pt idx="18">
                  <c:v>0.69</c:v>
                </c:pt>
                <c:pt idx="19">
                  <c:v>0.73399999999999999</c:v>
                </c:pt>
                <c:pt idx="20">
                  <c:v>0.77100000000000002</c:v>
                </c:pt>
                <c:pt idx="21">
                  <c:v>0.82899999999999996</c:v>
                </c:pt>
                <c:pt idx="22">
                  <c:v>0.876</c:v>
                </c:pt>
                <c:pt idx="23">
                  <c:v>0.92100000000000004</c:v>
                </c:pt>
                <c:pt idx="24">
                  <c:v>0.95599999999999996</c:v>
                </c:pt>
                <c:pt idx="25">
                  <c:v>0.97799999999999998</c:v>
                </c:pt>
                <c:pt idx="26">
                  <c:v>0.99199999999999999</c:v>
                </c:pt>
                <c:pt idx="27">
                  <c:v>0.997</c:v>
                </c:pt>
                <c:pt idx="28">
                  <c:v>0.999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8C7-454A-A4B6-E18526733897}"/>
            </c:ext>
          </c:extLst>
        </c:ser>
        <c:ser>
          <c:idx val="9"/>
          <c:order val="9"/>
          <c:tx>
            <c:strRef>
              <c:f>'# Out SF'!$X$2</c:f>
              <c:strCache>
                <c:ptCount val="1"/>
                <c:pt idx="0">
                  <c:v>Run 10</c:v>
                </c:pt>
              </c:strCache>
            </c:strRef>
          </c:tx>
          <c:spPr>
            <a:ln w="19050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SF'!$N$3:$N$37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'# Out SF'!$X$3:$X$37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0.998</c:v>
                </c:pt>
                <c:pt idx="5">
                  <c:v>0.99399999999999999</c:v>
                </c:pt>
                <c:pt idx="6">
                  <c:v>0.99099999999999999</c:v>
                </c:pt>
                <c:pt idx="7">
                  <c:v>0.98799999999999999</c:v>
                </c:pt>
                <c:pt idx="8">
                  <c:v>0.98</c:v>
                </c:pt>
                <c:pt idx="9">
                  <c:v>0.97199999999999998</c:v>
                </c:pt>
                <c:pt idx="10">
                  <c:v>0.96199999999999997</c:v>
                </c:pt>
                <c:pt idx="11">
                  <c:v>0.94199999999999995</c:v>
                </c:pt>
                <c:pt idx="12">
                  <c:v>0.91600000000000004</c:v>
                </c:pt>
                <c:pt idx="13">
                  <c:v>0.88900000000000001</c:v>
                </c:pt>
                <c:pt idx="14">
                  <c:v>0.84299999999999997</c:v>
                </c:pt>
                <c:pt idx="15">
                  <c:v>0.78500000000000003</c:v>
                </c:pt>
                <c:pt idx="16">
                  <c:v>0.71699999999999997</c:v>
                </c:pt>
                <c:pt idx="17">
                  <c:v>0.65800000000000003</c:v>
                </c:pt>
                <c:pt idx="18">
                  <c:v>0.629</c:v>
                </c:pt>
                <c:pt idx="19">
                  <c:v>0.64200000000000002</c:v>
                </c:pt>
                <c:pt idx="20">
                  <c:v>0.69499999999999995</c:v>
                </c:pt>
                <c:pt idx="21">
                  <c:v>0.76100000000000001</c:v>
                </c:pt>
                <c:pt idx="22">
                  <c:v>0.83599999999999997</c:v>
                </c:pt>
                <c:pt idx="23">
                  <c:v>0.89500000000000002</c:v>
                </c:pt>
                <c:pt idx="24">
                  <c:v>0.93799999999999994</c:v>
                </c:pt>
                <c:pt idx="25">
                  <c:v>0.96499999999999997</c:v>
                </c:pt>
                <c:pt idx="26">
                  <c:v>0.97399999999999998</c:v>
                </c:pt>
                <c:pt idx="27">
                  <c:v>0.98299999999999998</c:v>
                </c:pt>
                <c:pt idx="28">
                  <c:v>0.98899999999999999</c:v>
                </c:pt>
                <c:pt idx="29">
                  <c:v>0.99299999999999999</c:v>
                </c:pt>
                <c:pt idx="30">
                  <c:v>0.996</c:v>
                </c:pt>
                <c:pt idx="31">
                  <c:v>0.997</c:v>
                </c:pt>
                <c:pt idx="32">
                  <c:v>0.998</c:v>
                </c:pt>
                <c:pt idx="33">
                  <c:v>0.999</c:v>
                </c:pt>
                <c:pt idx="34">
                  <c:v>0.999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8C7-454A-A4B6-E18526733897}"/>
            </c:ext>
          </c:extLst>
        </c:ser>
        <c:ser>
          <c:idx val="10"/>
          <c:order val="10"/>
          <c:tx>
            <c:strRef>
              <c:f>'# Out SF'!$Y$2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'# Out SF'!$N$3:$N$37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'# Out SF'!$Y$3:$Y$37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0.996</c:v>
                </c:pt>
                <c:pt idx="5">
                  <c:v>0.99150000000000005</c:v>
                </c:pt>
                <c:pt idx="6">
                  <c:v>0.98499999999999999</c:v>
                </c:pt>
                <c:pt idx="7">
                  <c:v>0.97820000000000007</c:v>
                </c:pt>
                <c:pt idx="8">
                  <c:v>0.96550000000000002</c:v>
                </c:pt>
                <c:pt idx="9">
                  <c:v>0.94850000000000001</c:v>
                </c:pt>
                <c:pt idx="10">
                  <c:v>0.92130000000000001</c:v>
                </c:pt>
                <c:pt idx="11">
                  <c:v>0.88770000000000004</c:v>
                </c:pt>
                <c:pt idx="12">
                  <c:v>0.84520000000000006</c:v>
                </c:pt>
                <c:pt idx="13">
                  <c:v>0.79910000000000003</c:v>
                </c:pt>
                <c:pt idx="14">
                  <c:v>0.7572000000000001</c:v>
                </c:pt>
                <c:pt idx="15">
                  <c:v>0.71810000000000007</c:v>
                </c:pt>
                <c:pt idx="16">
                  <c:v>0.69979999999999998</c:v>
                </c:pt>
                <c:pt idx="17">
                  <c:v>0.70389999999999997</c:v>
                </c:pt>
                <c:pt idx="18">
                  <c:v>0.73009999999999997</c:v>
                </c:pt>
                <c:pt idx="19">
                  <c:v>0.77789999999999992</c:v>
                </c:pt>
                <c:pt idx="20">
                  <c:v>0.82929999999999993</c:v>
                </c:pt>
                <c:pt idx="21">
                  <c:v>0.87790000000000001</c:v>
                </c:pt>
                <c:pt idx="22">
                  <c:v>0.91859999999999997</c:v>
                </c:pt>
                <c:pt idx="23">
                  <c:v>0.9477000000000001</c:v>
                </c:pt>
                <c:pt idx="24">
                  <c:v>0.96829999999999994</c:v>
                </c:pt>
                <c:pt idx="25">
                  <c:v>0.98089999999999999</c:v>
                </c:pt>
                <c:pt idx="26">
                  <c:v>0.9887999999999999</c:v>
                </c:pt>
                <c:pt idx="27">
                  <c:v>0.9927999999999999</c:v>
                </c:pt>
                <c:pt idx="28">
                  <c:v>0.99560000000000004</c:v>
                </c:pt>
                <c:pt idx="29">
                  <c:v>0.99729999999999996</c:v>
                </c:pt>
                <c:pt idx="30">
                  <c:v>0.99839999999999995</c:v>
                </c:pt>
                <c:pt idx="31">
                  <c:v>0.99920000000000009</c:v>
                </c:pt>
                <c:pt idx="32">
                  <c:v>0.99960000000000004</c:v>
                </c:pt>
                <c:pt idx="33">
                  <c:v>0.99979999999999991</c:v>
                </c:pt>
                <c:pt idx="34">
                  <c:v>0.99990000000000001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8C7-454A-A4B6-E18526733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90784"/>
        <c:axId val="1318262624"/>
      </c:scatterChart>
      <c:valAx>
        <c:axId val="107739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62624"/>
        <c:crosses val="autoZero"/>
        <c:crossBetween val="midCat"/>
      </c:valAx>
      <c:valAx>
        <c:axId val="131826262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0784"/>
        <c:crosses val="autoZero"/>
        <c:crossBetween val="midCat"/>
        <c:majorUnit val="0.2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'# Out FF'!$O$2</c:f>
              <c:strCache>
                <c:ptCount val="1"/>
                <c:pt idx="0">
                  <c:v>Run 1</c:v>
                </c:pt>
              </c:strCache>
            </c:strRef>
          </c:tx>
          <c:spPr>
            <a:ln w="19050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FF'!$N$3:$N$200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'# Out FF'!$O$3:$O$200</c:f>
              <c:numCache>
                <c:formatCode>General</c:formatCode>
                <c:ptCount val="198"/>
                <c:pt idx="0">
                  <c:v>1</c:v>
                </c:pt>
                <c:pt idx="1">
                  <c:v>0.998</c:v>
                </c:pt>
                <c:pt idx="2">
                  <c:v>0.997</c:v>
                </c:pt>
                <c:pt idx="3">
                  <c:v>0.999</c:v>
                </c:pt>
                <c:pt idx="4">
                  <c:v>0.78200000000000003</c:v>
                </c:pt>
                <c:pt idx="5">
                  <c:v>0.77100000000000002</c:v>
                </c:pt>
                <c:pt idx="6">
                  <c:v>0.71</c:v>
                </c:pt>
                <c:pt idx="7">
                  <c:v>0.65800000000000003</c:v>
                </c:pt>
                <c:pt idx="8">
                  <c:v>0.45300000000000001</c:v>
                </c:pt>
                <c:pt idx="9">
                  <c:v>0.34599999999999997</c:v>
                </c:pt>
                <c:pt idx="10">
                  <c:v>0.51100000000000001</c:v>
                </c:pt>
                <c:pt idx="11">
                  <c:v>0.44700000000000001</c:v>
                </c:pt>
                <c:pt idx="12">
                  <c:v>0.439</c:v>
                </c:pt>
                <c:pt idx="13">
                  <c:v>0.53500000000000003</c:v>
                </c:pt>
                <c:pt idx="14">
                  <c:v>0.54700000000000004</c:v>
                </c:pt>
                <c:pt idx="15">
                  <c:v>0.76600000000000001</c:v>
                </c:pt>
                <c:pt idx="16">
                  <c:v>0.71799999999999997</c:v>
                </c:pt>
                <c:pt idx="17">
                  <c:v>0.73799999999999999</c:v>
                </c:pt>
                <c:pt idx="18">
                  <c:v>0.66500000000000004</c:v>
                </c:pt>
                <c:pt idx="19">
                  <c:v>0.71299999999999997</c:v>
                </c:pt>
                <c:pt idx="20">
                  <c:v>0.84799999999999998</c:v>
                </c:pt>
                <c:pt idx="21">
                  <c:v>0.55800000000000005</c:v>
                </c:pt>
                <c:pt idx="22">
                  <c:v>0.71899999999999997</c:v>
                </c:pt>
                <c:pt idx="23">
                  <c:v>0.35699999999999998</c:v>
                </c:pt>
                <c:pt idx="24">
                  <c:v>0.35899999999999999</c:v>
                </c:pt>
                <c:pt idx="25">
                  <c:v>0.65600000000000003</c:v>
                </c:pt>
                <c:pt idx="26">
                  <c:v>0.7</c:v>
                </c:pt>
                <c:pt idx="27">
                  <c:v>0.79400000000000004</c:v>
                </c:pt>
                <c:pt idx="28">
                  <c:v>0.995</c:v>
                </c:pt>
                <c:pt idx="29">
                  <c:v>0.78200000000000003</c:v>
                </c:pt>
                <c:pt idx="30">
                  <c:v>0.998</c:v>
                </c:pt>
                <c:pt idx="31">
                  <c:v>0.8</c:v>
                </c:pt>
                <c:pt idx="32">
                  <c:v>0.55900000000000005</c:v>
                </c:pt>
                <c:pt idx="33">
                  <c:v>0.72299999999999998</c:v>
                </c:pt>
                <c:pt idx="34">
                  <c:v>0.746</c:v>
                </c:pt>
                <c:pt idx="35">
                  <c:v>0.76300000000000001</c:v>
                </c:pt>
                <c:pt idx="36">
                  <c:v>0.78700000000000003</c:v>
                </c:pt>
                <c:pt idx="37">
                  <c:v>0.78800000000000003</c:v>
                </c:pt>
                <c:pt idx="38">
                  <c:v>0.78</c:v>
                </c:pt>
                <c:pt idx="39">
                  <c:v>0.77700000000000002</c:v>
                </c:pt>
                <c:pt idx="40">
                  <c:v>0.78700000000000003</c:v>
                </c:pt>
                <c:pt idx="41">
                  <c:v>0.80400000000000005</c:v>
                </c:pt>
                <c:pt idx="42">
                  <c:v>0.76300000000000001</c:v>
                </c:pt>
                <c:pt idx="43">
                  <c:v>0.76700000000000002</c:v>
                </c:pt>
                <c:pt idx="44">
                  <c:v>0.77800000000000002</c:v>
                </c:pt>
                <c:pt idx="45">
                  <c:v>0.78</c:v>
                </c:pt>
                <c:pt idx="46">
                  <c:v>0.80100000000000005</c:v>
                </c:pt>
                <c:pt idx="47">
                  <c:v>0.998</c:v>
                </c:pt>
                <c:pt idx="48">
                  <c:v>0.999</c:v>
                </c:pt>
                <c:pt idx="49">
                  <c:v>0.999</c:v>
                </c:pt>
                <c:pt idx="50">
                  <c:v>0.80500000000000005</c:v>
                </c:pt>
                <c:pt idx="51">
                  <c:v>0.77100000000000002</c:v>
                </c:pt>
                <c:pt idx="52">
                  <c:v>0.72</c:v>
                </c:pt>
                <c:pt idx="53">
                  <c:v>0.71199999999999997</c:v>
                </c:pt>
                <c:pt idx="54">
                  <c:v>0.54900000000000004</c:v>
                </c:pt>
                <c:pt idx="55">
                  <c:v>0.71799999999999997</c:v>
                </c:pt>
                <c:pt idx="56">
                  <c:v>0.54600000000000004</c:v>
                </c:pt>
                <c:pt idx="57">
                  <c:v>0.746</c:v>
                </c:pt>
                <c:pt idx="58">
                  <c:v>0.79</c:v>
                </c:pt>
                <c:pt idx="59">
                  <c:v>0.77700000000000002</c:v>
                </c:pt>
                <c:pt idx="60">
                  <c:v>0.995</c:v>
                </c:pt>
                <c:pt idx="61">
                  <c:v>0.77800000000000002</c:v>
                </c:pt>
                <c:pt idx="62">
                  <c:v>0.78500000000000003</c:v>
                </c:pt>
                <c:pt idx="63">
                  <c:v>0.80300000000000005</c:v>
                </c:pt>
                <c:pt idx="64">
                  <c:v>0.71599999999999997</c:v>
                </c:pt>
                <c:pt idx="65">
                  <c:v>0.76700000000000002</c:v>
                </c:pt>
                <c:pt idx="66">
                  <c:v>0.78600000000000003</c:v>
                </c:pt>
                <c:pt idx="67">
                  <c:v>0.77700000000000002</c:v>
                </c:pt>
                <c:pt idx="68">
                  <c:v>0.75700000000000001</c:v>
                </c:pt>
                <c:pt idx="69">
                  <c:v>0.56699999999999995</c:v>
                </c:pt>
                <c:pt idx="70">
                  <c:v>0.78900000000000003</c:v>
                </c:pt>
                <c:pt idx="71">
                  <c:v>0.80300000000000005</c:v>
                </c:pt>
                <c:pt idx="72">
                  <c:v>0.77900000000000003</c:v>
                </c:pt>
                <c:pt idx="73">
                  <c:v>0.81200000000000006</c:v>
                </c:pt>
                <c:pt idx="74">
                  <c:v>0.995</c:v>
                </c:pt>
                <c:pt idx="75">
                  <c:v>0.999</c:v>
                </c:pt>
                <c:pt idx="76">
                  <c:v>0.999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B1-45D9-9EBB-AD9C12C50FCE}"/>
            </c:ext>
          </c:extLst>
        </c:ser>
        <c:ser>
          <c:idx val="1"/>
          <c:order val="1"/>
          <c:tx>
            <c:strRef>
              <c:f>'# Out FF'!$P$2</c:f>
              <c:strCache>
                <c:ptCount val="1"/>
                <c:pt idx="0">
                  <c:v>Run 2</c:v>
                </c:pt>
              </c:strCache>
            </c:strRef>
          </c:tx>
          <c:spPr>
            <a:ln w="19050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FF'!$N$3:$N$200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'# Out FF'!$P$3:$P$200</c:f>
              <c:numCache>
                <c:formatCode>General</c:formatCode>
                <c:ptCount val="198"/>
                <c:pt idx="0">
                  <c:v>1</c:v>
                </c:pt>
                <c:pt idx="1">
                  <c:v>0.996</c:v>
                </c:pt>
                <c:pt idx="2">
                  <c:v>0.996</c:v>
                </c:pt>
                <c:pt idx="3">
                  <c:v>0.998</c:v>
                </c:pt>
                <c:pt idx="4">
                  <c:v>0.79600000000000004</c:v>
                </c:pt>
                <c:pt idx="5">
                  <c:v>0.80700000000000005</c:v>
                </c:pt>
                <c:pt idx="6">
                  <c:v>0.79500000000000004</c:v>
                </c:pt>
                <c:pt idx="7">
                  <c:v>0.84199999999999997</c:v>
                </c:pt>
                <c:pt idx="8">
                  <c:v>0.45800000000000002</c:v>
                </c:pt>
                <c:pt idx="9">
                  <c:v>0.38200000000000001</c:v>
                </c:pt>
                <c:pt idx="10">
                  <c:v>0.53</c:v>
                </c:pt>
                <c:pt idx="11">
                  <c:v>0.28399999999999997</c:v>
                </c:pt>
                <c:pt idx="12">
                  <c:v>0.74099999999999999</c:v>
                </c:pt>
                <c:pt idx="13">
                  <c:v>0.77600000000000002</c:v>
                </c:pt>
                <c:pt idx="14">
                  <c:v>0.79800000000000004</c:v>
                </c:pt>
                <c:pt idx="15">
                  <c:v>0.78300000000000003</c:v>
                </c:pt>
                <c:pt idx="16">
                  <c:v>0.79700000000000004</c:v>
                </c:pt>
                <c:pt idx="17">
                  <c:v>0.75800000000000001</c:v>
                </c:pt>
                <c:pt idx="18">
                  <c:v>0.56799999999999995</c:v>
                </c:pt>
                <c:pt idx="19">
                  <c:v>0.56999999999999995</c:v>
                </c:pt>
                <c:pt idx="20">
                  <c:v>0.70899999999999996</c:v>
                </c:pt>
                <c:pt idx="21">
                  <c:v>0.70599999999999996</c:v>
                </c:pt>
                <c:pt idx="22">
                  <c:v>0.70499999999999996</c:v>
                </c:pt>
                <c:pt idx="23">
                  <c:v>0.56499999999999995</c:v>
                </c:pt>
                <c:pt idx="24">
                  <c:v>0.74099999999999999</c:v>
                </c:pt>
                <c:pt idx="25">
                  <c:v>0.80700000000000005</c:v>
                </c:pt>
                <c:pt idx="26">
                  <c:v>0.77400000000000002</c:v>
                </c:pt>
                <c:pt idx="27">
                  <c:v>0.78600000000000003</c:v>
                </c:pt>
                <c:pt idx="28">
                  <c:v>0.80100000000000005</c:v>
                </c:pt>
                <c:pt idx="29">
                  <c:v>0.73799999999999999</c:v>
                </c:pt>
                <c:pt idx="30">
                  <c:v>0.69099999999999995</c:v>
                </c:pt>
                <c:pt idx="31">
                  <c:v>0.66100000000000003</c:v>
                </c:pt>
                <c:pt idx="32">
                  <c:v>0.46400000000000002</c:v>
                </c:pt>
                <c:pt idx="33">
                  <c:v>0.55500000000000005</c:v>
                </c:pt>
                <c:pt idx="34">
                  <c:v>0.72499999999999998</c:v>
                </c:pt>
                <c:pt idx="35">
                  <c:v>0.78800000000000003</c:v>
                </c:pt>
                <c:pt idx="36">
                  <c:v>0.78600000000000003</c:v>
                </c:pt>
                <c:pt idx="37">
                  <c:v>0.80500000000000005</c:v>
                </c:pt>
                <c:pt idx="38">
                  <c:v>0.77700000000000002</c:v>
                </c:pt>
                <c:pt idx="39">
                  <c:v>0.749</c:v>
                </c:pt>
                <c:pt idx="40">
                  <c:v>0.80400000000000005</c:v>
                </c:pt>
                <c:pt idx="41">
                  <c:v>0.78600000000000003</c:v>
                </c:pt>
                <c:pt idx="42">
                  <c:v>0.73799999999999999</c:v>
                </c:pt>
                <c:pt idx="43">
                  <c:v>0.70599999999999996</c:v>
                </c:pt>
                <c:pt idx="44">
                  <c:v>0.69299999999999995</c:v>
                </c:pt>
                <c:pt idx="45">
                  <c:v>0.70499999999999996</c:v>
                </c:pt>
                <c:pt idx="46">
                  <c:v>0.67100000000000004</c:v>
                </c:pt>
                <c:pt idx="47">
                  <c:v>0.69699999999999995</c:v>
                </c:pt>
                <c:pt idx="48">
                  <c:v>0.69499999999999995</c:v>
                </c:pt>
                <c:pt idx="49">
                  <c:v>0.73799999999999999</c:v>
                </c:pt>
                <c:pt idx="50">
                  <c:v>0.71</c:v>
                </c:pt>
                <c:pt idx="51">
                  <c:v>0.57599999999999996</c:v>
                </c:pt>
                <c:pt idx="52">
                  <c:v>0.69299999999999995</c:v>
                </c:pt>
                <c:pt idx="53">
                  <c:v>0.77700000000000002</c:v>
                </c:pt>
                <c:pt idx="54">
                  <c:v>0.80200000000000005</c:v>
                </c:pt>
                <c:pt idx="55">
                  <c:v>0.79300000000000004</c:v>
                </c:pt>
                <c:pt idx="56">
                  <c:v>0.80800000000000005</c:v>
                </c:pt>
                <c:pt idx="57">
                  <c:v>0.79200000000000004</c:v>
                </c:pt>
                <c:pt idx="58">
                  <c:v>0.78</c:v>
                </c:pt>
                <c:pt idx="59">
                  <c:v>0.80500000000000005</c:v>
                </c:pt>
                <c:pt idx="60">
                  <c:v>0.57399999999999995</c:v>
                </c:pt>
                <c:pt idx="61">
                  <c:v>0.56599999999999995</c:v>
                </c:pt>
                <c:pt idx="62">
                  <c:v>0.8</c:v>
                </c:pt>
                <c:pt idx="63">
                  <c:v>0.80700000000000005</c:v>
                </c:pt>
                <c:pt idx="64">
                  <c:v>0.99399999999999999</c:v>
                </c:pt>
                <c:pt idx="65">
                  <c:v>0.998</c:v>
                </c:pt>
                <c:pt idx="66">
                  <c:v>0.998</c:v>
                </c:pt>
                <c:pt idx="67">
                  <c:v>0.996</c:v>
                </c:pt>
                <c:pt idx="68">
                  <c:v>0.80200000000000005</c:v>
                </c:pt>
                <c:pt idx="69">
                  <c:v>0.77</c:v>
                </c:pt>
                <c:pt idx="70">
                  <c:v>0.77500000000000002</c:v>
                </c:pt>
                <c:pt idx="71">
                  <c:v>0.80500000000000005</c:v>
                </c:pt>
                <c:pt idx="72">
                  <c:v>0.80300000000000005</c:v>
                </c:pt>
                <c:pt idx="73">
                  <c:v>0.80900000000000005</c:v>
                </c:pt>
                <c:pt idx="74">
                  <c:v>0.996</c:v>
                </c:pt>
                <c:pt idx="75">
                  <c:v>0.996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B1-45D9-9EBB-AD9C12C50FCE}"/>
            </c:ext>
          </c:extLst>
        </c:ser>
        <c:ser>
          <c:idx val="2"/>
          <c:order val="2"/>
          <c:tx>
            <c:strRef>
              <c:f>'# Out FF'!$Q$2</c:f>
              <c:strCache>
                <c:ptCount val="1"/>
                <c:pt idx="0">
                  <c:v>Run 3</c:v>
                </c:pt>
              </c:strCache>
            </c:strRef>
          </c:tx>
          <c:spPr>
            <a:ln w="19050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FF'!$N$3:$N$200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'# Out FF'!$Q$3:$Q$200</c:f>
              <c:numCache>
                <c:formatCode>General</c:formatCode>
                <c:ptCount val="198"/>
                <c:pt idx="0">
                  <c:v>1</c:v>
                </c:pt>
                <c:pt idx="1">
                  <c:v>0.995</c:v>
                </c:pt>
                <c:pt idx="2">
                  <c:v>0.99399999999999999</c:v>
                </c:pt>
                <c:pt idx="3">
                  <c:v>0.99399999999999999</c:v>
                </c:pt>
                <c:pt idx="4">
                  <c:v>0.77500000000000002</c:v>
                </c:pt>
                <c:pt idx="5">
                  <c:v>0.78600000000000003</c:v>
                </c:pt>
                <c:pt idx="6">
                  <c:v>0.53200000000000003</c:v>
                </c:pt>
                <c:pt idx="7">
                  <c:v>0.71299999999999997</c:v>
                </c:pt>
                <c:pt idx="8">
                  <c:v>0.75900000000000001</c:v>
                </c:pt>
                <c:pt idx="9">
                  <c:v>0.755</c:v>
                </c:pt>
                <c:pt idx="10">
                  <c:v>0.72199999999999998</c:v>
                </c:pt>
                <c:pt idx="11">
                  <c:v>0.53600000000000003</c:v>
                </c:pt>
                <c:pt idx="12">
                  <c:v>0.65200000000000002</c:v>
                </c:pt>
                <c:pt idx="13">
                  <c:v>0.52700000000000002</c:v>
                </c:pt>
                <c:pt idx="14">
                  <c:v>0.42399999999999999</c:v>
                </c:pt>
                <c:pt idx="15">
                  <c:v>0.69799999999999995</c:v>
                </c:pt>
                <c:pt idx="16">
                  <c:v>0.83099999999999996</c:v>
                </c:pt>
                <c:pt idx="17">
                  <c:v>0.70299999999999996</c:v>
                </c:pt>
                <c:pt idx="18">
                  <c:v>0.74299999999999999</c:v>
                </c:pt>
                <c:pt idx="19">
                  <c:v>0.75700000000000001</c:v>
                </c:pt>
                <c:pt idx="20">
                  <c:v>0.53700000000000003</c:v>
                </c:pt>
                <c:pt idx="21">
                  <c:v>0.72</c:v>
                </c:pt>
                <c:pt idx="22">
                  <c:v>0.69899999999999995</c:v>
                </c:pt>
                <c:pt idx="23">
                  <c:v>0.72199999999999998</c:v>
                </c:pt>
                <c:pt idx="24">
                  <c:v>0.53200000000000003</c:v>
                </c:pt>
                <c:pt idx="25">
                  <c:v>0.77400000000000002</c:v>
                </c:pt>
                <c:pt idx="26">
                  <c:v>0.78600000000000003</c:v>
                </c:pt>
                <c:pt idx="27">
                  <c:v>0.79</c:v>
                </c:pt>
                <c:pt idx="28">
                  <c:v>0.75800000000000001</c:v>
                </c:pt>
                <c:pt idx="29">
                  <c:v>0.53500000000000003</c:v>
                </c:pt>
                <c:pt idx="30">
                  <c:v>0.78100000000000003</c:v>
                </c:pt>
                <c:pt idx="31">
                  <c:v>0.76</c:v>
                </c:pt>
                <c:pt idx="32">
                  <c:v>0.53400000000000003</c:v>
                </c:pt>
                <c:pt idx="33">
                  <c:v>0.76100000000000001</c:v>
                </c:pt>
                <c:pt idx="34">
                  <c:v>0.76300000000000001</c:v>
                </c:pt>
                <c:pt idx="35">
                  <c:v>0.77100000000000002</c:v>
                </c:pt>
                <c:pt idx="36">
                  <c:v>0.99299999999999999</c:v>
                </c:pt>
                <c:pt idx="37">
                  <c:v>0.77500000000000002</c:v>
                </c:pt>
                <c:pt idx="38">
                  <c:v>0.99199999999999999</c:v>
                </c:pt>
                <c:pt idx="39">
                  <c:v>0.76700000000000002</c:v>
                </c:pt>
                <c:pt idx="40">
                  <c:v>0.77100000000000002</c:v>
                </c:pt>
                <c:pt idx="41">
                  <c:v>0.78500000000000003</c:v>
                </c:pt>
                <c:pt idx="42">
                  <c:v>0.78300000000000003</c:v>
                </c:pt>
                <c:pt idx="43">
                  <c:v>0.76900000000000002</c:v>
                </c:pt>
                <c:pt idx="44">
                  <c:v>0.77600000000000002</c:v>
                </c:pt>
                <c:pt idx="45">
                  <c:v>0.77700000000000002</c:v>
                </c:pt>
                <c:pt idx="46">
                  <c:v>0.77600000000000002</c:v>
                </c:pt>
                <c:pt idx="47">
                  <c:v>0.99</c:v>
                </c:pt>
                <c:pt idx="48">
                  <c:v>0.78400000000000003</c:v>
                </c:pt>
                <c:pt idx="49">
                  <c:v>0.99299999999999999</c:v>
                </c:pt>
                <c:pt idx="50">
                  <c:v>0.99299999999999999</c:v>
                </c:pt>
                <c:pt idx="51">
                  <c:v>0.79300000000000004</c:v>
                </c:pt>
                <c:pt idx="52">
                  <c:v>0.99399999999999999</c:v>
                </c:pt>
                <c:pt idx="53">
                  <c:v>0.99299999999999999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B1-45D9-9EBB-AD9C12C50FCE}"/>
            </c:ext>
          </c:extLst>
        </c:ser>
        <c:ser>
          <c:idx val="3"/>
          <c:order val="3"/>
          <c:tx>
            <c:strRef>
              <c:f>'# Out FF'!$R$2</c:f>
              <c:strCache>
                <c:ptCount val="1"/>
                <c:pt idx="0">
                  <c:v>Run 4</c:v>
                </c:pt>
              </c:strCache>
            </c:strRef>
          </c:tx>
          <c:spPr>
            <a:ln w="19050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FF'!$N$3:$N$200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'# Out FF'!$R$3:$R$200</c:f>
              <c:numCache>
                <c:formatCode>General</c:formatCode>
                <c:ptCount val="198"/>
                <c:pt idx="0">
                  <c:v>1</c:v>
                </c:pt>
                <c:pt idx="1">
                  <c:v>0.998</c:v>
                </c:pt>
                <c:pt idx="2">
                  <c:v>0.999</c:v>
                </c:pt>
                <c:pt idx="3">
                  <c:v>0.999</c:v>
                </c:pt>
                <c:pt idx="4">
                  <c:v>0.79100000000000004</c:v>
                </c:pt>
                <c:pt idx="5">
                  <c:v>0.995</c:v>
                </c:pt>
                <c:pt idx="6">
                  <c:v>0.76600000000000001</c:v>
                </c:pt>
                <c:pt idx="7">
                  <c:v>0.68700000000000006</c:v>
                </c:pt>
                <c:pt idx="8">
                  <c:v>0.745</c:v>
                </c:pt>
                <c:pt idx="9">
                  <c:v>0.48399999999999999</c:v>
                </c:pt>
                <c:pt idx="10">
                  <c:v>0.34499999999999997</c:v>
                </c:pt>
                <c:pt idx="11">
                  <c:v>0.33500000000000002</c:v>
                </c:pt>
                <c:pt idx="12">
                  <c:v>0.504</c:v>
                </c:pt>
                <c:pt idx="13">
                  <c:v>0.44</c:v>
                </c:pt>
                <c:pt idx="14">
                  <c:v>0.69899999999999995</c:v>
                </c:pt>
                <c:pt idx="15">
                  <c:v>0.74399999999999999</c:v>
                </c:pt>
                <c:pt idx="16">
                  <c:v>0.78400000000000003</c:v>
                </c:pt>
                <c:pt idx="17">
                  <c:v>0.80400000000000005</c:v>
                </c:pt>
                <c:pt idx="18">
                  <c:v>0.78</c:v>
                </c:pt>
                <c:pt idx="19">
                  <c:v>0.75800000000000001</c:v>
                </c:pt>
                <c:pt idx="20">
                  <c:v>0.72199999999999998</c:v>
                </c:pt>
                <c:pt idx="21">
                  <c:v>0.751</c:v>
                </c:pt>
                <c:pt idx="22">
                  <c:v>0.70899999999999996</c:v>
                </c:pt>
                <c:pt idx="23">
                  <c:v>0.70199999999999996</c:v>
                </c:pt>
                <c:pt idx="24">
                  <c:v>0.70199999999999996</c:v>
                </c:pt>
                <c:pt idx="25">
                  <c:v>0.70199999999999996</c:v>
                </c:pt>
                <c:pt idx="26">
                  <c:v>0.84499999999999997</c:v>
                </c:pt>
                <c:pt idx="27">
                  <c:v>0.751</c:v>
                </c:pt>
                <c:pt idx="28">
                  <c:v>0.66500000000000004</c:v>
                </c:pt>
                <c:pt idx="29">
                  <c:v>0.748</c:v>
                </c:pt>
                <c:pt idx="30">
                  <c:v>0.53400000000000003</c:v>
                </c:pt>
                <c:pt idx="31">
                  <c:v>0.54</c:v>
                </c:pt>
                <c:pt idx="32">
                  <c:v>0.68400000000000005</c:v>
                </c:pt>
                <c:pt idx="33">
                  <c:v>0.42699999999999999</c:v>
                </c:pt>
                <c:pt idx="34">
                  <c:v>0.83099999999999996</c:v>
                </c:pt>
                <c:pt idx="35">
                  <c:v>0.66200000000000003</c:v>
                </c:pt>
                <c:pt idx="36">
                  <c:v>0.749</c:v>
                </c:pt>
                <c:pt idx="37">
                  <c:v>0.51800000000000002</c:v>
                </c:pt>
                <c:pt idx="38">
                  <c:v>0.71299999999999997</c:v>
                </c:pt>
                <c:pt idx="39">
                  <c:v>0.52100000000000002</c:v>
                </c:pt>
                <c:pt idx="40">
                  <c:v>0.78600000000000003</c:v>
                </c:pt>
                <c:pt idx="41">
                  <c:v>0.99299999999999999</c:v>
                </c:pt>
                <c:pt idx="42">
                  <c:v>0.79500000000000004</c:v>
                </c:pt>
                <c:pt idx="43">
                  <c:v>0.996</c:v>
                </c:pt>
                <c:pt idx="44">
                  <c:v>0.78500000000000003</c:v>
                </c:pt>
                <c:pt idx="45">
                  <c:v>0.79300000000000004</c:v>
                </c:pt>
                <c:pt idx="46">
                  <c:v>0.76300000000000001</c:v>
                </c:pt>
                <c:pt idx="47">
                  <c:v>0.54400000000000004</c:v>
                </c:pt>
                <c:pt idx="48">
                  <c:v>0.77600000000000002</c:v>
                </c:pt>
                <c:pt idx="49">
                  <c:v>0.72099999999999997</c:v>
                </c:pt>
                <c:pt idx="50">
                  <c:v>0.78400000000000003</c:v>
                </c:pt>
                <c:pt idx="51">
                  <c:v>0.78100000000000003</c:v>
                </c:pt>
                <c:pt idx="52">
                  <c:v>0.996</c:v>
                </c:pt>
                <c:pt idx="53">
                  <c:v>0.79600000000000004</c:v>
                </c:pt>
                <c:pt idx="54">
                  <c:v>0.79200000000000004</c:v>
                </c:pt>
                <c:pt idx="55">
                  <c:v>0.999</c:v>
                </c:pt>
                <c:pt idx="56">
                  <c:v>0.79</c:v>
                </c:pt>
                <c:pt idx="57">
                  <c:v>0.79500000000000004</c:v>
                </c:pt>
                <c:pt idx="58">
                  <c:v>0.78400000000000003</c:v>
                </c:pt>
                <c:pt idx="59">
                  <c:v>0.53900000000000003</c:v>
                </c:pt>
                <c:pt idx="60">
                  <c:v>0.78800000000000003</c:v>
                </c:pt>
                <c:pt idx="61">
                  <c:v>0.52800000000000002</c:v>
                </c:pt>
                <c:pt idx="62">
                  <c:v>0.68100000000000005</c:v>
                </c:pt>
                <c:pt idx="63">
                  <c:v>0.51900000000000002</c:v>
                </c:pt>
                <c:pt idx="64">
                  <c:v>0.53100000000000003</c:v>
                </c:pt>
                <c:pt idx="65">
                  <c:v>0.78500000000000003</c:v>
                </c:pt>
                <c:pt idx="66">
                  <c:v>0.78300000000000003</c:v>
                </c:pt>
                <c:pt idx="67">
                  <c:v>0.997</c:v>
                </c:pt>
                <c:pt idx="68">
                  <c:v>0.79800000000000004</c:v>
                </c:pt>
                <c:pt idx="69">
                  <c:v>0.79</c:v>
                </c:pt>
                <c:pt idx="70">
                  <c:v>0.998</c:v>
                </c:pt>
                <c:pt idx="71">
                  <c:v>0.80300000000000005</c:v>
                </c:pt>
                <c:pt idx="72">
                  <c:v>0.79700000000000004</c:v>
                </c:pt>
                <c:pt idx="73">
                  <c:v>0.80700000000000005</c:v>
                </c:pt>
                <c:pt idx="74">
                  <c:v>0.79600000000000004</c:v>
                </c:pt>
                <c:pt idx="75">
                  <c:v>0.996</c:v>
                </c:pt>
                <c:pt idx="76">
                  <c:v>0.998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B1-45D9-9EBB-AD9C12C50FCE}"/>
            </c:ext>
          </c:extLst>
        </c:ser>
        <c:ser>
          <c:idx val="4"/>
          <c:order val="4"/>
          <c:tx>
            <c:strRef>
              <c:f>'# Out FF'!$S$2</c:f>
              <c:strCache>
                <c:ptCount val="1"/>
                <c:pt idx="0">
                  <c:v>Run 5</c:v>
                </c:pt>
              </c:strCache>
            </c:strRef>
          </c:tx>
          <c:spPr>
            <a:ln w="19050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FF'!$N$3:$N$200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'# Out FF'!$S$3:$S$200</c:f>
              <c:numCache>
                <c:formatCode>General</c:formatCode>
                <c:ptCount val="198"/>
                <c:pt idx="0">
                  <c:v>1</c:v>
                </c:pt>
                <c:pt idx="1">
                  <c:v>0.997</c:v>
                </c:pt>
                <c:pt idx="2">
                  <c:v>0.998</c:v>
                </c:pt>
                <c:pt idx="3">
                  <c:v>0.996</c:v>
                </c:pt>
                <c:pt idx="4">
                  <c:v>0.78700000000000003</c:v>
                </c:pt>
                <c:pt idx="5">
                  <c:v>0.79400000000000004</c:v>
                </c:pt>
                <c:pt idx="6">
                  <c:v>0.53300000000000003</c:v>
                </c:pt>
                <c:pt idx="7">
                  <c:v>0.748</c:v>
                </c:pt>
                <c:pt idx="8">
                  <c:v>0.68500000000000005</c:v>
                </c:pt>
                <c:pt idx="9">
                  <c:v>0.84099999999999997</c:v>
                </c:pt>
                <c:pt idx="10">
                  <c:v>0.84699999999999998</c:v>
                </c:pt>
                <c:pt idx="11">
                  <c:v>0.68600000000000005</c:v>
                </c:pt>
                <c:pt idx="12">
                  <c:v>0.36599999999999999</c:v>
                </c:pt>
                <c:pt idx="13">
                  <c:v>0.44600000000000001</c:v>
                </c:pt>
                <c:pt idx="14">
                  <c:v>0.19700000000000001</c:v>
                </c:pt>
                <c:pt idx="15">
                  <c:v>0.27900000000000003</c:v>
                </c:pt>
                <c:pt idx="16">
                  <c:v>0.72199999999999998</c:v>
                </c:pt>
                <c:pt idx="17">
                  <c:v>0.67</c:v>
                </c:pt>
                <c:pt idx="18">
                  <c:v>0.77</c:v>
                </c:pt>
                <c:pt idx="19">
                  <c:v>0.77900000000000003</c:v>
                </c:pt>
                <c:pt idx="20">
                  <c:v>0.77700000000000002</c:v>
                </c:pt>
                <c:pt idx="21">
                  <c:v>0.78100000000000003</c:v>
                </c:pt>
                <c:pt idx="22">
                  <c:v>0.53700000000000003</c:v>
                </c:pt>
                <c:pt idx="23">
                  <c:v>0.7</c:v>
                </c:pt>
                <c:pt idx="24">
                  <c:v>0.69199999999999995</c:v>
                </c:pt>
                <c:pt idx="25">
                  <c:v>0.85499999999999998</c:v>
                </c:pt>
                <c:pt idx="26">
                  <c:v>0.51400000000000001</c:v>
                </c:pt>
                <c:pt idx="27">
                  <c:v>0.70299999999999996</c:v>
                </c:pt>
                <c:pt idx="28">
                  <c:v>0.77100000000000002</c:v>
                </c:pt>
                <c:pt idx="29">
                  <c:v>0.47699999999999998</c:v>
                </c:pt>
                <c:pt idx="30">
                  <c:v>0.78</c:v>
                </c:pt>
                <c:pt idx="31">
                  <c:v>0.67900000000000005</c:v>
                </c:pt>
                <c:pt idx="32">
                  <c:v>0.76300000000000001</c:v>
                </c:pt>
                <c:pt idx="33">
                  <c:v>0.995</c:v>
                </c:pt>
                <c:pt idx="34">
                  <c:v>0.79200000000000004</c:v>
                </c:pt>
                <c:pt idx="35">
                  <c:v>0.79100000000000004</c:v>
                </c:pt>
                <c:pt idx="36">
                  <c:v>0.77800000000000002</c:v>
                </c:pt>
                <c:pt idx="37">
                  <c:v>0.86399999999999999</c:v>
                </c:pt>
                <c:pt idx="38">
                  <c:v>0.78300000000000003</c:v>
                </c:pt>
                <c:pt idx="39">
                  <c:v>0.68100000000000005</c:v>
                </c:pt>
                <c:pt idx="40">
                  <c:v>0.76100000000000001</c:v>
                </c:pt>
                <c:pt idx="41">
                  <c:v>0.69699999999999995</c:v>
                </c:pt>
                <c:pt idx="42">
                  <c:v>0.47499999999999998</c:v>
                </c:pt>
                <c:pt idx="43">
                  <c:v>0.76700000000000002</c:v>
                </c:pt>
                <c:pt idx="44">
                  <c:v>0.57799999999999996</c:v>
                </c:pt>
                <c:pt idx="45">
                  <c:v>0.77</c:v>
                </c:pt>
                <c:pt idx="46">
                  <c:v>0.77400000000000002</c:v>
                </c:pt>
                <c:pt idx="47">
                  <c:v>0.78</c:v>
                </c:pt>
                <c:pt idx="48">
                  <c:v>0.77700000000000002</c:v>
                </c:pt>
                <c:pt idx="49">
                  <c:v>0.79500000000000004</c:v>
                </c:pt>
                <c:pt idx="50">
                  <c:v>0.77300000000000002</c:v>
                </c:pt>
                <c:pt idx="51">
                  <c:v>0.995</c:v>
                </c:pt>
                <c:pt idx="52">
                  <c:v>0.996</c:v>
                </c:pt>
                <c:pt idx="53">
                  <c:v>0.997</c:v>
                </c:pt>
                <c:pt idx="54">
                  <c:v>0.996</c:v>
                </c:pt>
                <c:pt idx="55">
                  <c:v>0.995</c:v>
                </c:pt>
                <c:pt idx="56">
                  <c:v>0.79300000000000004</c:v>
                </c:pt>
                <c:pt idx="57">
                  <c:v>0.77800000000000002</c:v>
                </c:pt>
                <c:pt idx="58">
                  <c:v>0.77800000000000002</c:v>
                </c:pt>
                <c:pt idx="59">
                  <c:v>0.53200000000000003</c:v>
                </c:pt>
                <c:pt idx="60">
                  <c:v>0.749</c:v>
                </c:pt>
                <c:pt idx="61">
                  <c:v>0.75900000000000001</c:v>
                </c:pt>
                <c:pt idx="62">
                  <c:v>0.78600000000000003</c:v>
                </c:pt>
                <c:pt idx="63">
                  <c:v>0.99199999999999999</c:v>
                </c:pt>
                <c:pt idx="64">
                  <c:v>0.78900000000000003</c:v>
                </c:pt>
                <c:pt idx="65">
                  <c:v>0.995</c:v>
                </c:pt>
                <c:pt idx="66">
                  <c:v>0.995</c:v>
                </c:pt>
                <c:pt idx="67">
                  <c:v>0.54500000000000004</c:v>
                </c:pt>
                <c:pt idx="68">
                  <c:v>0.77600000000000002</c:v>
                </c:pt>
                <c:pt idx="69">
                  <c:v>0.77600000000000002</c:v>
                </c:pt>
                <c:pt idx="70">
                  <c:v>0.77800000000000002</c:v>
                </c:pt>
                <c:pt idx="71">
                  <c:v>0.77900000000000003</c:v>
                </c:pt>
                <c:pt idx="72">
                  <c:v>0.79200000000000004</c:v>
                </c:pt>
                <c:pt idx="73">
                  <c:v>0.79600000000000004</c:v>
                </c:pt>
                <c:pt idx="74">
                  <c:v>0.997</c:v>
                </c:pt>
                <c:pt idx="75">
                  <c:v>0.79</c:v>
                </c:pt>
                <c:pt idx="76">
                  <c:v>0.995</c:v>
                </c:pt>
                <c:pt idx="77">
                  <c:v>0.78700000000000003</c:v>
                </c:pt>
                <c:pt idx="78">
                  <c:v>0.78600000000000003</c:v>
                </c:pt>
                <c:pt idx="79">
                  <c:v>0.78300000000000003</c:v>
                </c:pt>
                <c:pt idx="80">
                  <c:v>0.78500000000000003</c:v>
                </c:pt>
                <c:pt idx="81">
                  <c:v>0.76100000000000001</c:v>
                </c:pt>
                <c:pt idx="82">
                  <c:v>0.79600000000000004</c:v>
                </c:pt>
                <c:pt idx="83">
                  <c:v>0.78800000000000003</c:v>
                </c:pt>
                <c:pt idx="84">
                  <c:v>0.996</c:v>
                </c:pt>
                <c:pt idx="85">
                  <c:v>0.995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B1-45D9-9EBB-AD9C12C50FCE}"/>
            </c:ext>
          </c:extLst>
        </c:ser>
        <c:ser>
          <c:idx val="5"/>
          <c:order val="5"/>
          <c:tx>
            <c:strRef>
              <c:f>'# Out FF'!$T$2</c:f>
              <c:strCache>
                <c:ptCount val="1"/>
                <c:pt idx="0">
                  <c:v>Run 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'# Out FF'!$N$3:$N$200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'# Out FF'!$T$3:$T$200</c:f>
              <c:numCache>
                <c:formatCode>General</c:formatCode>
                <c:ptCount val="198"/>
                <c:pt idx="0">
                  <c:v>1</c:v>
                </c:pt>
                <c:pt idx="1">
                  <c:v>0.997</c:v>
                </c:pt>
                <c:pt idx="2">
                  <c:v>0.997</c:v>
                </c:pt>
                <c:pt idx="3">
                  <c:v>0.997</c:v>
                </c:pt>
                <c:pt idx="4">
                  <c:v>0.79300000000000004</c:v>
                </c:pt>
                <c:pt idx="5">
                  <c:v>0.995</c:v>
                </c:pt>
                <c:pt idx="6">
                  <c:v>0.80200000000000005</c:v>
                </c:pt>
                <c:pt idx="7">
                  <c:v>0.79400000000000004</c:v>
                </c:pt>
                <c:pt idx="8">
                  <c:v>0.78200000000000003</c:v>
                </c:pt>
                <c:pt idx="9">
                  <c:v>0.70199999999999996</c:v>
                </c:pt>
                <c:pt idx="10">
                  <c:v>0.78700000000000003</c:v>
                </c:pt>
                <c:pt idx="11">
                  <c:v>0.82899999999999996</c:v>
                </c:pt>
                <c:pt idx="12">
                  <c:v>0.57999999999999996</c:v>
                </c:pt>
                <c:pt idx="13">
                  <c:v>0.47299999999999998</c:v>
                </c:pt>
                <c:pt idx="14">
                  <c:v>0.55400000000000005</c:v>
                </c:pt>
                <c:pt idx="15">
                  <c:v>0.39200000000000002</c:v>
                </c:pt>
                <c:pt idx="16">
                  <c:v>0.54500000000000004</c:v>
                </c:pt>
                <c:pt idx="17">
                  <c:v>0.68700000000000006</c:v>
                </c:pt>
                <c:pt idx="18">
                  <c:v>0.70099999999999996</c:v>
                </c:pt>
                <c:pt idx="19">
                  <c:v>0.77200000000000002</c:v>
                </c:pt>
                <c:pt idx="20">
                  <c:v>0.78300000000000003</c:v>
                </c:pt>
                <c:pt idx="21">
                  <c:v>0.79700000000000004</c:v>
                </c:pt>
                <c:pt idx="22">
                  <c:v>0.8</c:v>
                </c:pt>
                <c:pt idx="23">
                  <c:v>0.79500000000000004</c:v>
                </c:pt>
                <c:pt idx="24">
                  <c:v>0.55100000000000005</c:v>
                </c:pt>
                <c:pt idx="25">
                  <c:v>0.55000000000000004</c:v>
                </c:pt>
                <c:pt idx="26">
                  <c:v>0.54600000000000004</c:v>
                </c:pt>
                <c:pt idx="27">
                  <c:v>0.54800000000000004</c:v>
                </c:pt>
                <c:pt idx="28">
                  <c:v>0.79200000000000004</c:v>
                </c:pt>
                <c:pt idx="29">
                  <c:v>0.80500000000000005</c:v>
                </c:pt>
                <c:pt idx="30">
                  <c:v>0.79700000000000004</c:v>
                </c:pt>
                <c:pt idx="31">
                  <c:v>0.79400000000000004</c:v>
                </c:pt>
                <c:pt idx="32">
                  <c:v>0.79400000000000004</c:v>
                </c:pt>
                <c:pt idx="33">
                  <c:v>0.79400000000000004</c:v>
                </c:pt>
                <c:pt idx="34">
                  <c:v>0.79500000000000004</c:v>
                </c:pt>
                <c:pt idx="35">
                  <c:v>0.79800000000000004</c:v>
                </c:pt>
                <c:pt idx="36">
                  <c:v>0.81399999999999995</c:v>
                </c:pt>
                <c:pt idx="37">
                  <c:v>0.78</c:v>
                </c:pt>
                <c:pt idx="38">
                  <c:v>0.79300000000000004</c:v>
                </c:pt>
                <c:pt idx="39">
                  <c:v>0.80500000000000005</c:v>
                </c:pt>
                <c:pt idx="40">
                  <c:v>0.79100000000000004</c:v>
                </c:pt>
                <c:pt idx="41">
                  <c:v>0.79300000000000004</c:v>
                </c:pt>
                <c:pt idx="42">
                  <c:v>0.78300000000000003</c:v>
                </c:pt>
                <c:pt idx="43">
                  <c:v>0.79600000000000004</c:v>
                </c:pt>
                <c:pt idx="44">
                  <c:v>0.79300000000000004</c:v>
                </c:pt>
                <c:pt idx="45">
                  <c:v>0.78200000000000003</c:v>
                </c:pt>
                <c:pt idx="46">
                  <c:v>0.79</c:v>
                </c:pt>
                <c:pt idx="47">
                  <c:v>0.81</c:v>
                </c:pt>
                <c:pt idx="48">
                  <c:v>0.78800000000000003</c:v>
                </c:pt>
                <c:pt idx="49">
                  <c:v>0.79400000000000004</c:v>
                </c:pt>
                <c:pt idx="50">
                  <c:v>0.79200000000000004</c:v>
                </c:pt>
                <c:pt idx="51">
                  <c:v>0.80200000000000005</c:v>
                </c:pt>
                <c:pt idx="52">
                  <c:v>0.79100000000000004</c:v>
                </c:pt>
                <c:pt idx="53">
                  <c:v>0.54500000000000004</c:v>
                </c:pt>
                <c:pt idx="54">
                  <c:v>0.78500000000000003</c:v>
                </c:pt>
                <c:pt idx="55">
                  <c:v>0.55200000000000005</c:v>
                </c:pt>
                <c:pt idx="56">
                  <c:v>0.54100000000000004</c:v>
                </c:pt>
                <c:pt idx="57">
                  <c:v>0.80200000000000005</c:v>
                </c:pt>
                <c:pt idx="58">
                  <c:v>0.79800000000000004</c:v>
                </c:pt>
                <c:pt idx="59">
                  <c:v>0.78900000000000003</c:v>
                </c:pt>
                <c:pt idx="60">
                  <c:v>0.8</c:v>
                </c:pt>
                <c:pt idx="61">
                  <c:v>0.78600000000000003</c:v>
                </c:pt>
                <c:pt idx="62">
                  <c:v>0.79600000000000004</c:v>
                </c:pt>
                <c:pt idx="63">
                  <c:v>0.79300000000000004</c:v>
                </c:pt>
                <c:pt idx="64">
                  <c:v>0.78700000000000003</c:v>
                </c:pt>
                <c:pt idx="65">
                  <c:v>0.80200000000000005</c:v>
                </c:pt>
                <c:pt idx="66">
                  <c:v>0.80400000000000005</c:v>
                </c:pt>
                <c:pt idx="67">
                  <c:v>0.77500000000000002</c:v>
                </c:pt>
                <c:pt idx="68">
                  <c:v>0.78200000000000003</c:v>
                </c:pt>
                <c:pt idx="69">
                  <c:v>0.54200000000000004</c:v>
                </c:pt>
                <c:pt idx="70">
                  <c:v>0.80300000000000005</c:v>
                </c:pt>
                <c:pt idx="71">
                  <c:v>0.54900000000000004</c:v>
                </c:pt>
                <c:pt idx="72">
                  <c:v>0.55100000000000005</c:v>
                </c:pt>
                <c:pt idx="73">
                  <c:v>0.78900000000000003</c:v>
                </c:pt>
                <c:pt idx="74">
                  <c:v>0.997</c:v>
                </c:pt>
                <c:pt idx="75">
                  <c:v>0.81</c:v>
                </c:pt>
                <c:pt idx="76">
                  <c:v>0.79100000000000004</c:v>
                </c:pt>
                <c:pt idx="77">
                  <c:v>0.80300000000000005</c:v>
                </c:pt>
                <c:pt idx="78">
                  <c:v>0.79</c:v>
                </c:pt>
                <c:pt idx="79">
                  <c:v>0.79600000000000004</c:v>
                </c:pt>
                <c:pt idx="80">
                  <c:v>0.78600000000000003</c:v>
                </c:pt>
                <c:pt idx="81">
                  <c:v>0.78900000000000003</c:v>
                </c:pt>
                <c:pt idx="82">
                  <c:v>0.78600000000000003</c:v>
                </c:pt>
                <c:pt idx="83">
                  <c:v>0.78700000000000003</c:v>
                </c:pt>
                <c:pt idx="84">
                  <c:v>0.79700000000000004</c:v>
                </c:pt>
                <c:pt idx="85">
                  <c:v>0.996</c:v>
                </c:pt>
                <c:pt idx="86">
                  <c:v>0.996</c:v>
                </c:pt>
                <c:pt idx="87">
                  <c:v>0.996</c:v>
                </c:pt>
                <c:pt idx="88">
                  <c:v>0.8</c:v>
                </c:pt>
                <c:pt idx="89">
                  <c:v>0.80300000000000005</c:v>
                </c:pt>
                <c:pt idx="90">
                  <c:v>0.78600000000000003</c:v>
                </c:pt>
                <c:pt idx="91">
                  <c:v>0.79900000000000004</c:v>
                </c:pt>
                <c:pt idx="92">
                  <c:v>0.78700000000000003</c:v>
                </c:pt>
                <c:pt idx="93">
                  <c:v>0.79600000000000004</c:v>
                </c:pt>
                <c:pt idx="94">
                  <c:v>0.996</c:v>
                </c:pt>
                <c:pt idx="95">
                  <c:v>0.998</c:v>
                </c:pt>
                <c:pt idx="96">
                  <c:v>0.999</c:v>
                </c:pt>
                <c:pt idx="97">
                  <c:v>0.999</c:v>
                </c:pt>
                <c:pt idx="98">
                  <c:v>0.79700000000000004</c:v>
                </c:pt>
                <c:pt idx="99">
                  <c:v>0.78800000000000003</c:v>
                </c:pt>
                <c:pt idx="100">
                  <c:v>0.79700000000000004</c:v>
                </c:pt>
                <c:pt idx="101">
                  <c:v>0.78600000000000003</c:v>
                </c:pt>
                <c:pt idx="102">
                  <c:v>0.996</c:v>
                </c:pt>
                <c:pt idx="103">
                  <c:v>0.995</c:v>
                </c:pt>
                <c:pt idx="104">
                  <c:v>0.998</c:v>
                </c:pt>
                <c:pt idx="105">
                  <c:v>0.996</c:v>
                </c:pt>
                <c:pt idx="106">
                  <c:v>0.79600000000000004</c:v>
                </c:pt>
                <c:pt idx="107">
                  <c:v>0.8</c:v>
                </c:pt>
                <c:pt idx="108">
                  <c:v>0.8</c:v>
                </c:pt>
                <c:pt idx="109">
                  <c:v>0.80200000000000005</c:v>
                </c:pt>
                <c:pt idx="110">
                  <c:v>0.80300000000000005</c:v>
                </c:pt>
                <c:pt idx="111">
                  <c:v>0.80600000000000005</c:v>
                </c:pt>
                <c:pt idx="112">
                  <c:v>0.80300000000000005</c:v>
                </c:pt>
                <c:pt idx="113">
                  <c:v>0.80300000000000005</c:v>
                </c:pt>
                <c:pt idx="114">
                  <c:v>0.77800000000000002</c:v>
                </c:pt>
                <c:pt idx="115">
                  <c:v>0.78400000000000003</c:v>
                </c:pt>
                <c:pt idx="116">
                  <c:v>0.79700000000000004</c:v>
                </c:pt>
                <c:pt idx="117">
                  <c:v>0.54800000000000004</c:v>
                </c:pt>
                <c:pt idx="118">
                  <c:v>0.79300000000000004</c:v>
                </c:pt>
                <c:pt idx="119">
                  <c:v>0.80400000000000005</c:v>
                </c:pt>
                <c:pt idx="120">
                  <c:v>0.79600000000000004</c:v>
                </c:pt>
                <c:pt idx="121">
                  <c:v>0.79400000000000004</c:v>
                </c:pt>
                <c:pt idx="122">
                  <c:v>0.995</c:v>
                </c:pt>
                <c:pt idx="123">
                  <c:v>0.998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6B1-45D9-9EBB-AD9C12C50FCE}"/>
            </c:ext>
          </c:extLst>
        </c:ser>
        <c:ser>
          <c:idx val="6"/>
          <c:order val="6"/>
          <c:tx>
            <c:strRef>
              <c:f>'# Out FF'!$U$2</c:f>
              <c:strCache>
                <c:ptCount val="1"/>
                <c:pt idx="0">
                  <c:v>Run 7</c:v>
                </c:pt>
              </c:strCache>
            </c:strRef>
          </c:tx>
          <c:spPr>
            <a:ln w="19050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FF'!$N$3:$N$200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'# Out FF'!$U$3:$U$200</c:f>
              <c:numCache>
                <c:formatCode>General</c:formatCode>
                <c:ptCount val="198"/>
                <c:pt idx="0">
                  <c:v>1</c:v>
                </c:pt>
                <c:pt idx="1">
                  <c:v>0.995</c:v>
                </c:pt>
                <c:pt idx="2">
                  <c:v>0.997</c:v>
                </c:pt>
                <c:pt idx="3">
                  <c:v>0.997</c:v>
                </c:pt>
                <c:pt idx="4">
                  <c:v>0.77500000000000002</c:v>
                </c:pt>
                <c:pt idx="5">
                  <c:v>0.80300000000000005</c:v>
                </c:pt>
                <c:pt idx="6">
                  <c:v>0.77200000000000002</c:v>
                </c:pt>
                <c:pt idx="7">
                  <c:v>0.55000000000000004</c:v>
                </c:pt>
                <c:pt idx="8">
                  <c:v>0.76700000000000002</c:v>
                </c:pt>
                <c:pt idx="9">
                  <c:v>0.76600000000000001</c:v>
                </c:pt>
                <c:pt idx="10">
                  <c:v>0.55100000000000005</c:v>
                </c:pt>
                <c:pt idx="11">
                  <c:v>0.75900000000000001</c:v>
                </c:pt>
                <c:pt idx="12">
                  <c:v>0.76300000000000001</c:v>
                </c:pt>
                <c:pt idx="13">
                  <c:v>0.71199999999999997</c:v>
                </c:pt>
                <c:pt idx="14">
                  <c:v>0.75700000000000001</c:v>
                </c:pt>
                <c:pt idx="15">
                  <c:v>0.755</c:v>
                </c:pt>
                <c:pt idx="16">
                  <c:v>0.751</c:v>
                </c:pt>
                <c:pt idx="17">
                  <c:v>0.73499999999999999</c:v>
                </c:pt>
                <c:pt idx="18">
                  <c:v>0.72299999999999998</c:v>
                </c:pt>
                <c:pt idx="19">
                  <c:v>0.55400000000000005</c:v>
                </c:pt>
                <c:pt idx="20">
                  <c:v>0.74099999999999999</c:v>
                </c:pt>
                <c:pt idx="21">
                  <c:v>0.77300000000000002</c:v>
                </c:pt>
                <c:pt idx="22">
                  <c:v>0.72</c:v>
                </c:pt>
                <c:pt idx="23">
                  <c:v>0.54</c:v>
                </c:pt>
                <c:pt idx="24">
                  <c:v>0.68100000000000005</c:v>
                </c:pt>
                <c:pt idx="25">
                  <c:v>0.83599999999999997</c:v>
                </c:pt>
                <c:pt idx="26">
                  <c:v>0.83099999999999996</c:v>
                </c:pt>
                <c:pt idx="27">
                  <c:v>0.745</c:v>
                </c:pt>
                <c:pt idx="28">
                  <c:v>0.74199999999999999</c:v>
                </c:pt>
                <c:pt idx="29">
                  <c:v>0.54</c:v>
                </c:pt>
                <c:pt idx="30">
                  <c:v>0.54600000000000004</c:v>
                </c:pt>
                <c:pt idx="31">
                  <c:v>0.45200000000000001</c:v>
                </c:pt>
                <c:pt idx="32">
                  <c:v>0.47199999999999998</c:v>
                </c:pt>
                <c:pt idx="33">
                  <c:v>0.43</c:v>
                </c:pt>
                <c:pt idx="34">
                  <c:v>0.81699999999999995</c:v>
                </c:pt>
                <c:pt idx="35">
                  <c:v>0.69899999999999995</c:v>
                </c:pt>
                <c:pt idx="36">
                  <c:v>0.751</c:v>
                </c:pt>
                <c:pt idx="37">
                  <c:v>0.54700000000000004</c:v>
                </c:pt>
                <c:pt idx="38">
                  <c:v>0.755</c:v>
                </c:pt>
                <c:pt idx="39">
                  <c:v>0.755</c:v>
                </c:pt>
                <c:pt idx="40">
                  <c:v>0.69399999999999995</c:v>
                </c:pt>
                <c:pt idx="41">
                  <c:v>0.72799999999999998</c:v>
                </c:pt>
                <c:pt idx="42">
                  <c:v>0.69199999999999995</c:v>
                </c:pt>
                <c:pt idx="43">
                  <c:v>0.73899999999999999</c:v>
                </c:pt>
                <c:pt idx="44">
                  <c:v>0.54400000000000004</c:v>
                </c:pt>
                <c:pt idx="45">
                  <c:v>0.53600000000000003</c:v>
                </c:pt>
                <c:pt idx="46">
                  <c:v>0.74199999999999999</c:v>
                </c:pt>
                <c:pt idx="47">
                  <c:v>0.73299999999999998</c:v>
                </c:pt>
                <c:pt idx="48">
                  <c:v>0.77200000000000002</c:v>
                </c:pt>
                <c:pt idx="49">
                  <c:v>0.80700000000000005</c:v>
                </c:pt>
                <c:pt idx="50">
                  <c:v>0.76500000000000001</c:v>
                </c:pt>
                <c:pt idx="51">
                  <c:v>0.74399999999999999</c:v>
                </c:pt>
                <c:pt idx="52">
                  <c:v>0.80300000000000005</c:v>
                </c:pt>
                <c:pt idx="53">
                  <c:v>0.747</c:v>
                </c:pt>
                <c:pt idx="54">
                  <c:v>0.99299999999999999</c:v>
                </c:pt>
                <c:pt idx="55">
                  <c:v>0.996</c:v>
                </c:pt>
                <c:pt idx="56">
                  <c:v>0.81299999999999994</c:v>
                </c:pt>
                <c:pt idx="57">
                  <c:v>0.997</c:v>
                </c:pt>
                <c:pt idx="58">
                  <c:v>0.997</c:v>
                </c:pt>
                <c:pt idx="59">
                  <c:v>0.753</c:v>
                </c:pt>
                <c:pt idx="60">
                  <c:v>0.80400000000000005</c:v>
                </c:pt>
                <c:pt idx="61">
                  <c:v>0.749</c:v>
                </c:pt>
                <c:pt idx="62">
                  <c:v>0.77400000000000002</c:v>
                </c:pt>
                <c:pt idx="63">
                  <c:v>0.76900000000000002</c:v>
                </c:pt>
                <c:pt idx="64">
                  <c:v>0.80600000000000005</c:v>
                </c:pt>
                <c:pt idx="65">
                  <c:v>0.77400000000000002</c:v>
                </c:pt>
                <c:pt idx="66">
                  <c:v>0.81599999999999995</c:v>
                </c:pt>
                <c:pt idx="67">
                  <c:v>0.8</c:v>
                </c:pt>
                <c:pt idx="68">
                  <c:v>0.78200000000000003</c:v>
                </c:pt>
                <c:pt idx="69">
                  <c:v>0.77200000000000002</c:v>
                </c:pt>
                <c:pt idx="70">
                  <c:v>0.74099999999999999</c:v>
                </c:pt>
                <c:pt idx="71">
                  <c:v>0.8</c:v>
                </c:pt>
                <c:pt idx="72">
                  <c:v>0.99299999999999999</c:v>
                </c:pt>
                <c:pt idx="73">
                  <c:v>0.74099999999999999</c:v>
                </c:pt>
                <c:pt idx="74">
                  <c:v>0.77100000000000002</c:v>
                </c:pt>
                <c:pt idx="75">
                  <c:v>0.77400000000000002</c:v>
                </c:pt>
                <c:pt idx="76">
                  <c:v>0.69699999999999995</c:v>
                </c:pt>
                <c:pt idx="77">
                  <c:v>0.98599999999999999</c:v>
                </c:pt>
                <c:pt idx="78">
                  <c:v>0.76900000000000002</c:v>
                </c:pt>
                <c:pt idx="79">
                  <c:v>0.81899999999999995</c:v>
                </c:pt>
                <c:pt idx="80">
                  <c:v>0.995</c:v>
                </c:pt>
                <c:pt idx="81">
                  <c:v>0.80800000000000005</c:v>
                </c:pt>
                <c:pt idx="82">
                  <c:v>0.996</c:v>
                </c:pt>
                <c:pt idx="83">
                  <c:v>0.997</c:v>
                </c:pt>
                <c:pt idx="84">
                  <c:v>0.78200000000000003</c:v>
                </c:pt>
                <c:pt idx="85">
                  <c:v>0.81200000000000006</c:v>
                </c:pt>
                <c:pt idx="86">
                  <c:v>0.996</c:v>
                </c:pt>
                <c:pt idx="87">
                  <c:v>0.998</c:v>
                </c:pt>
                <c:pt idx="88">
                  <c:v>0.999</c:v>
                </c:pt>
                <c:pt idx="89">
                  <c:v>0.999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6B1-45D9-9EBB-AD9C12C50FCE}"/>
            </c:ext>
          </c:extLst>
        </c:ser>
        <c:ser>
          <c:idx val="7"/>
          <c:order val="7"/>
          <c:tx>
            <c:strRef>
              <c:f>'# Out FF'!$V$2</c:f>
              <c:strCache>
                <c:ptCount val="1"/>
                <c:pt idx="0">
                  <c:v>Run 8</c:v>
                </c:pt>
              </c:strCache>
            </c:strRef>
          </c:tx>
          <c:spPr>
            <a:ln w="19050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FF'!$N$3:$N$200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'# Out FF'!$V$3:$V$200</c:f>
              <c:numCache>
                <c:formatCode>General</c:formatCode>
                <c:ptCount val="198"/>
                <c:pt idx="0">
                  <c:v>1</c:v>
                </c:pt>
                <c:pt idx="1">
                  <c:v>0.999</c:v>
                </c:pt>
                <c:pt idx="2">
                  <c:v>0.998</c:v>
                </c:pt>
                <c:pt idx="3">
                  <c:v>0.999</c:v>
                </c:pt>
                <c:pt idx="4">
                  <c:v>0.78400000000000003</c:v>
                </c:pt>
                <c:pt idx="5">
                  <c:v>0.76200000000000001</c:v>
                </c:pt>
                <c:pt idx="6">
                  <c:v>0.76900000000000002</c:v>
                </c:pt>
                <c:pt idx="7">
                  <c:v>0.67200000000000004</c:v>
                </c:pt>
                <c:pt idx="8">
                  <c:v>0.69099999999999995</c:v>
                </c:pt>
                <c:pt idx="9">
                  <c:v>0.46</c:v>
                </c:pt>
                <c:pt idx="10">
                  <c:v>0.45800000000000002</c:v>
                </c:pt>
                <c:pt idx="11">
                  <c:v>0.46</c:v>
                </c:pt>
                <c:pt idx="12">
                  <c:v>0.74099999999999999</c:v>
                </c:pt>
                <c:pt idx="13">
                  <c:v>0.67700000000000005</c:v>
                </c:pt>
                <c:pt idx="14">
                  <c:v>0.51800000000000002</c:v>
                </c:pt>
                <c:pt idx="15">
                  <c:v>0.72499999999999998</c:v>
                </c:pt>
                <c:pt idx="16">
                  <c:v>0.77400000000000002</c:v>
                </c:pt>
                <c:pt idx="17">
                  <c:v>0.53</c:v>
                </c:pt>
                <c:pt idx="18">
                  <c:v>0.78200000000000003</c:v>
                </c:pt>
                <c:pt idx="19">
                  <c:v>0.76500000000000001</c:v>
                </c:pt>
                <c:pt idx="20">
                  <c:v>0.53300000000000003</c:v>
                </c:pt>
                <c:pt idx="21">
                  <c:v>0.78400000000000003</c:v>
                </c:pt>
                <c:pt idx="22">
                  <c:v>0.76700000000000002</c:v>
                </c:pt>
                <c:pt idx="23">
                  <c:v>0.77900000000000003</c:v>
                </c:pt>
                <c:pt idx="24">
                  <c:v>0.79400000000000004</c:v>
                </c:pt>
                <c:pt idx="25">
                  <c:v>0.77500000000000002</c:v>
                </c:pt>
                <c:pt idx="26">
                  <c:v>0.78200000000000003</c:v>
                </c:pt>
                <c:pt idx="27">
                  <c:v>0.77200000000000002</c:v>
                </c:pt>
                <c:pt idx="28">
                  <c:v>0.77100000000000002</c:v>
                </c:pt>
                <c:pt idx="29">
                  <c:v>0.996</c:v>
                </c:pt>
                <c:pt idx="30">
                  <c:v>0.79200000000000004</c:v>
                </c:pt>
                <c:pt idx="31">
                  <c:v>0.80800000000000005</c:v>
                </c:pt>
                <c:pt idx="32">
                  <c:v>0.995</c:v>
                </c:pt>
                <c:pt idx="33">
                  <c:v>0.54300000000000004</c:v>
                </c:pt>
                <c:pt idx="34">
                  <c:v>0.53600000000000003</c:v>
                </c:pt>
                <c:pt idx="35">
                  <c:v>0.72499999999999998</c:v>
                </c:pt>
                <c:pt idx="36">
                  <c:v>0.47499999999999998</c:v>
                </c:pt>
                <c:pt idx="37">
                  <c:v>0.77100000000000002</c:v>
                </c:pt>
                <c:pt idx="38">
                  <c:v>0.66600000000000004</c:v>
                </c:pt>
                <c:pt idx="39">
                  <c:v>0.67300000000000004</c:v>
                </c:pt>
                <c:pt idx="40">
                  <c:v>0.77600000000000002</c:v>
                </c:pt>
                <c:pt idx="41">
                  <c:v>0.52100000000000002</c:v>
                </c:pt>
                <c:pt idx="42">
                  <c:v>0.77800000000000002</c:v>
                </c:pt>
                <c:pt idx="43">
                  <c:v>0.77100000000000002</c:v>
                </c:pt>
                <c:pt idx="44">
                  <c:v>0.86699999999999999</c:v>
                </c:pt>
                <c:pt idx="45">
                  <c:v>0.75700000000000001</c:v>
                </c:pt>
                <c:pt idx="46">
                  <c:v>0.71299999999999997</c:v>
                </c:pt>
                <c:pt idx="47">
                  <c:v>0.68300000000000005</c:v>
                </c:pt>
                <c:pt idx="48">
                  <c:v>0.68400000000000005</c:v>
                </c:pt>
                <c:pt idx="49">
                  <c:v>0.67800000000000005</c:v>
                </c:pt>
                <c:pt idx="50">
                  <c:v>0.69699999999999995</c:v>
                </c:pt>
                <c:pt idx="51">
                  <c:v>0.85199999999999998</c:v>
                </c:pt>
                <c:pt idx="52">
                  <c:v>0.66100000000000003</c:v>
                </c:pt>
                <c:pt idx="53">
                  <c:v>0.85899999999999999</c:v>
                </c:pt>
                <c:pt idx="54">
                  <c:v>0.67700000000000005</c:v>
                </c:pt>
                <c:pt idx="55">
                  <c:v>0.46200000000000002</c:v>
                </c:pt>
                <c:pt idx="56">
                  <c:v>0.84299999999999997</c:v>
                </c:pt>
                <c:pt idx="57">
                  <c:v>0.36</c:v>
                </c:pt>
                <c:pt idx="58">
                  <c:v>0.68</c:v>
                </c:pt>
                <c:pt idx="59">
                  <c:v>0.76600000000000001</c:v>
                </c:pt>
                <c:pt idx="60">
                  <c:v>0.76</c:v>
                </c:pt>
                <c:pt idx="61">
                  <c:v>0.79100000000000004</c:v>
                </c:pt>
                <c:pt idx="62">
                  <c:v>0.79200000000000004</c:v>
                </c:pt>
                <c:pt idx="63">
                  <c:v>0.99399999999999999</c:v>
                </c:pt>
                <c:pt idx="64">
                  <c:v>0.998</c:v>
                </c:pt>
                <c:pt idx="65">
                  <c:v>0.998</c:v>
                </c:pt>
                <c:pt idx="66">
                  <c:v>0.999</c:v>
                </c:pt>
                <c:pt idx="67">
                  <c:v>0.997</c:v>
                </c:pt>
                <c:pt idx="68">
                  <c:v>0.78300000000000003</c:v>
                </c:pt>
                <c:pt idx="69">
                  <c:v>0.996</c:v>
                </c:pt>
                <c:pt idx="70">
                  <c:v>0.79400000000000004</c:v>
                </c:pt>
                <c:pt idx="71">
                  <c:v>0.78800000000000003</c:v>
                </c:pt>
                <c:pt idx="72">
                  <c:v>0.80800000000000005</c:v>
                </c:pt>
                <c:pt idx="73">
                  <c:v>0.53700000000000003</c:v>
                </c:pt>
                <c:pt idx="74">
                  <c:v>0.78200000000000003</c:v>
                </c:pt>
                <c:pt idx="75">
                  <c:v>0.995</c:v>
                </c:pt>
                <c:pt idx="76">
                  <c:v>0.78800000000000003</c:v>
                </c:pt>
                <c:pt idx="77">
                  <c:v>0.998</c:v>
                </c:pt>
                <c:pt idx="78">
                  <c:v>0.77600000000000002</c:v>
                </c:pt>
                <c:pt idx="79">
                  <c:v>0.70899999999999996</c:v>
                </c:pt>
                <c:pt idx="80">
                  <c:v>0.76100000000000001</c:v>
                </c:pt>
                <c:pt idx="81">
                  <c:v>0.46600000000000003</c:v>
                </c:pt>
                <c:pt idx="82">
                  <c:v>0.72899999999999998</c:v>
                </c:pt>
                <c:pt idx="83">
                  <c:v>0.78700000000000003</c:v>
                </c:pt>
                <c:pt idx="84">
                  <c:v>0.79100000000000004</c:v>
                </c:pt>
                <c:pt idx="85">
                  <c:v>0.80100000000000005</c:v>
                </c:pt>
                <c:pt idx="86">
                  <c:v>0.79900000000000004</c:v>
                </c:pt>
                <c:pt idx="87">
                  <c:v>0.997</c:v>
                </c:pt>
                <c:pt idx="88">
                  <c:v>0.80700000000000005</c:v>
                </c:pt>
                <c:pt idx="89">
                  <c:v>0.80700000000000005</c:v>
                </c:pt>
                <c:pt idx="90">
                  <c:v>0.996</c:v>
                </c:pt>
                <c:pt idx="91">
                  <c:v>0.79200000000000004</c:v>
                </c:pt>
                <c:pt idx="92">
                  <c:v>0.80900000000000005</c:v>
                </c:pt>
                <c:pt idx="93">
                  <c:v>0.996</c:v>
                </c:pt>
                <c:pt idx="94">
                  <c:v>0.69499999999999995</c:v>
                </c:pt>
                <c:pt idx="95">
                  <c:v>0.81399999999999995</c:v>
                </c:pt>
                <c:pt idx="96">
                  <c:v>0.78500000000000003</c:v>
                </c:pt>
                <c:pt idx="97">
                  <c:v>0.77400000000000002</c:v>
                </c:pt>
                <c:pt idx="98">
                  <c:v>0.79600000000000004</c:v>
                </c:pt>
                <c:pt idx="99">
                  <c:v>0.78300000000000003</c:v>
                </c:pt>
                <c:pt idx="100">
                  <c:v>0.80200000000000005</c:v>
                </c:pt>
                <c:pt idx="101">
                  <c:v>0.78700000000000003</c:v>
                </c:pt>
                <c:pt idx="102">
                  <c:v>0.80100000000000005</c:v>
                </c:pt>
                <c:pt idx="103">
                  <c:v>0.78600000000000003</c:v>
                </c:pt>
                <c:pt idx="104">
                  <c:v>0.80500000000000005</c:v>
                </c:pt>
                <c:pt idx="105">
                  <c:v>0.997</c:v>
                </c:pt>
                <c:pt idx="106">
                  <c:v>0.999</c:v>
                </c:pt>
                <c:pt idx="107">
                  <c:v>1</c:v>
                </c:pt>
                <c:pt idx="108">
                  <c:v>0.998</c:v>
                </c:pt>
                <c:pt idx="109">
                  <c:v>0.78900000000000003</c:v>
                </c:pt>
                <c:pt idx="110">
                  <c:v>0.81100000000000005</c:v>
                </c:pt>
                <c:pt idx="111">
                  <c:v>0.80700000000000005</c:v>
                </c:pt>
                <c:pt idx="112">
                  <c:v>0.79900000000000004</c:v>
                </c:pt>
                <c:pt idx="113">
                  <c:v>0.80300000000000005</c:v>
                </c:pt>
                <c:pt idx="114">
                  <c:v>0.997</c:v>
                </c:pt>
                <c:pt idx="115">
                  <c:v>0.999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6B1-45D9-9EBB-AD9C12C50FCE}"/>
            </c:ext>
          </c:extLst>
        </c:ser>
        <c:ser>
          <c:idx val="8"/>
          <c:order val="8"/>
          <c:tx>
            <c:strRef>
              <c:f>'# Out FF'!$W$2</c:f>
              <c:strCache>
                <c:ptCount val="1"/>
                <c:pt idx="0">
                  <c:v>Run 9</c:v>
                </c:pt>
              </c:strCache>
            </c:strRef>
          </c:tx>
          <c:spPr>
            <a:ln w="19050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FF'!$N$3:$N$200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'# Out FF'!$W$3:$W$200</c:f>
              <c:numCache>
                <c:formatCode>General</c:formatCode>
                <c:ptCount val="198"/>
                <c:pt idx="0">
                  <c:v>1</c:v>
                </c:pt>
                <c:pt idx="1">
                  <c:v>0.996</c:v>
                </c:pt>
                <c:pt idx="2">
                  <c:v>0.997</c:v>
                </c:pt>
                <c:pt idx="3">
                  <c:v>0.995</c:v>
                </c:pt>
                <c:pt idx="4">
                  <c:v>0.78300000000000003</c:v>
                </c:pt>
                <c:pt idx="5">
                  <c:v>0.77200000000000002</c:v>
                </c:pt>
                <c:pt idx="6">
                  <c:v>0.77800000000000002</c:v>
                </c:pt>
                <c:pt idx="7">
                  <c:v>0.57099999999999995</c:v>
                </c:pt>
                <c:pt idx="8">
                  <c:v>0.78800000000000003</c:v>
                </c:pt>
                <c:pt idx="9">
                  <c:v>0.80400000000000005</c:v>
                </c:pt>
                <c:pt idx="10">
                  <c:v>0.75700000000000001</c:v>
                </c:pt>
                <c:pt idx="11">
                  <c:v>0.75600000000000001</c:v>
                </c:pt>
                <c:pt idx="12">
                  <c:v>0.76300000000000001</c:v>
                </c:pt>
                <c:pt idx="13">
                  <c:v>0.77500000000000002</c:v>
                </c:pt>
                <c:pt idx="14">
                  <c:v>0.749</c:v>
                </c:pt>
                <c:pt idx="15">
                  <c:v>0.55300000000000005</c:v>
                </c:pt>
                <c:pt idx="16">
                  <c:v>0.35699999999999998</c:v>
                </c:pt>
                <c:pt idx="17">
                  <c:v>0.436</c:v>
                </c:pt>
                <c:pt idx="18">
                  <c:v>0.21299999999999999</c:v>
                </c:pt>
                <c:pt idx="19">
                  <c:v>0.56499999999999995</c:v>
                </c:pt>
                <c:pt idx="20">
                  <c:v>0.76700000000000002</c:v>
                </c:pt>
                <c:pt idx="21">
                  <c:v>0.74</c:v>
                </c:pt>
                <c:pt idx="22">
                  <c:v>0.99</c:v>
                </c:pt>
                <c:pt idx="23">
                  <c:v>0.78100000000000003</c:v>
                </c:pt>
                <c:pt idx="24">
                  <c:v>0.79100000000000004</c:v>
                </c:pt>
                <c:pt idx="25">
                  <c:v>0.99399999999999999</c:v>
                </c:pt>
                <c:pt idx="26">
                  <c:v>0.71699999999999997</c:v>
                </c:pt>
                <c:pt idx="27">
                  <c:v>0.72899999999999998</c:v>
                </c:pt>
                <c:pt idx="28">
                  <c:v>0.69799999999999995</c:v>
                </c:pt>
                <c:pt idx="29">
                  <c:v>0.41499999999999998</c:v>
                </c:pt>
                <c:pt idx="30">
                  <c:v>0.69799999999999995</c:v>
                </c:pt>
                <c:pt idx="31">
                  <c:v>0.35299999999999998</c:v>
                </c:pt>
                <c:pt idx="32">
                  <c:v>0.35399999999999998</c:v>
                </c:pt>
                <c:pt idx="33">
                  <c:v>0.54600000000000004</c:v>
                </c:pt>
                <c:pt idx="34">
                  <c:v>0.72199999999999998</c:v>
                </c:pt>
                <c:pt idx="35">
                  <c:v>0.76600000000000001</c:v>
                </c:pt>
                <c:pt idx="36">
                  <c:v>0.99399999999999999</c:v>
                </c:pt>
                <c:pt idx="37">
                  <c:v>0.996</c:v>
                </c:pt>
                <c:pt idx="38">
                  <c:v>0.997</c:v>
                </c:pt>
                <c:pt idx="39">
                  <c:v>0.995</c:v>
                </c:pt>
                <c:pt idx="40">
                  <c:v>0.78800000000000003</c:v>
                </c:pt>
                <c:pt idx="41">
                  <c:v>0.78</c:v>
                </c:pt>
                <c:pt idx="42">
                  <c:v>0.995</c:v>
                </c:pt>
                <c:pt idx="43">
                  <c:v>0.998</c:v>
                </c:pt>
                <c:pt idx="44">
                  <c:v>0.995</c:v>
                </c:pt>
                <c:pt idx="45">
                  <c:v>0.99399999999999999</c:v>
                </c:pt>
                <c:pt idx="46">
                  <c:v>0.80800000000000005</c:v>
                </c:pt>
                <c:pt idx="47">
                  <c:v>0.77</c:v>
                </c:pt>
                <c:pt idx="48">
                  <c:v>0.69099999999999995</c:v>
                </c:pt>
                <c:pt idx="49">
                  <c:v>0.44500000000000001</c:v>
                </c:pt>
                <c:pt idx="50">
                  <c:v>0.44</c:v>
                </c:pt>
                <c:pt idx="51">
                  <c:v>0.432</c:v>
                </c:pt>
                <c:pt idx="52">
                  <c:v>0.56499999999999995</c:v>
                </c:pt>
                <c:pt idx="53">
                  <c:v>0.74399999999999999</c:v>
                </c:pt>
                <c:pt idx="54">
                  <c:v>0.73399999999999999</c:v>
                </c:pt>
                <c:pt idx="55">
                  <c:v>0.755</c:v>
                </c:pt>
                <c:pt idx="56">
                  <c:v>0.77700000000000002</c:v>
                </c:pt>
                <c:pt idx="57">
                  <c:v>0.76200000000000001</c:v>
                </c:pt>
                <c:pt idx="58">
                  <c:v>0.77600000000000002</c:v>
                </c:pt>
                <c:pt idx="59">
                  <c:v>0.77900000000000003</c:v>
                </c:pt>
                <c:pt idx="60">
                  <c:v>0.79200000000000004</c:v>
                </c:pt>
                <c:pt idx="61">
                  <c:v>0.79</c:v>
                </c:pt>
                <c:pt idx="62">
                  <c:v>0.80800000000000005</c:v>
                </c:pt>
                <c:pt idx="63">
                  <c:v>0.78100000000000003</c:v>
                </c:pt>
                <c:pt idx="64">
                  <c:v>0.78700000000000003</c:v>
                </c:pt>
                <c:pt idx="65">
                  <c:v>0.78</c:v>
                </c:pt>
                <c:pt idx="66">
                  <c:v>0.78500000000000003</c:v>
                </c:pt>
                <c:pt idx="67">
                  <c:v>0.78600000000000003</c:v>
                </c:pt>
                <c:pt idx="68">
                  <c:v>0.99399999999999999</c:v>
                </c:pt>
                <c:pt idx="69">
                  <c:v>0.997</c:v>
                </c:pt>
                <c:pt idx="70">
                  <c:v>0.998</c:v>
                </c:pt>
                <c:pt idx="71">
                  <c:v>0.998</c:v>
                </c:pt>
                <c:pt idx="72">
                  <c:v>0.77400000000000002</c:v>
                </c:pt>
                <c:pt idx="73">
                  <c:v>0.99399999999999999</c:v>
                </c:pt>
                <c:pt idx="74">
                  <c:v>0.99299999999999999</c:v>
                </c:pt>
                <c:pt idx="75">
                  <c:v>0.79</c:v>
                </c:pt>
                <c:pt idx="76">
                  <c:v>0.99399999999999999</c:v>
                </c:pt>
                <c:pt idx="77">
                  <c:v>0.99399999999999999</c:v>
                </c:pt>
                <c:pt idx="78">
                  <c:v>0.78300000000000003</c:v>
                </c:pt>
                <c:pt idx="79">
                  <c:v>0.995</c:v>
                </c:pt>
                <c:pt idx="80">
                  <c:v>0.79200000000000004</c:v>
                </c:pt>
                <c:pt idx="81">
                  <c:v>0.995</c:v>
                </c:pt>
                <c:pt idx="82">
                  <c:v>0.995</c:v>
                </c:pt>
                <c:pt idx="83">
                  <c:v>0.78200000000000003</c:v>
                </c:pt>
                <c:pt idx="84">
                  <c:v>0.78300000000000003</c:v>
                </c:pt>
                <c:pt idx="85">
                  <c:v>0.78800000000000003</c:v>
                </c:pt>
                <c:pt idx="86">
                  <c:v>0.76500000000000001</c:v>
                </c:pt>
                <c:pt idx="87">
                  <c:v>0.76400000000000001</c:v>
                </c:pt>
                <c:pt idx="88">
                  <c:v>0.78300000000000003</c:v>
                </c:pt>
                <c:pt idx="89">
                  <c:v>0.78200000000000003</c:v>
                </c:pt>
                <c:pt idx="90">
                  <c:v>0.997</c:v>
                </c:pt>
                <c:pt idx="91">
                  <c:v>0.78500000000000003</c:v>
                </c:pt>
                <c:pt idx="92">
                  <c:v>0.78700000000000003</c:v>
                </c:pt>
                <c:pt idx="93">
                  <c:v>0.995</c:v>
                </c:pt>
                <c:pt idx="94">
                  <c:v>0.78600000000000003</c:v>
                </c:pt>
                <c:pt idx="95">
                  <c:v>0.78200000000000003</c:v>
                </c:pt>
                <c:pt idx="96">
                  <c:v>0.77500000000000002</c:v>
                </c:pt>
                <c:pt idx="97">
                  <c:v>0.79200000000000004</c:v>
                </c:pt>
                <c:pt idx="98">
                  <c:v>0.78500000000000003</c:v>
                </c:pt>
                <c:pt idx="99">
                  <c:v>0.996</c:v>
                </c:pt>
                <c:pt idx="100">
                  <c:v>0.996</c:v>
                </c:pt>
                <c:pt idx="101">
                  <c:v>0.995</c:v>
                </c:pt>
                <c:pt idx="102">
                  <c:v>0.996</c:v>
                </c:pt>
                <c:pt idx="103">
                  <c:v>0.79500000000000004</c:v>
                </c:pt>
                <c:pt idx="104">
                  <c:v>0.78</c:v>
                </c:pt>
                <c:pt idx="105">
                  <c:v>0.99299999999999999</c:v>
                </c:pt>
                <c:pt idx="106">
                  <c:v>0.996</c:v>
                </c:pt>
                <c:pt idx="107">
                  <c:v>0.996</c:v>
                </c:pt>
                <c:pt idx="108">
                  <c:v>0.996</c:v>
                </c:pt>
                <c:pt idx="109">
                  <c:v>0.79300000000000004</c:v>
                </c:pt>
                <c:pt idx="110">
                  <c:v>0.78700000000000003</c:v>
                </c:pt>
                <c:pt idx="111">
                  <c:v>0.997</c:v>
                </c:pt>
                <c:pt idx="112">
                  <c:v>0.76600000000000001</c:v>
                </c:pt>
                <c:pt idx="113">
                  <c:v>0.78500000000000003</c:v>
                </c:pt>
                <c:pt idx="114">
                  <c:v>0.99399999999999999</c:v>
                </c:pt>
                <c:pt idx="115">
                  <c:v>0.78700000000000003</c:v>
                </c:pt>
                <c:pt idx="116">
                  <c:v>0.78300000000000003</c:v>
                </c:pt>
                <c:pt idx="117">
                  <c:v>0.77200000000000002</c:v>
                </c:pt>
                <c:pt idx="118">
                  <c:v>0.71699999999999997</c:v>
                </c:pt>
                <c:pt idx="119">
                  <c:v>0.76900000000000002</c:v>
                </c:pt>
                <c:pt idx="120">
                  <c:v>0.77200000000000002</c:v>
                </c:pt>
                <c:pt idx="121">
                  <c:v>0.78</c:v>
                </c:pt>
                <c:pt idx="122">
                  <c:v>0.78400000000000003</c:v>
                </c:pt>
                <c:pt idx="123">
                  <c:v>0.75800000000000001</c:v>
                </c:pt>
                <c:pt idx="124">
                  <c:v>0.78600000000000003</c:v>
                </c:pt>
                <c:pt idx="125">
                  <c:v>0.80600000000000005</c:v>
                </c:pt>
                <c:pt idx="126">
                  <c:v>0.76</c:v>
                </c:pt>
                <c:pt idx="127">
                  <c:v>0.55700000000000005</c:v>
                </c:pt>
                <c:pt idx="128">
                  <c:v>0.76</c:v>
                </c:pt>
                <c:pt idx="129">
                  <c:v>0.78</c:v>
                </c:pt>
                <c:pt idx="130">
                  <c:v>0.99299999999999999</c:v>
                </c:pt>
                <c:pt idx="131">
                  <c:v>0.997</c:v>
                </c:pt>
                <c:pt idx="132">
                  <c:v>0.997</c:v>
                </c:pt>
                <c:pt idx="133">
                  <c:v>0.997</c:v>
                </c:pt>
                <c:pt idx="134">
                  <c:v>0.995</c:v>
                </c:pt>
                <c:pt idx="135">
                  <c:v>0.78600000000000003</c:v>
                </c:pt>
                <c:pt idx="136">
                  <c:v>0.78900000000000003</c:v>
                </c:pt>
                <c:pt idx="137">
                  <c:v>0.78200000000000003</c:v>
                </c:pt>
                <c:pt idx="138">
                  <c:v>0.76200000000000001</c:v>
                </c:pt>
                <c:pt idx="139">
                  <c:v>0.99199999999999999</c:v>
                </c:pt>
                <c:pt idx="140">
                  <c:v>0.995</c:v>
                </c:pt>
                <c:pt idx="141">
                  <c:v>0.995</c:v>
                </c:pt>
                <c:pt idx="142">
                  <c:v>0.996</c:v>
                </c:pt>
                <c:pt idx="143">
                  <c:v>0.996</c:v>
                </c:pt>
                <c:pt idx="144">
                  <c:v>0.78600000000000003</c:v>
                </c:pt>
                <c:pt idx="145">
                  <c:v>0.79300000000000004</c:v>
                </c:pt>
                <c:pt idx="146">
                  <c:v>0.77200000000000002</c:v>
                </c:pt>
                <c:pt idx="147">
                  <c:v>0.56999999999999995</c:v>
                </c:pt>
                <c:pt idx="148">
                  <c:v>0.80500000000000005</c:v>
                </c:pt>
                <c:pt idx="149">
                  <c:v>0.79400000000000004</c:v>
                </c:pt>
                <c:pt idx="150">
                  <c:v>0.56499999999999995</c:v>
                </c:pt>
                <c:pt idx="151">
                  <c:v>0.76200000000000001</c:v>
                </c:pt>
                <c:pt idx="152">
                  <c:v>0.80600000000000005</c:v>
                </c:pt>
                <c:pt idx="153">
                  <c:v>0.98899999999999999</c:v>
                </c:pt>
                <c:pt idx="154">
                  <c:v>0.80100000000000005</c:v>
                </c:pt>
                <c:pt idx="155">
                  <c:v>0.995</c:v>
                </c:pt>
                <c:pt idx="156">
                  <c:v>0.78500000000000003</c:v>
                </c:pt>
                <c:pt idx="157">
                  <c:v>0.78400000000000003</c:v>
                </c:pt>
                <c:pt idx="158">
                  <c:v>0.79100000000000004</c:v>
                </c:pt>
                <c:pt idx="159">
                  <c:v>0.995</c:v>
                </c:pt>
                <c:pt idx="160">
                  <c:v>0.996</c:v>
                </c:pt>
                <c:pt idx="161">
                  <c:v>0.996</c:v>
                </c:pt>
                <c:pt idx="162">
                  <c:v>0.996</c:v>
                </c:pt>
                <c:pt idx="163">
                  <c:v>0.997</c:v>
                </c:pt>
                <c:pt idx="164">
                  <c:v>0.79200000000000004</c:v>
                </c:pt>
                <c:pt idx="165">
                  <c:v>0.995</c:v>
                </c:pt>
                <c:pt idx="166">
                  <c:v>0.78300000000000003</c:v>
                </c:pt>
                <c:pt idx="167">
                  <c:v>0.76600000000000001</c:v>
                </c:pt>
                <c:pt idx="168">
                  <c:v>0.76600000000000001</c:v>
                </c:pt>
                <c:pt idx="169">
                  <c:v>0.748</c:v>
                </c:pt>
                <c:pt idx="170">
                  <c:v>0.73599999999999999</c:v>
                </c:pt>
                <c:pt idx="171">
                  <c:v>0.79900000000000004</c:v>
                </c:pt>
                <c:pt idx="172">
                  <c:v>0.73899999999999999</c:v>
                </c:pt>
                <c:pt idx="173">
                  <c:v>0.78700000000000003</c:v>
                </c:pt>
                <c:pt idx="174">
                  <c:v>0.99399999999999999</c:v>
                </c:pt>
                <c:pt idx="175">
                  <c:v>0.997</c:v>
                </c:pt>
                <c:pt idx="176">
                  <c:v>0.996</c:v>
                </c:pt>
                <c:pt idx="177">
                  <c:v>0.999</c:v>
                </c:pt>
                <c:pt idx="178">
                  <c:v>0.78600000000000003</c:v>
                </c:pt>
                <c:pt idx="179">
                  <c:v>0.79</c:v>
                </c:pt>
                <c:pt idx="180">
                  <c:v>0.79400000000000004</c:v>
                </c:pt>
                <c:pt idx="181">
                  <c:v>0.78900000000000003</c:v>
                </c:pt>
                <c:pt idx="182">
                  <c:v>0.99299999999999999</c:v>
                </c:pt>
                <c:pt idx="183">
                  <c:v>0.78300000000000003</c:v>
                </c:pt>
                <c:pt idx="184">
                  <c:v>0.79</c:v>
                </c:pt>
                <c:pt idx="185">
                  <c:v>0.99399999999999999</c:v>
                </c:pt>
                <c:pt idx="186">
                  <c:v>0.78800000000000003</c:v>
                </c:pt>
                <c:pt idx="187">
                  <c:v>0.78600000000000003</c:v>
                </c:pt>
                <c:pt idx="188">
                  <c:v>0.77900000000000003</c:v>
                </c:pt>
                <c:pt idx="189">
                  <c:v>0.77200000000000002</c:v>
                </c:pt>
                <c:pt idx="190">
                  <c:v>0.78300000000000003</c:v>
                </c:pt>
                <c:pt idx="191">
                  <c:v>0.78100000000000003</c:v>
                </c:pt>
                <c:pt idx="192">
                  <c:v>0.78700000000000003</c:v>
                </c:pt>
                <c:pt idx="193">
                  <c:v>0.78600000000000003</c:v>
                </c:pt>
                <c:pt idx="194">
                  <c:v>0.79600000000000004</c:v>
                </c:pt>
                <c:pt idx="195">
                  <c:v>0.78800000000000003</c:v>
                </c:pt>
                <c:pt idx="196">
                  <c:v>0.99399999999999999</c:v>
                </c:pt>
                <c:pt idx="197">
                  <c:v>0.996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6B1-45D9-9EBB-AD9C12C50FCE}"/>
            </c:ext>
          </c:extLst>
        </c:ser>
        <c:ser>
          <c:idx val="9"/>
          <c:order val="9"/>
          <c:tx>
            <c:strRef>
              <c:f>'# Out FF'!$X$2</c:f>
              <c:strCache>
                <c:ptCount val="1"/>
                <c:pt idx="0">
                  <c:v>Run 10</c:v>
                </c:pt>
              </c:strCache>
            </c:strRef>
          </c:tx>
          <c:spPr>
            <a:ln w="19050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FF'!$N$3:$N$200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'# Out FF'!$X$3:$X$200</c:f>
              <c:numCache>
                <c:formatCode>General</c:formatCode>
                <c:ptCount val="198"/>
                <c:pt idx="0">
                  <c:v>1</c:v>
                </c:pt>
                <c:pt idx="1">
                  <c:v>0.998</c:v>
                </c:pt>
                <c:pt idx="2">
                  <c:v>0.999</c:v>
                </c:pt>
                <c:pt idx="3">
                  <c:v>0.999</c:v>
                </c:pt>
                <c:pt idx="4">
                  <c:v>0.78800000000000003</c:v>
                </c:pt>
                <c:pt idx="5">
                  <c:v>0.56999999999999995</c:v>
                </c:pt>
                <c:pt idx="6">
                  <c:v>0.752</c:v>
                </c:pt>
                <c:pt idx="7">
                  <c:v>0.55100000000000005</c:v>
                </c:pt>
                <c:pt idx="8">
                  <c:v>0.55600000000000005</c:v>
                </c:pt>
                <c:pt idx="9">
                  <c:v>0.77700000000000002</c:v>
                </c:pt>
                <c:pt idx="10">
                  <c:v>0.79500000000000004</c:v>
                </c:pt>
                <c:pt idx="11">
                  <c:v>0.78600000000000003</c:v>
                </c:pt>
                <c:pt idx="12">
                  <c:v>0.79900000000000004</c:v>
                </c:pt>
                <c:pt idx="13">
                  <c:v>0.79700000000000004</c:v>
                </c:pt>
                <c:pt idx="14">
                  <c:v>0.55900000000000005</c:v>
                </c:pt>
                <c:pt idx="15">
                  <c:v>0.76600000000000001</c:v>
                </c:pt>
                <c:pt idx="16">
                  <c:v>0.56000000000000005</c:v>
                </c:pt>
                <c:pt idx="17">
                  <c:v>0.84299999999999997</c:v>
                </c:pt>
                <c:pt idx="18">
                  <c:v>0.74299999999999999</c:v>
                </c:pt>
                <c:pt idx="19">
                  <c:v>0.67900000000000005</c:v>
                </c:pt>
                <c:pt idx="20">
                  <c:v>0.66300000000000003</c:v>
                </c:pt>
                <c:pt idx="21">
                  <c:v>0.47399999999999998</c:v>
                </c:pt>
                <c:pt idx="22">
                  <c:v>0.46400000000000002</c:v>
                </c:pt>
                <c:pt idx="23">
                  <c:v>0.46899999999999997</c:v>
                </c:pt>
                <c:pt idx="24">
                  <c:v>0.83099999999999996</c:v>
                </c:pt>
                <c:pt idx="25">
                  <c:v>0.745</c:v>
                </c:pt>
                <c:pt idx="26">
                  <c:v>0.76100000000000001</c:v>
                </c:pt>
                <c:pt idx="27">
                  <c:v>0.54600000000000004</c:v>
                </c:pt>
                <c:pt idx="28">
                  <c:v>0.69</c:v>
                </c:pt>
                <c:pt idx="29">
                  <c:v>0.746</c:v>
                </c:pt>
                <c:pt idx="30">
                  <c:v>0.57099999999999995</c:v>
                </c:pt>
                <c:pt idx="31">
                  <c:v>0.55400000000000005</c:v>
                </c:pt>
                <c:pt idx="32">
                  <c:v>0.68</c:v>
                </c:pt>
                <c:pt idx="33">
                  <c:v>0.69199999999999995</c:v>
                </c:pt>
                <c:pt idx="34">
                  <c:v>0.76</c:v>
                </c:pt>
                <c:pt idx="35">
                  <c:v>0.77600000000000002</c:v>
                </c:pt>
                <c:pt idx="36">
                  <c:v>0.75600000000000001</c:v>
                </c:pt>
                <c:pt idx="37">
                  <c:v>0.76</c:v>
                </c:pt>
                <c:pt idx="38">
                  <c:v>0.76600000000000001</c:v>
                </c:pt>
                <c:pt idx="39">
                  <c:v>0.68300000000000005</c:v>
                </c:pt>
                <c:pt idx="40">
                  <c:v>0.54800000000000004</c:v>
                </c:pt>
                <c:pt idx="41">
                  <c:v>0.72</c:v>
                </c:pt>
                <c:pt idx="42">
                  <c:v>0.72699999999999998</c:v>
                </c:pt>
                <c:pt idx="43">
                  <c:v>0.72699999999999998</c:v>
                </c:pt>
                <c:pt idx="44">
                  <c:v>0.78600000000000003</c:v>
                </c:pt>
                <c:pt idx="45">
                  <c:v>0.81100000000000005</c:v>
                </c:pt>
                <c:pt idx="46">
                  <c:v>0.79300000000000004</c:v>
                </c:pt>
                <c:pt idx="47">
                  <c:v>0.78300000000000003</c:v>
                </c:pt>
                <c:pt idx="48">
                  <c:v>0.79200000000000004</c:v>
                </c:pt>
                <c:pt idx="49">
                  <c:v>0.79700000000000004</c:v>
                </c:pt>
                <c:pt idx="50">
                  <c:v>0.8</c:v>
                </c:pt>
                <c:pt idx="51">
                  <c:v>0.79200000000000004</c:v>
                </c:pt>
                <c:pt idx="52">
                  <c:v>0.998</c:v>
                </c:pt>
                <c:pt idx="53">
                  <c:v>0.999</c:v>
                </c:pt>
                <c:pt idx="54">
                  <c:v>0.998</c:v>
                </c:pt>
                <c:pt idx="55">
                  <c:v>0.998</c:v>
                </c:pt>
                <c:pt idx="56">
                  <c:v>0.79700000000000004</c:v>
                </c:pt>
                <c:pt idx="57">
                  <c:v>0.997</c:v>
                </c:pt>
                <c:pt idx="58">
                  <c:v>0.78800000000000003</c:v>
                </c:pt>
                <c:pt idx="59">
                  <c:v>0.76</c:v>
                </c:pt>
                <c:pt idx="60">
                  <c:v>0.78700000000000003</c:v>
                </c:pt>
                <c:pt idx="61">
                  <c:v>0.77800000000000002</c:v>
                </c:pt>
                <c:pt idx="62">
                  <c:v>0.79800000000000004</c:v>
                </c:pt>
                <c:pt idx="63">
                  <c:v>0.55500000000000005</c:v>
                </c:pt>
                <c:pt idx="64">
                  <c:v>0.80200000000000005</c:v>
                </c:pt>
                <c:pt idx="65">
                  <c:v>0.55200000000000005</c:v>
                </c:pt>
                <c:pt idx="66">
                  <c:v>0.79</c:v>
                </c:pt>
                <c:pt idx="67">
                  <c:v>0.8</c:v>
                </c:pt>
                <c:pt idx="68">
                  <c:v>0.749</c:v>
                </c:pt>
                <c:pt idx="69">
                  <c:v>0.78100000000000003</c:v>
                </c:pt>
                <c:pt idx="70">
                  <c:v>0.79</c:v>
                </c:pt>
                <c:pt idx="71">
                  <c:v>0.77100000000000002</c:v>
                </c:pt>
                <c:pt idx="72">
                  <c:v>0.99399999999999999</c:v>
                </c:pt>
                <c:pt idx="73">
                  <c:v>0.78600000000000003</c:v>
                </c:pt>
                <c:pt idx="74">
                  <c:v>0.997</c:v>
                </c:pt>
                <c:pt idx="75">
                  <c:v>0.78600000000000003</c:v>
                </c:pt>
                <c:pt idx="76">
                  <c:v>0.79400000000000004</c:v>
                </c:pt>
                <c:pt idx="77">
                  <c:v>0.78800000000000003</c:v>
                </c:pt>
                <c:pt idx="78">
                  <c:v>0.997</c:v>
                </c:pt>
                <c:pt idx="79">
                  <c:v>0.79400000000000004</c:v>
                </c:pt>
                <c:pt idx="80">
                  <c:v>0.79800000000000004</c:v>
                </c:pt>
                <c:pt idx="81">
                  <c:v>0.78400000000000003</c:v>
                </c:pt>
                <c:pt idx="82">
                  <c:v>0.80200000000000005</c:v>
                </c:pt>
                <c:pt idx="83">
                  <c:v>0.99399999999999999</c:v>
                </c:pt>
                <c:pt idx="84">
                  <c:v>0.78500000000000003</c:v>
                </c:pt>
                <c:pt idx="85">
                  <c:v>0.996</c:v>
                </c:pt>
                <c:pt idx="86">
                  <c:v>0.79600000000000004</c:v>
                </c:pt>
                <c:pt idx="87">
                  <c:v>0.79300000000000004</c:v>
                </c:pt>
                <c:pt idx="88">
                  <c:v>0.79100000000000004</c:v>
                </c:pt>
                <c:pt idx="89">
                  <c:v>0.79500000000000004</c:v>
                </c:pt>
                <c:pt idx="90">
                  <c:v>0.997</c:v>
                </c:pt>
                <c:pt idx="91">
                  <c:v>0.998</c:v>
                </c:pt>
                <c:pt idx="92">
                  <c:v>0.998</c:v>
                </c:pt>
                <c:pt idx="93">
                  <c:v>0.997</c:v>
                </c:pt>
                <c:pt idx="94">
                  <c:v>0.79</c:v>
                </c:pt>
                <c:pt idx="95">
                  <c:v>0.997</c:v>
                </c:pt>
                <c:pt idx="96">
                  <c:v>0.998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6B1-45D9-9EBB-AD9C12C50FCE}"/>
            </c:ext>
          </c:extLst>
        </c:ser>
        <c:ser>
          <c:idx val="10"/>
          <c:order val="10"/>
          <c:tx>
            <c:strRef>
              <c:f>'# Out FF'!$Y$2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'# Out FF'!$N$3:$N$200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'# Out FF'!$Y$3:$Y$200</c:f>
              <c:numCache>
                <c:formatCode>General</c:formatCode>
                <c:ptCount val="198"/>
                <c:pt idx="0">
                  <c:v>1</c:v>
                </c:pt>
                <c:pt idx="1">
                  <c:v>0.99690000000000001</c:v>
                </c:pt>
                <c:pt idx="2">
                  <c:v>0.99720000000000009</c:v>
                </c:pt>
                <c:pt idx="3">
                  <c:v>0.99729999999999996</c:v>
                </c:pt>
                <c:pt idx="4">
                  <c:v>0.78539999999999999</c:v>
                </c:pt>
                <c:pt idx="5">
                  <c:v>0.80549999999999999</c:v>
                </c:pt>
                <c:pt idx="6">
                  <c:v>0.72089999999999999</c:v>
                </c:pt>
                <c:pt idx="7">
                  <c:v>0.67859999999999998</c:v>
                </c:pt>
                <c:pt idx="8">
                  <c:v>0.66839999999999999</c:v>
                </c:pt>
                <c:pt idx="9">
                  <c:v>0.63170000000000004</c:v>
                </c:pt>
                <c:pt idx="10">
                  <c:v>0.63029999999999997</c:v>
                </c:pt>
                <c:pt idx="11">
                  <c:v>0.58779999999999999</c:v>
                </c:pt>
                <c:pt idx="12">
                  <c:v>0.63479999999999992</c:v>
                </c:pt>
                <c:pt idx="13">
                  <c:v>0.6157999999999999</c:v>
                </c:pt>
                <c:pt idx="14">
                  <c:v>0.58020000000000005</c:v>
                </c:pt>
                <c:pt idx="15">
                  <c:v>0.64610000000000001</c:v>
                </c:pt>
                <c:pt idx="16">
                  <c:v>0.68389999999999995</c:v>
                </c:pt>
                <c:pt idx="17">
                  <c:v>0.69040000000000001</c:v>
                </c:pt>
                <c:pt idx="18">
                  <c:v>0.66879999999999995</c:v>
                </c:pt>
                <c:pt idx="19">
                  <c:v>0.69120000000000004</c:v>
                </c:pt>
                <c:pt idx="20">
                  <c:v>0.70799999999999996</c:v>
                </c:pt>
                <c:pt idx="21">
                  <c:v>0.70840000000000003</c:v>
                </c:pt>
                <c:pt idx="22">
                  <c:v>0.71099999999999997</c:v>
                </c:pt>
                <c:pt idx="23">
                  <c:v>0.64100000000000001</c:v>
                </c:pt>
                <c:pt idx="24">
                  <c:v>0.66739999999999999</c:v>
                </c:pt>
                <c:pt idx="25">
                  <c:v>0.76939999999999997</c:v>
                </c:pt>
                <c:pt idx="26">
                  <c:v>0.72560000000000002</c:v>
                </c:pt>
                <c:pt idx="27">
                  <c:v>0.71639999999999993</c:v>
                </c:pt>
                <c:pt idx="28">
                  <c:v>0.76829999999999998</c:v>
                </c:pt>
                <c:pt idx="29">
                  <c:v>0.67820000000000003</c:v>
                </c:pt>
                <c:pt idx="30">
                  <c:v>0.71879999999999999</c:v>
                </c:pt>
                <c:pt idx="31">
                  <c:v>0.6401</c:v>
                </c:pt>
                <c:pt idx="32">
                  <c:v>0.62990000000000002</c:v>
                </c:pt>
                <c:pt idx="33">
                  <c:v>0.64660000000000006</c:v>
                </c:pt>
                <c:pt idx="34">
                  <c:v>0.74870000000000003</c:v>
                </c:pt>
                <c:pt idx="35">
                  <c:v>0.75390000000000001</c:v>
                </c:pt>
                <c:pt idx="36">
                  <c:v>0.7883</c:v>
                </c:pt>
                <c:pt idx="37">
                  <c:v>0.76039999999999996</c:v>
                </c:pt>
                <c:pt idx="38">
                  <c:v>0.80220000000000002</c:v>
                </c:pt>
                <c:pt idx="39">
                  <c:v>0.74060000000000004</c:v>
                </c:pt>
                <c:pt idx="40">
                  <c:v>0.75060000000000004</c:v>
                </c:pt>
                <c:pt idx="41">
                  <c:v>0.76070000000000004</c:v>
                </c:pt>
                <c:pt idx="42">
                  <c:v>0.75290000000000001</c:v>
                </c:pt>
                <c:pt idx="43">
                  <c:v>0.80359999999999998</c:v>
                </c:pt>
                <c:pt idx="44">
                  <c:v>0.75949999999999995</c:v>
                </c:pt>
                <c:pt idx="45">
                  <c:v>0.77049999999999996</c:v>
                </c:pt>
                <c:pt idx="46">
                  <c:v>0.7631</c:v>
                </c:pt>
                <c:pt idx="47">
                  <c:v>0.77879999999999994</c:v>
                </c:pt>
                <c:pt idx="48">
                  <c:v>0.77579999999999993</c:v>
                </c:pt>
                <c:pt idx="49">
                  <c:v>0.77670000000000006</c:v>
                </c:pt>
                <c:pt idx="50">
                  <c:v>0.75590000000000002</c:v>
                </c:pt>
                <c:pt idx="51">
                  <c:v>0.75379999999999991</c:v>
                </c:pt>
                <c:pt idx="52">
                  <c:v>0.8217000000000001</c:v>
                </c:pt>
                <c:pt idx="53">
                  <c:v>0.81689999999999996</c:v>
                </c:pt>
                <c:pt idx="54">
                  <c:v>0.83260000000000001</c:v>
                </c:pt>
                <c:pt idx="55">
                  <c:v>0.82679999999999998</c:v>
                </c:pt>
                <c:pt idx="56">
                  <c:v>0.77079999999999993</c:v>
                </c:pt>
                <c:pt idx="57">
                  <c:v>0.80289999999999995</c:v>
                </c:pt>
                <c:pt idx="58">
                  <c:v>0.81710000000000005</c:v>
                </c:pt>
                <c:pt idx="59">
                  <c:v>0.75</c:v>
                </c:pt>
                <c:pt idx="60">
                  <c:v>0.80489999999999995</c:v>
                </c:pt>
                <c:pt idx="61">
                  <c:v>0.75249999999999995</c:v>
                </c:pt>
                <c:pt idx="62">
                  <c:v>0.80200000000000005</c:v>
                </c:pt>
                <c:pt idx="63">
                  <c:v>0.8012999999999999</c:v>
                </c:pt>
                <c:pt idx="64">
                  <c:v>0.82099999999999995</c:v>
                </c:pt>
                <c:pt idx="65">
                  <c:v>0.84510000000000007</c:v>
                </c:pt>
                <c:pt idx="66">
                  <c:v>0.87560000000000004</c:v>
                </c:pt>
                <c:pt idx="67">
                  <c:v>0.84729999999999994</c:v>
                </c:pt>
                <c:pt idx="68">
                  <c:v>0.82229999999999992</c:v>
                </c:pt>
                <c:pt idx="69">
                  <c:v>0.79910000000000003</c:v>
                </c:pt>
                <c:pt idx="70">
                  <c:v>0.84660000000000002</c:v>
                </c:pt>
                <c:pt idx="71">
                  <c:v>0.80959999999999999</c:v>
                </c:pt>
                <c:pt idx="72">
                  <c:v>0.82910000000000006</c:v>
                </c:pt>
                <c:pt idx="73">
                  <c:v>0.80710000000000004</c:v>
                </c:pt>
                <c:pt idx="74">
                  <c:v>0.93240000000000001</c:v>
                </c:pt>
                <c:pt idx="75">
                  <c:v>0.89360000000000006</c:v>
                </c:pt>
                <c:pt idx="76">
                  <c:v>0.90560000000000007</c:v>
                </c:pt>
                <c:pt idx="77">
                  <c:v>0.93559999999999999</c:v>
                </c:pt>
                <c:pt idx="78">
                  <c:v>0.8901</c:v>
                </c:pt>
                <c:pt idx="79">
                  <c:v>0.88960000000000006</c:v>
                </c:pt>
                <c:pt idx="80">
                  <c:v>0.89170000000000005</c:v>
                </c:pt>
                <c:pt idx="81">
                  <c:v>0.86029999999999995</c:v>
                </c:pt>
                <c:pt idx="82">
                  <c:v>0.91039999999999999</c:v>
                </c:pt>
                <c:pt idx="83">
                  <c:v>0.91349999999999998</c:v>
                </c:pt>
                <c:pt idx="84">
                  <c:v>0.89339999999999997</c:v>
                </c:pt>
                <c:pt idx="85">
                  <c:v>0.93879999999999997</c:v>
                </c:pt>
                <c:pt idx="86">
                  <c:v>0.93520000000000003</c:v>
                </c:pt>
                <c:pt idx="87">
                  <c:v>0.95479999999999998</c:v>
                </c:pt>
                <c:pt idx="88">
                  <c:v>0.91800000000000004</c:v>
                </c:pt>
                <c:pt idx="89">
                  <c:v>0.91859999999999997</c:v>
                </c:pt>
                <c:pt idx="90">
                  <c:v>0.97760000000000002</c:v>
                </c:pt>
                <c:pt idx="91">
                  <c:v>0.93740000000000001</c:v>
                </c:pt>
                <c:pt idx="92">
                  <c:v>0.93810000000000004</c:v>
                </c:pt>
                <c:pt idx="93">
                  <c:v>0.97839999999999994</c:v>
                </c:pt>
                <c:pt idx="94">
                  <c:v>0.92670000000000008</c:v>
                </c:pt>
                <c:pt idx="95">
                  <c:v>0.95910000000000006</c:v>
                </c:pt>
                <c:pt idx="96">
                  <c:v>0.95569999999999999</c:v>
                </c:pt>
                <c:pt idx="97">
                  <c:v>0.95650000000000002</c:v>
                </c:pt>
                <c:pt idx="98">
                  <c:v>0.93779999999999997</c:v>
                </c:pt>
                <c:pt idx="99">
                  <c:v>0.95669999999999999</c:v>
                </c:pt>
                <c:pt idx="100">
                  <c:v>0.95950000000000002</c:v>
                </c:pt>
                <c:pt idx="101">
                  <c:v>0.95679999999999998</c:v>
                </c:pt>
                <c:pt idx="102">
                  <c:v>0.97929999999999995</c:v>
                </c:pt>
                <c:pt idx="103">
                  <c:v>0.95760000000000001</c:v>
                </c:pt>
                <c:pt idx="104">
                  <c:v>0.95829999999999993</c:v>
                </c:pt>
                <c:pt idx="105">
                  <c:v>0.99860000000000004</c:v>
                </c:pt>
                <c:pt idx="106">
                  <c:v>0.97909999999999997</c:v>
                </c:pt>
                <c:pt idx="107">
                  <c:v>0.97960000000000003</c:v>
                </c:pt>
                <c:pt idx="108">
                  <c:v>0.97939999999999994</c:v>
                </c:pt>
                <c:pt idx="109">
                  <c:v>0.93840000000000001</c:v>
                </c:pt>
                <c:pt idx="110">
                  <c:v>0.94010000000000005</c:v>
                </c:pt>
                <c:pt idx="111">
                  <c:v>0.96099999999999997</c:v>
                </c:pt>
                <c:pt idx="112">
                  <c:v>0.93679999999999997</c:v>
                </c:pt>
                <c:pt idx="113">
                  <c:v>0.93910000000000005</c:v>
                </c:pt>
                <c:pt idx="114">
                  <c:v>0.97689999999999999</c:v>
                </c:pt>
                <c:pt idx="115">
                  <c:v>0.95699999999999996</c:v>
                </c:pt>
                <c:pt idx="116">
                  <c:v>0.95799999999999996</c:v>
                </c:pt>
                <c:pt idx="117">
                  <c:v>0.93200000000000005</c:v>
                </c:pt>
                <c:pt idx="118">
                  <c:v>0.95099999999999996</c:v>
                </c:pt>
                <c:pt idx="119">
                  <c:v>0.95729999999999993</c:v>
                </c:pt>
                <c:pt idx="120">
                  <c:v>0.95679999999999998</c:v>
                </c:pt>
                <c:pt idx="121">
                  <c:v>0.95740000000000003</c:v>
                </c:pt>
                <c:pt idx="122">
                  <c:v>0.97789999999999999</c:v>
                </c:pt>
                <c:pt idx="123">
                  <c:v>0.97560000000000002</c:v>
                </c:pt>
                <c:pt idx="124">
                  <c:v>0.97860000000000003</c:v>
                </c:pt>
                <c:pt idx="125">
                  <c:v>0.98060000000000003</c:v>
                </c:pt>
                <c:pt idx="126">
                  <c:v>0.97599999999999998</c:v>
                </c:pt>
                <c:pt idx="127">
                  <c:v>0.95569999999999999</c:v>
                </c:pt>
                <c:pt idx="128">
                  <c:v>0.97599999999999998</c:v>
                </c:pt>
                <c:pt idx="129">
                  <c:v>0.97799999999999998</c:v>
                </c:pt>
                <c:pt idx="130">
                  <c:v>0.99929999999999997</c:v>
                </c:pt>
                <c:pt idx="131">
                  <c:v>0.99970000000000003</c:v>
                </c:pt>
                <c:pt idx="132">
                  <c:v>0.99970000000000003</c:v>
                </c:pt>
                <c:pt idx="133">
                  <c:v>0.99970000000000003</c:v>
                </c:pt>
                <c:pt idx="134">
                  <c:v>0.99950000000000006</c:v>
                </c:pt>
                <c:pt idx="135">
                  <c:v>0.97860000000000003</c:v>
                </c:pt>
                <c:pt idx="136">
                  <c:v>0.97889999999999999</c:v>
                </c:pt>
                <c:pt idx="137">
                  <c:v>0.97820000000000007</c:v>
                </c:pt>
                <c:pt idx="138">
                  <c:v>0.97620000000000007</c:v>
                </c:pt>
                <c:pt idx="139">
                  <c:v>0.99920000000000009</c:v>
                </c:pt>
                <c:pt idx="140">
                  <c:v>0.99950000000000006</c:v>
                </c:pt>
                <c:pt idx="141">
                  <c:v>0.99950000000000006</c:v>
                </c:pt>
                <c:pt idx="142">
                  <c:v>0.99960000000000004</c:v>
                </c:pt>
                <c:pt idx="143">
                  <c:v>0.99960000000000004</c:v>
                </c:pt>
                <c:pt idx="144">
                  <c:v>0.97860000000000003</c:v>
                </c:pt>
                <c:pt idx="145">
                  <c:v>0.97929999999999995</c:v>
                </c:pt>
                <c:pt idx="146">
                  <c:v>0.97720000000000007</c:v>
                </c:pt>
                <c:pt idx="147">
                  <c:v>0.95699999999999996</c:v>
                </c:pt>
                <c:pt idx="148">
                  <c:v>0.98050000000000004</c:v>
                </c:pt>
                <c:pt idx="149">
                  <c:v>0.97939999999999994</c:v>
                </c:pt>
                <c:pt idx="150">
                  <c:v>0.95650000000000002</c:v>
                </c:pt>
                <c:pt idx="151">
                  <c:v>0.97620000000000007</c:v>
                </c:pt>
                <c:pt idx="152">
                  <c:v>0.98060000000000003</c:v>
                </c:pt>
                <c:pt idx="153">
                  <c:v>0.99890000000000001</c:v>
                </c:pt>
                <c:pt idx="154">
                  <c:v>0.98009999999999997</c:v>
                </c:pt>
                <c:pt idx="155">
                  <c:v>0.99950000000000006</c:v>
                </c:pt>
                <c:pt idx="156">
                  <c:v>0.97850000000000004</c:v>
                </c:pt>
                <c:pt idx="157">
                  <c:v>0.97839999999999994</c:v>
                </c:pt>
                <c:pt idx="158">
                  <c:v>0.97909999999999997</c:v>
                </c:pt>
                <c:pt idx="159">
                  <c:v>0.99950000000000006</c:v>
                </c:pt>
                <c:pt idx="160">
                  <c:v>0.99960000000000004</c:v>
                </c:pt>
                <c:pt idx="161">
                  <c:v>0.99960000000000004</c:v>
                </c:pt>
                <c:pt idx="162">
                  <c:v>0.99960000000000004</c:v>
                </c:pt>
                <c:pt idx="163">
                  <c:v>0.99970000000000003</c:v>
                </c:pt>
                <c:pt idx="164">
                  <c:v>0.97920000000000007</c:v>
                </c:pt>
                <c:pt idx="165">
                  <c:v>0.99950000000000006</c:v>
                </c:pt>
                <c:pt idx="166">
                  <c:v>0.97829999999999995</c:v>
                </c:pt>
                <c:pt idx="167">
                  <c:v>0.97660000000000002</c:v>
                </c:pt>
                <c:pt idx="168">
                  <c:v>0.97660000000000002</c:v>
                </c:pt>
                <c:pt idx="169">
                  <c:v>0.9748</c:v>
                </c:pt>
                <c:pt idx="170">
                  <c:v>0.97360000000000002</c:v>
                </c:pt>
                <c:pt idx="171">
                  <c:v>0.97989999999999999</c:v>
                </c:pt>
                <c:pt idx="172">
                  <c:v>0.97389999999999999</c:v>
                </c:pt>
                <c:pt idx="173">
                  <c:v>0.97870000000000001</c:v>
                </c:pt>
                <c:pt idx="174">
                  <c:v>0.99939999999999996</c:v>
                </c:pt>
                <c:pt idx="175">
                  <c:v>0.99970000000000003</c:v>
                </c:pt>
                <c:pt idx="176">
                  <c:v>0.99960000000000004</c:v>
                </c:pt>
                <c:pt idx="177">
                  <c:v>0.99990000000000001</c:v>
                </c:pt>
                <c:pt idx="178">
                  <c:v>0.97860000000000003</c:v>
                </c:pt>
                <c:pt idx="179">
                  <c:v>0.97899999999999998</c:v>
                </c:pt>
                <c:pt idx="180">
                  <c:v>0.97939999999999994</c:v>
                </c:pt>
                <c:pt idx="181">
                  <c:v>0.97889999999999999</c:v>
                </c:pt>
                <c:pt idx="182">
                  <c:v>0.99929999999999997</c:v>
                </c:pt>
                <c:pt idx="183">
                  <c:v>0.97829999999999995</c:v>
                </c:pt>
                <c:pt idx="184">
                  <c:v>0.97899999999999998</c:v>
                </c:pt>
                <c:pt idx="185">
                  <c:v>0.99939999999999996</c:v>
                </c:pt>
                <c:pt idx="186">
                  <c:v>0.9788</c:v>
                </c:pt>
                <c:pt idx="187">
                  <c:v>0.97860000000000003</c:v>
                </c:pt>
                <c:pt idx="188">
                  <c:v>0.97789999999999999</c:v>
                </c:pt>
                <c:pt idx="189">
                  <c:v>0.97720000000000007</c:v>
                </c:pt>
                <c:pt idx="190">
                  <c:v>0.97829999999999995</c:v>
                </c:pt>
                <c:pt idx="191">
                  <c:v>0.97809999999999997</c:v>
                </c:pt>
                <c:pt idx="192">
                  <c:v>0.97870000000000001</c:v>
                </c:pt>
                <c:pt idx="193">
                  <c:v>0.97860000000000003</c:v>
                </c:pt>
                <c:pt idx="194">
                  <c:v>0.97960000000000003</c:v>
                </c:pt>
                <c:pt idx="195">
                  <c:v>0.9788</c:v>
                </c:pt>
                <c:pt idx="196">
                  <c:v>0.99939999999999996</c:v>
                </c:pt>
                <c:pt idx="197">
                  <c:v>0.99960000000000004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6B1-45D9-9EBB-AD9C12C50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90784"/>
        <c:axId val="1318262624"/>
      </c:scatterChart>
      <c:valAx>
        <c:axId val="1077390784"/>
        <c:scaling>
          <c:orientation val="minMax"/>
          <c:max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62624"/>
        <c:crosses val="autoZero"/>
        <c:crossBetween val="midCat"/>
      </c:valAx>
      <c:valAx>
        <c:axId val="131826262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0784"/>
        <c:crosses val="autoZero"/>
        <c:crossBetween val="midCat"/>
        <c:majorUnit val="0.2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GraphsTime!$AE$1</c:f>
              <c:strCache>
                <c:ptCount val="1"/>
                <c:pt idx="0">
                  <c:v>Base Run</c:v>
                </c:pt>
              </c:strCache>
            </c:strRef>
          </c:tx>
          <c:spPr>
            <a:ln w="28575" cap="rnd">
              <a:solidFill>
                <a:schemeClr val="accent3">
                  <a:shade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yVal>
            <c:numRef>
              <c:f>GraphsTime!$AE$2:$AE$199</c:f>
              <c:numCache>
                <c:formatCode>General</c:formatCode>
                <c:ptCount val="198"/>
                <c:pt idx="0">
                  <c:v>2</c:v>
                </c:pt>
                <c:pt idx="1">
                  <c:v>4.0999999999999996</c:v>
                </c:pt>
                <c:pt idx="2">
                  <c:v>7.8</c:v>
                </c:pt>
                <c:pt idx="3">
                  <c:v>15</c:v>
                </c:pt>
                <c:pt idx="4">
                  <c:v>30.3</c:v>
                </c:pt>
                <c:pt idx="5">
                  <c:v>57.6</c:v>
                </c:pt>
                <c:pt idx="6">
                  <c:v>112.2</c:v>
                </c:pt>
                <c:pt idx="7">
                  <c:v>196.5</c:v>
                </c:pt>
                <c:pt idx="8">
                  <c:v>329</c:v>
                </c:pt>
                <c:pt idx="9">
                  <c:v>504.4</c:v>
                </c:pt>
                <c:pt idx="10">
                  <c:v>686</c:v>
                </c:pt>
                <c:pt idx="11">
                  <c:v>832.6</c:v>
                </c:pt>
                <c:pt idx="12">
                  <c:v>921.9</c:v>
                </c:pt>
                <c:pt idx="13">
                  <c:v>965.8</c:v>
                </c:pt>
                <c:pt idx="14">
                  <c:v>985.8</c:v>
                </c:pt>
                <c:pt idx="15">
                  <c:v>992.59999999999991</c:v>
                </c:pt>
                <c:pt idx="16">
                  <c:v>995.19999999999993</c:v>
                </c:pt>
                <c:pt idx="17">
                  <c:v>996.8</c:v>
                </c:pt>
                <c:pt idx="18">
                  <c:v>997.09999999999991</c:v>
                </c:pt>
                <c:pt idx="19">
                  <c:v>997.49999999999989</c:v>
                </c:pt>
                <c:pt idx="20">
                  <c:v>997.59999999999991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55-4565-BEC4-69952102B118}"/>
            </c:ext>
          </c:extLst>
        </c:ser>
        <c:ser>
          <c:idx val="1"/>
          <c:order val="1"/>
          <c:tx>
            <c:strRef>
              <c:f>GraphsTime!$AF$1</c:f>
              <c:strCache>
                <c:ptCount val="1"/>
                <c:pt idx="0">
                  <c:v>Symptom Information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yVal>
            <c:numRef>
              <c:f>GraphsTime!$AF$2:$AF$199</c:f>
              <c:numCache>
                <c:formatCode>General</c:formatCode>
                <c:ptCount val="198"/>
                <c:pt idx="0">
                  <c:v>2</c:v>
                </c:pt>
                <c:pt idx="1">
                  <c:v>4</c:v>
                </c:pt>
                <c:pt idx="2">
                  <c:v>8.5</c:v>
                </c:pt>
                <c:pt idx="3">
                  <c:v>15</c:v>
                </c:pt>
                <c:pt idx="4">
                  <c:v>23.8</c:v>
                </c:pt>
                <c:pt idx="5">
                  <c:v>38.6</c:v>
                </c:pt>
                <c:pt idx="6">
                  <c:v>60.1</c:v>
                </c:pt>
                <c:pt idx="7">
                  <c:v>93.7</c:v>
                </c:pt>
                <c:pt idx="8">
                  <c:v>136.4</c:v>
                </c:pt>
                <c:pt idx="9">
                  <c:v>193.60000000000002</c:v>
                </c:pt>
                <c:pt idx="10">
                  <c:v>261.10000000000002</c:v>
                </c:pt>
                <c:pt idx="11">
                  <c:v>336.90000000000003</c:v>
                </c:pt>
                <c:pt idx="12">
                  <c:v>418.6</c:v>
                </c:pt>
                <c:pt idx="13">
                  <c:v>493.8</c:v>
                </c:pt>
                <c:pt idx="14">
                  <c:v>557.20000000000005</c:v>
                </c:pt>
                <c:pt idx="15">
                  <c:v>606.90000000000009</c:v>
                </c:pt>
                <c:pt idx="16">
                  <c:v>640.90000000000009</c:v>
                </c:pt>
                <c:pt idx="17">
                  <c:v>664.7</c:v>
                </c:pt>
                <c:pt idx="18">
                  <c:v>679.40000000000009</c:v>
                </c:pt>
                <c:pt idx="19">
                  <c:v>688.50000000000011</c:v>
                </c:pt>
                <c:pt idx="20">
                  <c:v>693.30000000000007</c:v>
                </c:pt>
                <c:pt idx="21">
                  <c:v>696.40000000000009</c:v>
                </c:pt>
                <c:pt idx="22">
                  <c:v>698.50000000000011</c:v>
                </c:pt>
                <c:pt idx="23">
                  <c:v>699.70000000000016</c:v>
                </c:pt>
                <c:pt idx="24">
                  <c:v>700.50000000000011</c:v>
                </c:pt>
                <c:pt idx="25">
                  <c:v>701.00000000000011</c:v>
                </c:pt>
                <c:pt idx="26">
                  <c:v>701.20000000000016</c:v>
                </c:pt>
                <c:pt idx="27">
                  <c:v>701.30000000000018</c:v>
                </c:pt>
                <c:pt idx="28">
                  <c:v>701.4000000000002</c:v>
                </c:pt>
                <c:pt idx="29">
                  <c:v>701.4000000000002</c:v>
                </c:pt>
                <c:pt idx="30">
                  <c:v>701.4000000000002</c:v>
                </c:pt>
                <c:pt idx="31">
                  <c:v>701.4000000000002</c:v>
                </c:pt>
                <c:pt idx="32">
                  <c:v>701.4000000000002</c:v>
                </c:pt>
                <c:pt idx="33">
                  <c:v>701.4000000000002</c:v>
                </c:pt>
                <c:pt idx="34">
                  <c:v>701.4000000000002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55-4565-BEC4-69952102B118}"/>
            </c:ext>
          </c:extLst>
        </c:ser>
        <c:ser>
          <c:idx val="2"/>
          <c:order val="2"/>
          <c:tx>
            <c:strRef>
              <c:f>GraphsTime!$AG$1</c:f>
              <c:strCache>
                <c:ptCount val="1"/>
                <c:pt idx="0">
                  <c:v>Full Feedback</c:v>
                </c:pt>
              </c:strCache>
            </c:strRef>
          </c:tx>
          <c:spPr>
            <a:ln w="28575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GraphsTime!$AG$2:$AG$199</c:f>
              <c:numCache>
                <c:formatCode>General</c:formatCode>
                <c:ptCount val="198"/>
                <c:pt idx="0">
                  <c:v>2</c:v>
                </c:pt>
                <c:pt idx="1">
                  <c:v>4.2</c:v>
                </c:pt>
                <c:pt idx="2">
                  <c:v>8.4</c:v>
                </c:pt>
                <c:pt idx="3">
                  <c:v>15.3</c:v>
                </c:pt>
                <c:pt idx="4">
                  <c:v>22.5</c:v>
                </c:pt>
                <c:pt idx="5">
                  <c:v>32</c:v>
                </c:pt>
                <c:pt idx="6">
                  <c:v>41.9</c:v>
                </c:pt>
                <c:pt idx="7">
                  <c:v>52.8</c:v>
                </c:pt>
                <c:pt idx="8">
                  <c:v>62.699999999999996</c:v>
                </c:pt>
                <c:pt idx="9">
                  <c:v>71.899999999999991</c:v>
                </c:pt>
                <c:pt idx="10">
                  <c:v>82.8</c:v>
                </c:pt>
                <c:pt idx="11">
                  <c:v>92.1</c:v>
                </c:pt>
                <c:pt idx="12">
                  <c:v>99.699999999999989</c:v>
                </c:pt>
                <c:pt idx="13">
                  <c:v>106.99999999999999</c:v>
                </c:pt>
                <c:pt idx="14">
                  <c:v>113.29999999999998</c:v>
                </c:pt>
                <c:pt idx="15">
                  <c:v>119.19999999999999</c:v>
                </c:pt>
                <c:pt idx="16">
                  <c:v>125.39999999999999</c:v>
                </c:pt>
                <c:pt idx="17">
                  <c:v>132.1</c:v>
                </c:pt>
                <c:pt idx="18">
                  <c:v>138.79999999999998</c:v>
                </c:pt>
                <c:pt idx="19">
                  <c:v>145.99999999999997</c:v>
                </c:pt>
                <c:pt idx="20">
                  <c:v>153.19999999999996</c:v>
                </c:pt>
                <c:pt idx="21">
                  <c:v>158.99999999999997</c:v>
                </c:pt>
                <c:pt idx="22">
                  <c:v>165.29999999999998</c:v>
                </c:pt>
                <c:pt idx="23">
                  <c:v>170.2</c:v>
                </c:pt>
                <c:pt idx="24">
                  <c:v>175.6</c:v>
                </c:pt>
                <c:pt idx="25">
                  <c:v>183.29999999999998</c:v>
                </c:pt>
                <c:pt idx="26">
                  <c:v>190.29999999999998</c:v>
                </c:pt>
                <c:pt idx="27">
                  <c:v>198.1</c:v>
                </c:pt>
                <c:pt idx="28">
                  <c:v>205.9</c:v>
                </c:pt>
                <c:pt idx="29">
                  <c:v>212.9</c:v>
                </c:pt>
                <c:pt idx="30">
                  <c:v>218.4</c:v>
                </c:pt>
                <c:pt idx="31">
                  <c:v>221.9</c:v>
                </c:pt>
                <c:pt idx="32">
                  <c:v>226.5</c:v>
                </c:pt>
                <c:pt idx="33">
                  <c:v>230.4</c:v>
                </c:pt>
                <c:pt idx="34">
                  <c:v>234.5</c:v>
                </c:pt>
                <c:pt idx="35">
                  <c:v>239.5</c:v>
                </c:pt>
                <c:pt idx="36">
                  <c:v>243.9</c:v>
                </c:pt>
                <c:pt idx="37">
                  <c:v>246.9</c:v>
                </c:pt>
                <c:pt idx="38">
                  <c:v>252</c:v>
                </c:pt>
                <c:pt idx="39">
                  <c:v>255.4</c:v>
                </c:pt>
                <c:pt idx="40">
                  <c:v>260.2</c:v>
                </c:pt>
                <c:pt idx="41">
                  <c:v>264.09999999999997</c:v>
                </c:pt>
                <c:pt idx="42">
                  <c:v>267.79999999999995</c:v>
                </c:pt>
                <c:pt idx="43">
                  <c:v>271.89999999999998</c:v>
                </c:pt>
                <c:pt idx="44">
                  <c:v>275.39999999999998</c:v>
                </c:pt>
                <c:pt idx="45">
                  <c:v>279.59999999999997</c:v>
                </c:pt>
                <c:pt idx="46">
                  <c:v>283.7</c:v>
                </c:pt>
                <c:pt idx="47">
                  <c:v>287.8</c:v>
                </c:pt>
                <c:pt idx="48">
                  <c:v>291.8</c:v>
                </c:pt>
                <c:pt idx="49">
                  <c:v>295.3</c:v>
                </c:pt>
                <c:pt idx="50">
                  <c:v>297.60000000000002</c:v>
                </c:pt>
                <c:pt idx="51">
                  <c:v>300.60000000000002</c:v>
                </c:pt>
                <c:pt idx="52">
                  <c:v>303.8</c:v>
                </c:pt>
                <c:pt idx="53">
                  <c:v>307.3</c:v>
                </c:pt>
                <c:pt idx="54">
                  <c:v>310.2</c:v>
                </c:pt>
                <c:pt idx="55">
                  <c:v>313.7</c:v>
                </c:pt>
                <c:pt idx="56">
                  <c:v>316.59999999999997</c:v>
                </c:pt>
                <c:pt idx="57">
                  <c:v>319.59999999999997</c:v>
                </c:pt>
                <c:pt idx="58">
                  <c:v>322.89999999999998</c:v>
                </c:pt>
                <c:pt idx="59">
                  <c:v>324.7</c:v>
                </c:pt>
                <c:pt idx="60">
                  <c:v>326.89999999999998</c:v>
                </c:pt>
                <c:pt idx="61">
                  <c:v>328.4</c:v>
                </c:pt>
                <c:pt idx="62">
                  <c:v>329.9</c:v>
                </c:pt>
                <c:pt idx="63">
                  <c:v>331.5</c:v>
                </c:pt>
                <c:pt idx="64">
                  <c:v>333.1</c:v>
                </c:pt>
                <c:pt idx="65">
                  <c:v>335.1</c:v>
                </c:pt>
                <c:pt idx="66">
                  <c:v>337.5</c:v>
                </c:pt>
                <c:pt idx="67">
                  <c:v>339</c:v>
                </c:pt>
                <c:pt idx="68">
                  <c:v>340.4</c:v>
                </c:pt>
                <c:pt idx="69">
                  <c:v>342</c:v>
                </c:pt>
                <c:pt idx="70">
                  <c:v>342.5</c:v>
                </c:pt>
                <c:pt idx="71">
                  <c:v>343.2</c:v>
                </c:pt>
                <c:pt idx="72">
                  <c:v>344.5</c:v>
                </c:pt>
                <c:pt idx="73">
                  <c:v>345.2</c:v>
                </c:pt>
                <c:pt idx="74">
                  <c:v>346.3</c:v>
                </c:pt>
                <c:pt idx="75">
                  <c:v>347.8</c:v>
                </c:pt>
                <c:pt idx="76">
                  <c:v>348.8</c:v>
                </c:pt>
                <c:pt idx="77">
                  <c:v>351.1</c:v>
                </c:pt>
                <c:pt idx="78">
                  <c:v>352.5</c:v>
                </c:pt>
                <c:pt idx="79">
                  <c:v>353</c:v>
                </c:pt>
                <c:pt idx="80">
                  <c:v>354.1</c:v>
                </c:pt>
                <c:pt idx="81">
                  <c:v>354.5</c:v>
                </c:pt>
                <c:pt idx="82">
                  <c:v>355</c:v>
                </c:pt>
                <c:pt idx="83">
                  <c:v>355.5</c:v>
                </c:pt>
                <c:pt idx="84">
                  <c:v>355.9</c:v>
                </c:pt>
                <c:pt idx="85">
                  <c:v>356.29999999999995</c:v>
                </c:pt>
                <c:pt idx="86">
                  <c:v>356.59999999999997</c:v>
                </c:pt>
                <c:pt idx="87">
                  <c:v>357.09999999999997</c:v>
                </c:pt>
                <c:pt idx="88">
                  <c:v>357.59999999999997</c:v>
                </c:pt>
                <c:pt idx="89">
                  <c:v>357.79999999999995</c:v>
                </c:pt>
                <c:pt idx="90">
                  <c:v>358.79999999999995</c:v>
                </c:pt>
                <c:pt idx="91">
                  <c:v>358.99999999999994</c:v>
                </c:pt>
                <c:pt idx="92">
                  <c:v>359.39999999999992</c:v>
                </c:pt>
                <c:pt idx="93">
                  <c:v>360.19999999999993</c:v>
                </c:pt>
                <c:pt idx="94">
                  <c:v>360.79999999999995</c:v>
                </c:pt>
                <c:pt idx="95">
                  <c:v>361.29999999999995</c:v>
                </c:pt>
                <c:pt idx="96">
                  <c:v>361.59999999999997</c:v>
                </c:pt>
                <c:pt idx="97">
                  <c:v>362.29999999999995</c:v>
                </c:pt>
                <c:pt idx="98">
                  <c:v>362.4</c:v>
                </c:pt>
                <c:pt idx="99">
                  <c:v>362.79999999999995</c:v>
                </c:pt>
                <c:pt idx="100">
                  <c:v>362.99999999999994</c:v>
                </c:pt>
                <c:pt idx="101">
                  <c:v>362.99999999999994</c:v>
                </c:pt>
                <c:pt idx="102">
                  <c:v>363.19999999999993</c:v>
                </c:pt>
                <c:pt idx="103">
                  <c:v>363.29999999999995</c:v>
                </c:pt>
                <c:pt idx="104">
                  <c:v>363.4</c:v>
                </c:pt>
                <c:pt idx="105">
                  <c:v>363.9</c:v>
                </c:pt>
                <c:pt idx="106">
                  <c:v>364.2</c:v>
                </c:pt>
                <c:pt idx="107">
                  <c:v>364.4</c:v>
                </c:pt>
                <c:pt idx="108">
                  <c:v>364.9</c:v>
                </c:pt>
                <c:pt idx="109">
                  <c:v>365.5</c:v>
                </c:pt>
                <c:pt idx="110">
                  <c:v>365.8</c:v>
                </c:pt>
                <c:pt idx="111">
                  <c:v>366.2</c:v>
                </c:pt>
                <c:pt idx="112">
                  <c:v>366.8</c:v>
                </c:pt>
                <c:pt idx="113">
                  <c:v>367.40000000000003</c:v>
                </c:pt>
                <c:pt idx="114">
                  <c:v>368.50000000000006</c:v>
                </c:pt>
                <c:pt idx="115">
                  <c:v>369.10000000000008</c:v>
                </c:pt>
                <c:pt idx="116">
                  <c:v>369.50000000000006</c:v>
                </c:pt>
                <c:pt idx="117">
                  <c:v>369.80000000000007</c:v>
                </c:pt>
                <c:pt idx="118">
                  <c:v>369.90000000000009</c:v>
                </c:pt>
                <c:pt idx="119">
                  <c:v>370.2000000000001</c:v>
                </c:pt>
                <c:pt idx="120">
                  <c:v>370.40000000000009</c:v>
                </c:pt>
                <c:pt idx="121">
                  <c:v>370.80000000000007</c:v>
                </c:pt>
                <c:pt idx="122">
                  <c:v>371.10000000000008</c:v>
                </c:pt>
                <c:pt idx="123">
                  <c:v>371.60000000000008</c:v>
                </c:pt>
                <c:pt idx="124">
                  <c:v>371.90000000000009</c:v>
                </c:pt>
                <c:pt idx="125">
                  <c:v>372.00000000000011</c:v>
                </c:pt>
                <c:pt idx="126">
                  <c:v>372.00000000000011</c:v>
                </c:pt>
                <c:pt idx="127">
                  <c:v>372.00000000000011</c:v>
                </c:pt>
                <c:pt idx="128">
                  <c:v>372.00000000000011</c:v>
                </c:pt>
                <c:pt idx="129">
                  <c:v>372.00000000000011</c:v>
                </c:pt>
                <c:pt idx="130">
                  <c:v>372.00000000000011</c:v>
                </c:pt>
                <c:pt idx="131">
                  <c:v>372.2000000000001</c:v>
                </c:pt>
                <c:pt idx="132">
                  <c:v>372.30000000000013</c:v>
                </c:pt>
                <c:pt idx="133">
                  <c:v>372.50000000000011</c:v>
                </c:pt>
                <c:pt idx="134">
                  <c:v>372.80000000000013</c:v>
                </c:pt>
                <c:pt idx="135">
                  <c:v>372.80000000000013</c:v>
                </c:pt>
                <c:pt idx="136">
                  <c:v>372.80000000000013</c:v>
                </c:pt>
                <c:pt idx="137">
                  <c:v>372.80000000000013</c:v>
                </c:pt>
                <c:pt idx="138">
                  <c:v>372.80000000000013</c:v>
                </c:pt>
                <c:pt idx="139">
                  <c:v>372.80000000000013</c:v>
                </c:pt>
                <c:pt idx="140">
                  <c:v>373.00000000000011</c:v>
                </c:pt>
                <c:pt idx="141">
                  <c:v>373.10000000000014</c:v>
                </c:pt>
                <c:pt idx="142">
                  <c:v>373.40000000000015</c:v>
                </c:pt>
                <c:pt idx="143">
                  <c:v>373.90000000000015</c:v>
                </c:pt>
                <c:pt idx="144">
                  <c:v>374.30000000000013</c:v>
                </c:pt>
                <c:pt idx="145">
                  <c:v>374.7000000000001</c:v>
                </c:pt>
                <c:pt idx="146">
                  <c:v>375.2000000000001</c:v>
                </c:pt>
                <c:pt idx="147">
                  <c:v>375.50000000000011</c:v>
                </c:pt>
                <c:pt idx="148">
                  <c:v>375.90000000000009</c:v>
                </c:pt>
                <c:pt idx="149">
                  <c:v>375.90000000000009</c:v>
                </c:pt>
                <c:pt idx="150">
                  <c:v>376.10000000000008</c:v>
                </c:pt>
                <c:pt idx="151">
                  <c:v>376.10000000000008</c:v>
                </c:pt>
                <c:pt idx="152">
                  <c:v>376.2000000000001</c:v>
                </c:pt>
                <c:pt idx="153">
                  <c:v>376.30000000000013</c:v>
                </c:pt>
                <c:pt idx="154">
                  <c:v>376.40000000000015</c:v>
                </c:pt>
                <c:pt idx="155">
                  <c:v>376.40000000000015</c:v>
                </c:pt>
                <c:pt idx="156">
                  <c:v>376.40000000000015</c:v>
                </c:pt>
                <c:pt idx="157">
                  <c:v>376.40000000000015</c:v>
                </c:pt>
                <c:pt idx="158">
                  <c:v>376.40000000000015</c:v>
                </c:pt>
                <c:pt idx="159">
                  <c:v>376.40000000000015</c:v>
                </c:pt>
                <c:pt idx="160">
                  <c:v>376.50000000000017</c:v>
                </c:pt>
                <c:pt idx="161">
                  <c:v>376.50000000000017</c:v>
                </c:pt>
                <c:pt idx="162">
                  <c:v>376.70000000000016</c:v>
                </c:pt>
                <c:pt idx="163">
                  <c:v>377.00000000000017</c:v>
                </c:pt>
                <c:pt idx="164">
                  <c:v>377.30000000000018</c:v>
                </c:pt>
                <c:pt idx="165">
                  <c:v>377.9000000000002</c:v>
                </c:pt>
                <c:pt idx="166">
                  <c:v>378.50000000000023</c:v>
                </c:pt>
                <c:pt idx="167">
                  <c:v>378.9000000000002</c:v>
                </c:pt>
                <c:pt idx="168">
                  <c:v>379.50000000000023</c:v>
                </c:pt>
                <c:pt idx="169">
                  <c:v>379.70000000000022</c:v>
                </c:pt>
                <c:pt idx="170">
                  <c:v>379.70000000000022</c:v>
                </c:pt>
                <c:pt idx="171">
                  <c:v>379.70000000000022</c:v>
                </c:pt>
                <c:pt idx="172">
                  <c:v>379.70000000000022</c:v>
                </c:pt>
                <c:pt idx="173">
                  <c:v>379.70000000000022</c:v>
                </c:pt>
                <c:pt idx="174">
                  <c:v>379.80000000000024</c:v>
                </c:pt>
                <c:pt idx="175">
                  <c:v>379.90000000000026</c:v>
                </c:pt>
                <c:pt idx="176">
                  <c:v>380.00000000000028</c:v>
                </c:pt>
                <c:pt idx="177">
                  <c:v>380.20000000000027</c:v>
                </c:pt>
                <c:pt idx="178">
                  <c:v>380.20000000000027</c:v>
                </c:pt>
                <c:pt idx="179">
                  <c:v>380.3000000000003</c:v>
                </c:pt>
                <c:pt idx="180">
                  <c:v>380.40000000000032</c:v>
                </c:pt>
                <c:pt idx="181">
                  <c:v>380.40000000000032</c:v>
                </c:pt>
                <c:pt idx="182">
                  <c:v>380.60000000000031</c:v>
                </c:pt>
                <c:pt idx="183">
                  <c:v>380.70000000000033</c:v>
                </c:pt>
                <c:pt idx="184">
                  <c:v>380.80000000000035</c:v>
                </c:pt>
                <c:pt idx="185">
                  <c:v>380.90000000000038</c:v>
                </c:pt>
                <c:pt idx="186">
                  <c:v>381.10000000000036</c:v>
                </c:pt>
                <c:pt idx="187">
                  <c:v>381.30000000000035</c:v>
                </c:pt>
                <c:pt idx="188">
                  <c:v>381.40000000000038</c:v>
                </c:pt>
                <c:pt idx="189">
                  <c:v>381.5000000000004</c:v>
                </c:pt>
                <c:pt idx="190">
                  <c:v>381.60000000000042</c:v>
                </c:pt>
                <c:pt idx="191">
                  <c:v>381.70000000000044</c:v>
                </c:pt>
                <c:pt idx="192">
                  <c:v>381.70000000000044</c:v>
                </c:pt>
                <c:pt idx="193">
                  <c:v>381.70000000000044</c:v>
                </c:pt>
                <c:pt idx="194">
                  <c:v>381.70000000000044</c:v>
                </c:pt>
                <c:pt idx="195">
                  <c:v>381.70000000000044</c:v>
                </c:pt>
                <c:pt idx="196">
                  <c:v>381.70000000000044</c:v>
                </c:pt>
                <c:pt idx="197">
                  <c:v>381.70000000000044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55-4565-BEC4-69952102B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503200"/>
        <c:axId val="324975408"/>
      </c:scatterChart>
      <c:valAx>
        <c:axId val="1843503200"/>
        <c:scaling>
          <c:orientation val="minMax"/>
          <c:max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75408"/>
        <c:crosses val="autoZero"/>
        <c:crossBetween val="midCat"/>
        <c:minorUnit val="1"/>
      </c:valAx>
      <c:valAx>
        <c:axId val="324975408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Cu</a:t>
                </a:r>
                <a:r>
                  <a:rPr lang="en-US"/>
                  <a:t>mmulative Infected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503200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Graphs Means'!$Y$5</c:f>
              <c:strCache>
                <c:ptCount val="1"/>
                <c:pt idx="0">
                  <c:v>Average of Average for 25ts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 w="22225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'Bar Graphs Means'!$F$4:$H$4</c:f>
                <c:numCache>
                  <c:formatCode>General</c:formatCode>
                  <c:ptCount val="3"/>
                  <c:pt idx="0">
                    <c:v>5.4399999999987791E-4</c:v>
                  </c:pt>
                  <c:pt idx="1">
                    <c:v>0.11065199999999997</c:v>
                  </c:pt>
                  <c:pt idx="2">
                    <c:v>3.4264000000000183E-2</c:v>
                  </c:pt>
                </c:numCache>
              </c:numRef>
            </c:plus>
            <c:minus>
              <c:numRef>
                <c:f>'Bar Graphs Means'!$F$3:$H$3</c:f>
                <c:numCache>
                  <c:formatCode>General</c:formatCode>
                  <c:ptCount val="3"/>
                  <c:pt idx="0">
                    <c:v>1.4960000000000528E-3</c:v>
                  </c:pt>
                  <c:pt idx="1">
                    <c:v>1.8587999999999938E-2</c:v>
                  </c:pt>
                  <c:pt idx="2">
                    <c:v>6.5055999999999892E-2</c:v>
                  </c:pt>
                </c:numCache>
              </c:numRef>
            </c:minus>
            <c:spPr>
              <a:noFill/>
              <a:ln w="19050" cap="flat" cmpd="sng" algn="ctr">
                <a:solidFill>
                  <a:srgbClr val="C00000"/>
                </a:solidFill>
                <a:round/>
              </a:ln>
              <a:effectLst/>
            </c:spPr>
          </c:errBars>
          <c:cat>
            <c:strRef>
              <c:f>'Bar Graphs Means'!$B$1:$D$1</c:f>
              <c:strCache>
                <c:ptCount val="3"/>
                <c:pt idx="0">
                  <c:v>Base Run</c:v>
                </c:pt>
                <c:pt idx="1">
                  <c:v>Symptom Information</c:v>
                </c:pt>
                <c:pt idx="2">
                  <c:v>Full Feedback</c:v>
                </c:pt>
              </c:strCache>
            </c:strRef>
          </c:cat>
          <c:val>
            <c:numRef>
              <c:f>'Bar Graphs Means'!$B$2:$D$2</c:f>
              <c:numCache>
                <c:formatCode>General</c:formatCode>
                <c:ptCount val="3"/>
                <c:pt idx="0">
                  <c:v>0.99945600000000012</c:v>
                </c:pt>
                <c:pt idx="1">
                  <c:v>0.88902800000000004</c:v>
                </c:pt>
                <c:pt idx="2">
                  <c:v>0.71665599999999985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E-424C-8321-D60D77AD3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6330032"/>
        <c:axId val="1663089040"/>
      </c:barChart>
      <c:catAx>
        <c:axId val="27633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089040"/>
        <c:crosses val="autoZero"/>
        <c:auto val="1"/>
        <c:lblAlgn val="ctr"/>
        <c:lblOffset val="100"/>
        <c:noMultiLvlLbl val="0"/>
      </c:catAx>
      <c:valAx>
        <c:axId val="16630890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mobility in the first 30 time steps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33003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50000"/>
              </a:schemeClr>
            </a:solidFill>
            <a:ln w="22225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'Bar Graphs Means'!$S$4:$U$4</c:f>
                <c:numCache>
                  <c:formatCode>General</c:formatCode>
                  <c:ptCount val="3"/>
                  <c:pt idx="0">
                    <c:v>2.3999999999999773</c:v>
                  </c:pt>
                  <c:pt idx="1">
                    <c:v>110.60000000000002</c:v>
                  </c:pt>
                  <c:pt idx="2">
                    <c:v>121.30000000000001</c:v>
                  </c:pt>
                </c:numCache>
              </c:numRef>
            </c:plus>
            <c:minus>
              <c:numRef>
                <c:f>'Bar Graphs Means'!$S$3:$U$3</c:f>
                <c:numCache>
                  <c:formatCode>General</c:formatCode>
                  <c:ptCount val="3"/>
                  <c:pt idx="0">
                    <c:v>4.6000000000000227</c:v>
                  </c:pt>
                  <c:pt idx="1">
                    <c:v>699.4</c:v>
                  </c:pt>
                  <c:pt idx="2">
                    <c:v>145.69999999999999</c:v>
                  </c:pt>
                </c:numCache>
              </c:numRef>
            </c:minus>
            <c:spPr>
              <a:noFill/>
              <a:ln w="19050" cap="flat" cmpd="sng" algn="ctr">
                <a:solidFill>
                  <a:srgbClr val="C00000"/>
                </a:solidFill>
                <a:round/>
              </a:ln>
              <a:effectLst/>
            </c:spPr>
          </c:errBars>
          <c:cat>
            <c:strRef>
              <c:f>'Bar Graphs Means'!$O$1:$Q$1</c:f>
              <c:strCache>
                <c:ptCount val="3"/>
                <c:pt idx="0">
                  <c:v>Base Run</c:v>
                </c:pt>
                <c:pt idx="1">
                  <c:v>Symptom Information</c:v>
                </c:pt>
                <c:pt idx="2">
                  <c:v>Full Feedback</c:v>
                </c:pt>
              </c:strCache>
            </c:strRef>
          </c:cat>
          <c:val>
            <c:numRef>
              <c:f>'Bar Graphs Means'!$O$2:$Q$2</c:f>
              <c:numCache>
                <c:formatCode>General</c:formatCode>
                <c:ptCount val="3"/>
                <c:pt idx="0">
                  <c:v>997.6</c:v>
                </c:pt>
                <c:pt idx="1">
                  <c:v>701.4</c:v>
                </c:pt>
                <c:pt idx="2">
                  <c:v>381.7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B-49C8-98C4-95C6B3A69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144848"/>
        <c:axId val="146862496"/>
      </c:barChart>
      <c:catAx>
        <c:axId val="179914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62496"/>
        <c:crosses val="autoZero"/>
        <c:auto val="1"/>
        <c:lblAlgn val="ctr"/>
        <c:lblOffset val="100"/>
        <c:noMultiLvlLbl val="0"/>
      </c:catAx>
      <c:valAx>
        <c:axId val="14686249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Cumulative Cases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144848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2225">
              <a:solidFill>
                <a:schemeClr val="tx1"/>
              </a:solidFill>
            </a:ln>
            <a:effectLst/>
          </c:spPr>
          <c:invertIfNegative val="0"/>
          <c:cat>
            <c:strRef>
              <c:f>'Bar Graphs Means'!$Z$1:$AB$4</c:f>
              <c:strCache>
                <c:ptCount val="3"/>
                <c:pt idx="0">
                  <c:v>Base Run</c:v>
                </c:pt>
                <c:pt idx="1">
                  <c:v>Symptom Information</c:v>
                </c:pt>
                <c:pt idx="2">
                  <c:v>Full Feedback</c:v>
                </c:pt>
              </c:strCache>
            </c:strRef>
          </c:cat>
          <c:val>
            <c:numRef>
              <c:f>'Bar Graphs Means'!$Z$5:$AB$5</c:f>
              <c:numCache>
                <c:formatCode>General</c:formatCode>
                <c:ptCount val="3"/>
                <c:pt idx="0">
                  <c:v>202</c:v>
                </c:pt>
                <c:pt idx="1">
                  <c:v>114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A-4F85-B850-B4CC4A80E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144848"/>
        <c:axId val="146862496"/>
      </c:barChart>
      <c:catAx>
        <c:axId val="179914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62496"/>
        <c:crosses val="autoZero"/>
        <c:auto val="1"/>
        <c:lblAlgn val="ctr"/>
        <c:lblOffset val="100"/>
        <c:noMultiLvlLbl val="0"/>
      </c:catAx>
      <c:valAx>
        <c:axId val="146862496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144848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50000"/>
              </a:schemeClr>
            </a:solidFill>
            <a:ln w="22225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'Bar Graphs Means'!$AJ$4:$AL$4</c:f>
                <c:numCache>
                  <c:formatCode>General</c:formatCode>
                  <c:ptCount val="3"/>
                  <c:pt idx="0">
                    <c:v>2.1000000000000014</c:v>
                  </c:pt>
                  <c:pt idx="1">
                    <c:v>6</c:v>
                  </c:pt>
                  <c:pt idx="2">
                    <c:v>98.5</c:v>
                  </c:pt>
                </c:numCache>
              </c:numRef>
            </c:plus>
            <c:minus>
              <c:numRef>
                <c:f>'Bar Graphs Means'!$AJ$3:$AL$3</c:f>
                <c:numCache>
                  <c:formatCode>General</c:formatCode>
                  <c:ptCount val="3"/>
                  <c:pt idx="0">
                    <c:v>1.8999999999999986</c:v>
                  </c:pt>
                  <c:pt idx="1">
                    <c:v>22</c:v>
                  </c:pt>
                  <c:pt idx="2">
                    <c:v>45.5</c:v>
                  </c:pt>
                </c:numCache>
              </c:numRef>
            </c:minus>
            <c:spPr>
              <a:noFill/>
              <a:ln w="19050" cap="flat" cmpd="sng" algn="ctr">
                <a:solidFill>
                  <a:srgbClr val="C00000"/>
                </a:solidFill>
                <a:round/>
              </a:ln>
              <a:effectLst/>
            </c:spPr>
          </c:errBars>
          <c:cat>
            <c:strRef>
              <c:f>'Bar Graphs Means'!$AF$1:$AH$1</c:f>
              <c:strCache>
                <c:ptCount val="3"/>
                <c:pt idx="0">
                  <c:v>Base Run</c:v>
                </c:pt>
                <c:pt idx="1">
                  <c:v>Symptom Information</c:v>
                </c:pt>
                <c:pt idx="2">
                  <c:v>Full Feedback</c:v>
                </c:pt>
              </c:strCache>
            </c:strRef>
          </c:cat>
          <c:val>
            <c:numRef>
              <c:f>'Bar Graphs Means'!$AF$2:$AH$2</c:f>
              <c:numCache>
                <c:formatCode>General</c:formatCode>
                <c:ptCount val="3"/>
                <c:pt idx="0">
                  <c:v>23.9</c:v>
                </c:pt>
                <c:pt idx="1">
                  <c:v>28</c:v>
                </c:pt>
                <c:pt idx="2">
                  <c:v>98.5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7-400E-8FBE-E3E51A0AC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144848"/>
        <c:axId val="146862496"/>
      </c:barChart>
      <c:catAx>
        <c:axId val="179914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62496"/>
        <c:crosses val="autoZero"/>
        <c:auto val="1"/>
        <c:lblAlgn val="ctr"/>
        <c:lblOffset val="100"/>
        <c:noMultiLvlLbl val="0"/>
      </c:catAx>
      <c:valAx>
        <c:axId val="146862496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Epidemic Duration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14484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Graphs Means'!$Z$4:$AB$4</c:f>
              <c:strCache>
                <c:ptCount val="3"/>
                <c:pt idx="0">
                  <c:v>Base Run</c:v>
                </c:pt>
                <c:pt idx="1">
                  <c:v>Symptom Information</c:v>
                </c:pt>
                <c:pt idx="2">
                  <c:v>Full Feedback</c:v>
                </c:pt>
              </c:strCache>
            </c:strRef>
          </c:tx>
          <c:spPr>
            <a:solidFill>
              <a:schemeClr val="accent1"/>
            </a:solidFill>
            <a:ln w="22225">
              <a:solidFill>
                <a:schemeClr val="tx1"/>
              </a:solidFill>
            </a:ln>
            <a:effectLst/>
          </c:spPr>
          <c:invertIfNegative val="0"/>
          <c:cat>
            <c:strRef>
              <c:f>'Bar Graphs Means'!$Z$4:$AB$4</c:f>
              <c:strCache>
                <c:ptCount val="3"/>
                <c:pt idx="0">
                  <c:v>Base Run</c:v>
                </c:pt>
                <c:pt idx="1">
                  <c:v>Symptom Information</c:v>
                </c:pt>
                <c:pt idx="2">
                  <c:v>Full Feedback</c:v>
                </c:pt>
              </c:strCache>
            </c:strRef>
          </c:cat>
          <c:val>
            <c:numRef>
              <c:f>'Bar Graphs Means'!$Z$5:$AB$5</c:f>
              <c:numCache>
                <c:formatCode>General</c:formatCode>
                <c:ptCount val="3"/>
                <c:pt idx="0">
                  <c:v>202</c:v>
                </c:pt>
                <c:pt idx="1">
                  <c:v>114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C-4563-80AD-709AFDE33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8936928"/>
        <c:axId val="1157948464"/>
      </c:barChart>
      <c:lineChart>
        <c:grouping val="standard"/>
        <c:varyColors val="0"/>
        <c:ser>
          <c:idx val="1"/>
          <c:order val="1"/>
          <c:tx>
            <c:strRef>
              <c:f>'Bar Graphs Means'!$Z$4:$AB$4</c:f>
              <c:strCache>
                <c:ptCount val="3"/>
                <c:pt idx="0">
                  <c:v>Base Run</c:v>
                </c:pt>
                <c:pt idx="1">
                  <c:v>Symptom Information</c:v>
                </c:pt>
                <c:pt idx="2">
                  <c:v>Full Feedback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22225">
                <a:solidFill>
                  <a:srgbClr val="C00000"/>
                </a:solidFill>
              </a:ln>
              <a:effectLst/>
            </c:spPr>
          </c:marker>
          <c:dPt>
            <c:idx val="2"/>
            <c:marker>
              <c:symbol val="circle"/>
              <c:size val="7"/>
              <c:spPr>
                <a:solidFill>
                  <a:srgbClr val="C00000"/>
                </a:solidFill>
                <a:ln w="22225">
                  <a:solidFill>
                    <a:srgbClr val="C00000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DAC-4563-80AD-709AFDE33183}"/>
              </c:ext>
            </c:extLst>
          </c:dPt>
          <c:cat>
            <c:strRef>
              <c:f>'Bar Graphs Means'!$Z$4:$AB$4</c:f>
              <c:strCache>
                <c:ptCount val="3"/>
                <c:pt idx="0">
                  <c:v>Base Run</c:v>
                </c:pt>
                <c:pt idx="1">
                  <c:v>Symptom Information</c:v>
                </c:pt>
                <c:pt idx="2">
                  <c:v>Full Feedback</c:v>
                </c:pt>
              </c:strCache>
            </c:strRef>
          </c:cat>
          <c:val>
            <c:numRef>
              <c:f>'Bar Graphs Means'!$AF$2:$AH$2</c:f>
              <c:numCache>
                <c:formatCode>General</c:formatCode>
                <c:ptCount val="3"/>
                <c:pt idx="0">
                  <c:v>23.9</c:v>
                </c:pt>
                <c:pt idx="1">
                  <c:v>28</c:v>
                </c:pt>
                <c:pt idx="2">
                  <c:v>98.5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AC-4563-80AD-709AFDE33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9072048"/>
        <c:axId val="1422008128"/>
      </c:lineChart>
      <c:catAx>
        <c:axId val="101893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948464"/>
        <c:crosses val="autoZero"/>
        <c:auto val="1"/>
        <c:lblAlgn val="ctr"/>
        <c:lblOffset val="100"/>
        <c:noMultiLvlLbl val="0"/>
      </c:catAx>
      <c:valAx>
        <c:axId val="115794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1"/>
                    </a:solidFill>
                  </a:rPr>
                  <a:t>Largest peak in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936928"/>
        <c:crosses val="autoZero"/>
        <c:crossBetween val="between"/>
      </c:valAx>
      <c:valAx>
        <c:axId val="1422008128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C00000"/>
                    </a:solidFill>
                  </a:rPr>
                  <a:t>Epidemic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072048"/>
        <c:crosses val="max"/>
        <c:crossBetween val="between"/>
        <c:majorUnit val="20"/>
      </c:valAx>
      <c:catAx>
        <c:axId val="111907204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422008128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863951163567305E-2"/>
          <c:y val="2.4896265560165973E-2"/>
          <c:w val="0.88801881280803074"/>
          <c:h val="0.84674050598446982"/>
        </c:manualLayout>
      </c:layout>
      <c:scatterChart>
        <c:scatterStyle val="lineMarker"/>
        <c:varyColors val="0"/>
        <c:ser>
          <c:idx val="0"/>
          <c:order val="0"/>
          <c:tx>
            <c:strRef>
              <c:f>'Mobility Curve FF'!$AG$2</c:f>
              <c:strCache>
                <c:ptCount val="1"/>
                <c:pt idx="0">
                  <c:v>Mobility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2700">
                <a:solidFill>
                  <a:schemeClr val="accent3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C00000"/>
                </a:solidFill>
                <a:prstDash val="lgDash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2.8925582510183529E-2"/>
                  <c:y val="-0.603664303372866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'Mobility Curve FF'!$AF$3:$AF$987</c:f>
              <c:numCache>
                <c:formatCode>0.0%</c:formatCode>
                <c:ptCount val="9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2E-3</c:v>
                </c:pt>
                <c:pt idx="4">
                  <c:v>3.0000000000000001E-3</c:v>
                </c:pt>
                <c:pt idx="5">
                  <c:v>8.9999999999999993E-3</c:v>
                </c:pt>
                <c:pt idx="6">
                  <c:v>8.0000000000000002E-3</c:v>
                </c:pt>
                <c:pt idx="7">
                  <c:v>1.2999999999999999E-2</c:v>
                </c:pt>
                <c:pt idx="8">
                  <c:v>1.4999999999999999E-2</c:v>
                </c:pt>
                <c:pt idx="9">
                  <c:v>0.02</c:v>
                </c:pt>
                <c:pt idx="10">
                  <c:v>1.6E-2</c:v>
                </c:pt>
                <c:pt idx="11">
                  <c:v>1.2999999999999999E-2</c:v>
                </c:pt>
                <c:pt idx="12">
                  <c:v>5.0000000000000001E-3</c:v>
                </c:pt>
                <c:pt idx="13">
                  <c:v>5.0000000000000001E-3</c:v>
                </c:pt>
                <c:pt idx="14">
                  <c:v>4.0000000000000001E-3</c:v>
                </c:pt>
                <c:pt idx="15">
                  <c:v>6.0000000000000001E-3</c:v>
                </c:pt>
                <c:pt idx="16">
                  <c:v>7.0000000000000001E-3</c:v>
                </c:pt>
                <c:pt idx="17">
                  <c:v>8.0000000000000002E-3</c:v>
                </c:pt>
                <c:pt idx="18">
                  <c:v>8.9999999999999993E-3</c:v>
                </c:pt>
                <c:pt idx="19">
                  <c:v>0.01</c:v>
                </c:pt>
                <c:pt idx="20">
                  <c:v>1.2E-2</c:v>
                </c:pt>
                <c:pt idx="21">
                  <c:v>7.0000000000000001E-3</c:v>
                </c:pt>
                <c:pt idx="22">
                  <c:v>1.4999999999999999E-2</c:v>
                </c:pt>
                <c:pt idx="23">
                  <c:v>1.4999999999999999E-2</c:v>
                </c:pt>
                <c:pt idx="24">
                  <c:v>8.0000000000000002E-3</c:v>
                </c:pt>
                <c:pt idx="25">
                  <c:v>6.0000000000000001E-3</c:v>
                </c:pt>
                <c:pt idx="26">
                  <c:v>1E-3</c:v>
                </c:pt>
                <c:pt idx="27">
                  <c:v>0</c:v>
                </c:pt>
                <c:pt idx="28">
                  <c:v>2E-3</c:v>
                </c:pt>
                <c:pt idx="29">
                  <c:v>0</c:v>
                </c:pt>
                <c:pt idx="30">
                  <c:v>1E-3</c:v>
                </c:pt>
                <c:pt idx="31">
                  <c:v>5.0000000000000001E-3</c:v>
                </c:pt>
                <c:pt idx="32">
                  <c:v>6.0000000000000001E-3</c:v>
                </c:pt>
                <c:pt idx="33">
                  <c:v>7.0000000000000001E-3</c:v>
                </c:pt>
                <c:pt idx="34">
                  <c:v>3.0000000000000001E-3</c:v>
                </c:pt>
                <c:pt idx="35">
                  <c:v>2E-3</c:v>
                </c:pt>
                <c:pt idx="36">
                  <c:v>4.0000000000000001E-3</c:v>
                </c:pt>
                <c:pt idx="37">
                  <c:v>2E-3</c:v>
                </c:pt>
                <c:pt idx="38">
                  <c:v>2E-3</c:v>
                </c:pt>
                <c:pt idx="39">
                  <c:v>4.0000000000000001E-3</c:v>
                </c:pt>
                <c:pt idx="40">
                  <c:v>1E-3</c:v>
                </c:pt>
                <c:pt idx="41">
                  <c:v>3.0000000000000001E-3</c:v>
                </c:pt>
                <c:pt idx="42">
                  <c:v>3.0000000000000001E-3</c:v>
                </c:pt>
                <c:pt idx="43">
                  <c:v>4.0000000000000001E-3</c:v>
                </c:pt>
                <c:pt idx="44">
                  <c:v>2E-3</c:v>
                </c:pt>
                <c:pt idx="45">
                  <c:v>1E-3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1E-3</c:v>
                </c:pt>
                <c:pt idx="50">
                  <c:v>2E-3</c:v>
                </c:pt>
                <c:pt idx="51">
                  <c:v>6.0000000000000001E-3</c:v>
                </c:pt>
                <c:pt idx="52">
                  <c:v>6.0000000000000001E-3</c:v>
                </c:pt>
                <c:pt idx="53">
                  <c:v>5.0000000000000001E-3</c:v>
                </c:pt>
                <c:pt idx="54">
                  <c:v>6.0000000000000001E-3</c:v>
                </c:pt>
                <c:pt idx="55">
                  <c:v>5.0000000000000001E-3</c:v>
                </c:pt>
                <c:pt idx="56">
                  <c:v>7.0000000000000001E-3</c:v>
                </c:pt>
                <c:pt idx="57">
                  <c:v>1E-3</c:v>
                </c:pt>
                <c:pt idx="58">
                  <c:v>4.0000000000000001E-3</c:v>
                </c:pt>
                <c:pt idx="59">
                  <c:v>0</c:v>
                </c:pt>
                <c:pt idx="60">
                  <c:v>2E-3</c:v>
                </c:pt>
                <c:pt idx="61">
                  <c:v>2E-3</c:v>
                </c:pt>
                <c:pt idx="62">
                  <c:v>1E-3</c:v>
                </c:pt>
                <c:pt idx="63">
                  <c:v>6.0000000000000001E-3</c:v>
                </c:pt>
                <c:pt idx="64">
                  <c:v>2E-3</c:v>
                </c:pt>
                <c:pt idx="65">
                  <c:v>2E-3</c:v>
                </c:pt>
                <c:pt idx="66">
                  <c:v>2E-3</c:v>
                </c:pt>
                <c:pt idx="67">
                  <c:v>3.0000000000000001E-3</c:v>
                </c:pt>
                <c:pt idx="68">
                  <c:v>5.0000000000000001E-3</c:v>
                </c:pt>
                <c:pt idx="69">
                  <c:v>4.0000000000000001E-3</c:v>
                </c:pt>
                <c:pt idx="70">
                  <c:v>1E-3</c:v>
                </c:pt>
                <c:pt idx="71">
                  <c:v>2E-3</c:v>
                </c:pt>
                <c:pt idx="72">
                  <c:v>1E-3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2E-3</c:v>
                </c:pt>
                <c:pt idx="80">
                  <c:v>1E-3</c:v>
                </c:pt>
                <c:pt idx="81">
                  <c:v>4.0000000000000001E-3</c:v>
                </c:pt>
                <c:pt idx="82">
                  <c:v>0.01</c:v>
                </c:pt>
                <c:pt idx="83">
                  <c:v>1.6E-2</c:v>
                </c:pt>
                <c:pt idx="84">
                  <c:v>1.4999999999999999E-2</c:v>
                </c:pt>
                <c:pt idx="85">
                  <c:v>1.7999999999999999E-2</c:v>
                </c:pt>
                <c:pt idx="86">
                  <c:v>2.5999999999999999E-2</c:v>
                </c:pt>
                <c:pt idx="87">
                  <c:v>7.0000000000000001E-3</c:v>
                </c:pt>
                <c:pt idx="88">
                  <c:v>4.0000000000000001E-3</c:v>
                </c:pt>
                <c:pt idx="89">
                  <c:v>4.0000000000000001E-3</c:v>
                </c:pt>
                <c:pt idx="90">
                  <c:v>2E-3</c:v>
                </c:pt>
                <c:pt idx="91">
                  <c:v>2E-3</c:v>
                </c:pt>
                <c:pt idx="92">
                  <c:v>6.0000000000000001E-3</c:v>
                </c:pt>
                <c:pt idx="93">
                  <c:v>5.0000000000000001E-3</c:v>
                </c:pt>
                <c:pt idx="94">
                  <c:v>5.0000000000000001E-3</c:v>
                </c:pt>
                <c:pt idx="95">
                  <c:v>8.9999999999999993E-3</c:v>
                </c:pt>
                <c:pt idx="96">
                  <c:v>8.9999999999999993E-3</c:v>
                </c:pt>
                <c:pt idx="97">
                  <c:v>8.0000000000000002E-3</c:v>
                </c:pt>
                <c:pt idx="98">
                  <c:v>5.0000000000000001E-3</c:v>
                </c:pt>
                <c:pt idx="99">
                  <c:v>6.0000000000000001E-3</c:v>
                </c:pt>
                <c:pt idx="100">
                  <c:v>4.0000000000000001E-3</c:v>
                </c:pt>
                <c:pt idx="101">
                  <c:v>3.0000000000000001E-3</c:v>
                </c:pt>
                <c:pt idx="102">
                  <c:v>2E-3</c:v>
                </c:pt>
                <c:pt idx="103">
                  <c:v>4.0000000000000001E-3</c:v>
                </c:pt>
                <c:pt idx="104">
                  <c:v>6.0000000000000001E-3</c:v>
                </c:pt>
                <c:pt idx="105">
                  <c:v>8.0000000000000002E-3</c:v>
                </c:pt>
                <c:pt idx="106">
                  <c:v>1.0999999999999999E-2</c:v>
                </c:pt>
                <c:pt idx="107">
                  <c:v>1.2999999999999999E-2</c:v>
                </c:pt>
                <c:pt idx="108">
                  <c:v>1.2E-2</c:v>
                </c:pt>
                <c:pt idx="109">
                  <c:v>6.0000000000000001E-3</c:v>
                </c:pt>
                <c:pt idx="110">
                  <c:v>4.0000000000000001E-3</c:v>
                </c:pt>
                <c:pt idx="111">
                  <c:v>2E-3</c:v>
                </c:pt>
                <c:pt idx="112">
                  <c:v>4.0000000000000001E-3</c:v>
                </c:pt>
                <c:pt idx="113">
                  <c:v>2E-3</c:v>
                </c:pt>
                <c:pt idx="114">
                  <c:v>6.0000000000000001E-3</c:v>
                </c:pt>
                <c:pt idx="115">
                  <c:v>4.0000000000000001E-3</c:v>
                </c:pt>
                <c:pt idx="116">
                  <c:v>2E-3</c:v>
                </c:pt>
                <c:pt idx="117">
                  <c:v>6.0000000000000001E-3</c:v>
                </c:pt>
                <c:pt idx="118">
                  <c:v>8.0000000000000002E-3</c:v>
                </c:pt>
                <c:pt idx="119">
                  <c:v>8.0000000000000002E-3</c:v>
                </c:pt>
                <c:pt idx="120">
                  <c:v>8.9999999999999993E-3</c:v>
                </c:pt>
                <c:pt idx="121">
                  <c:v>1.0999999999999999E-2</c:v>
                </c:pt>
                <c:pt idx="122">
                  <c:v>8.0000000000000002E-3</c:v>
                </c:pt>
                <c:pt idx="123">
                  <c:v>8.0000000000000002E-3</c:v>
                </c:pt>
                <c:pt idx="124">
                  <c:v>6.0000000000000001E-3</c:v>
                </c:pt>
                <c:pt idx="125">
                  <c:v>8.9999999999999993E-3</c:v>
                </c:pt>
                <c:pt idx="126">
                  <c:v>5.0000000000000001E-3</c:v>
                </c:pt>
                <c:pt idx="127">
                  <c:v>8.0000000000000002E-3</c:v>
                </c:pt>
                <c:pt idx="128">
                  <c:v>7.0000000000000001E-3</c:v>
                </c:pt>
                <c:pt idx="129">
                  <c:v>1E-3</c:v>
                </c:pt>
                <c:pt idx="130">
                  <c:v>2E-3</c:v>
                </c:pt>
                <c:pt idx="131">
                  <c:v>1E-3</c:v>
                </c:pt>
                <c:pt idx="132">
                  <c:v>2E-3</c:v>
                </c:pt>
                <c:pt idx="133">
                  <c:v>7.0000000000000001E-3</c:v>
                </c:pt>
                <c:pt idx="134">
                  <c:v>4.0000000000000001E-3</c:v>
                </c:pt>
                <c:pt idx="135">
                  <c:v>5.0000000000000001E-3</c:v>
                </c:pt>
                <c:pt idx="136">
                  <c:v>5.0000000000000001E-3</c:v>
                </c:pt>
                <c:pt idx="137">
                  <c:v>4.0000000000000001E-3</c:v>
                </c:pt>
                <c:pt idx="138">
                  <c:v>1E-3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1E-3</c:v>
                </c:pt>
                <c:pt idx="144">
                  <c:v>3.0000000000000001E-3</c:v>
                </c:pt>
                <c:pt idx="145">
                  <c:v>3.0000000000000001E-3</c:v>
                </c:pt>
                <c:pt idx="146">
                  <c:v>1E-3</c:v>
                </c:pt>
                <c:pt idx="147">
                  <c:v>1E-3</c:v>
                </c:pt>
                <c:pt idx="148">
                  <c:v>1E-3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2E-3</c:v>
                </c:pt>
                <c:pt idx="155">
                  <c:v>4.0000000000000001E-3</c:v>
                </c:pt>
                <c:pt idx="156">
                  <c:v>5.0000000000000001E-3</c:v>
                </c:pt>
                <c:pt idx="157">
                  <c:v>8.9999999999999993E-3</c:v>
                </c:pt>
                <c:pt idx="158">
                  <c:v>7.0000000000000001E-3</c:v>
                </c:pt>
                <c:pt idx="159">
                  <c:v>7.0000000000000001E-3</c:v>
                </c:pt>
                <c:pt idx="160">
                  <c:v>6.0000000000000001E-3</c:v>
                </c:pt>
                <c:pt idx="161">
                  <c:v>1.2E-2</c:v>
                </c:pt>
                <c:pt idx="162">
                  <c:v>1.0999999999999999E-2</c:v>
                </c:pt>
                <c:pt idx="163">
                  <c:v>1.7999999999999999E-2</c:v>
                </c:pt>
                <c:pt idx="164">
                  <c:v>1.7000000000000001E-2</c:v>
                </c:pt>
                <c:pt idx="165">
                  <c:v>6.0000000000000001E-3</c:v>
                </c:pt>
                <c:pt idx="166">
                  <c:v>0.01</c:v>
                </c:pt>
                <c:pt idx="167">
                  <c:v>8.0000000000000002E-3</c:v>
                </c:pt>
                <c:pt idx="168">
                  <c:v>3.0000000000000001E-3</c:v>
                </c:pt>
                <c:pt idx="169">
                  <c:v>7.0000000000000001E-3</c:v>
                </c:pt>
                <c:pt idx="170">
                  <c:v>1.2E-2</c:v>
                </c:pt>
                <c:pt idx="171">
                  <c:v>6.0000000000000001E-3</c:v>
                </c:pt>
                <c:pt idx="172">
                  <c:v>8.0000000000000002E-3</c:v>
                </c:pt>
                <c:pt idx="173">
                  <c:v>6.0000000000000001E-3</c:v>
                </c:pt>
                <c:pt idx="174">
                  <c:v>5.0000000000000001E-3</c:v>
                </c:pt>
                <c:pt idx="175">
                  <c:v>4.0000000000000001E-3</c:v>
                </c:pt>
                <c:pt idx="176">
                  <c:v>4.0000000000000001E-3</c:v>
                </c:pt>
                <c:pt idx="177">
                  <c:v>4.0000000000000001E-3</c:v>
                </c:pt>
                <c:pt idx="178">
                  <c:v>3.0000000000000001E-3</c:v>
                </c:pt>
                <c:pt idx="179">
                  <c:v>5.0000000000000001E-3</c:v>
                </c:pt>
                <c:pt idx="180">
                  <c:v>4.0000000000000001E-3</c:v>
                </c:pt>
                <c:pt idx="181">
                  <c:v>7.0000000000000001E-3</c:v>
                </c:pt>
                <c:pt idx="182">
                  <c:v>5.0000000000000001E-3</c:v>
                </c:pt>
                <c:pt idx="183">
                  <c:v>3.0000000000000001E-3</c:v>
                </c:pt>
                <c:pt idx="184">
                  <c:v>2E-3</c:v>
                </c:pt>
                <c:pt idx="185">
                  <c:v>2E-3</c:v>
                </c:pt>
                <c:pt idx="186">
                  <c:v>0</c:v>
                </c:pt>
                <c:pt idx="187">
                  <c:v>2E-3</c:v>
                </c:pt>
                <c:pt idx="188">
                  <c:v>0</c:v>
                </c:pt>
                <c:pt idx="189">
                  <c:v>2E-3</c:v>
                </c:pt>
                <c:pt idx="190">
                  <c:v>3.0000000000000001E-3</c:v>
                </c:pt>
                <c:pt idx="191">
                  <c:v>1E-3</c:v>
                </c:pt>
                <c:pt idx="192">
                  <c:v>4.0000000000000001E-3</c:v>
                </c:pt>
                <c:pt idx="193">
                  <c:v>2E-3</c:v>
                </c:pt>
                <c:pt idx="194">
                  <c:v>4.0000000000000001E-3</c:v>
                </c:pt>
                <c:pt idx="195">
                  <c:v>2E-3</c:v>
                </c:pt>
                <c:pt idx="196">
                  <c:v>2E-3</c:v>
                </c:pt>
                <c:pt idx="197">
                  <c:v>0</c:v>
                </c:pt>
                <c:pt idx="198">
                  <c:v>1E-3</c:v>
                </c:pt>
                <c:pt idx="199">
                  <c:v>0</c:v>
                </c:pt>
                <c:pt idx="200">
                  <c:v>0</c:v>
                </c:pt>
                <c:pt idx="201">
                  <c:v>1E-3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2E-3</c:v>
                </c:pt>
                <c:pt idx="208">
                  <c:v>0</c:v>
                </c:pt>
                <c:pt idx="209">
                  <c:v>3.0000000000000001E-3</c:v>
                </c:pt>
                <c:pt idx="210">
                  <c:v>8.0000000000000002E-3</c:v>
                </c:pt>
                <c:pt idx="211">
                  <c:v>7.0000000000000001E-3</c:v>
                </c:pt>
                <c:pt idx="212">
                  <c:v>1.9E-2</c:v>
                </c:pt>
                <c:pt idx="213">
                  <c:v>1.4999999999999999E-2</c:v>
                </c:pt>
                <c:pt idx="214">
                  <c:v>1.4999999999999999E-2</c:v>
                </c:pt>
                <c:pt idx="215">
                  <c:v>0.02</c:v>
                </c:pt>
                <c:pt idx="216">
                  <c:v>1.4E-2</c:v>
                </c:pt>
                <c:pt idx="217">
                  <c:v>6.0000000000000001E-3</c:v>
                </c:pt>
                <c:pt idx="218">
                  <c:v>3.0000000000000001E-3</c:v>
                </c:pt>
                <c:pt idx="219">
                  <c:v>2E-3</c:v>
                </c:pt>
                <c:pt idx="220">
                  <c:v>4.0000000000000001E-3</c:v>
                </c:pt>
                <c:pt idx="221">
                  <c:v>2E-3</c:v>
                </c:pt>
                <c:pt idx="222">
                  <c:v>3.0000000000000001E-3</c:v>
                </c:pt>
                <c:pt idx="223">
                  <c:v>6.0000000000000001E-3</c:v>
                </c:pt>
                <c:pt idx="224">
                  <c:v>7.0000000000000001E-3</c:v>
                </c:pt>
                <c:pt idx="225">
                  <c:v>8.9999999999999993E-3</c:v>
                </c:pt>
                <c:pt idx="226">
                  <c:v>8.9999999999999993E-3</c:v>
                </c:pt>
                <c:pt idx="227">
                  <c:v>8.9999999999999993E-3</c:v>
                </c:pt>
                <c:pt idx="228">
                  <c:v>6.0000000000000001E-3</c:v>
                </c:pt>
                <c:pt idx="229">
                  <c:v>0.01</c:v>
                </c:pt>
                <c:pt idx="230">
                  <c:v>7.0000000000000001E-3</c:v>
                </c:pt>
                <c:pt idx="231">
                  <c:v>1.0999999999999999E-2</c:v>
                </c:pt>
                <c:pt idx="232">
                  <c:v>7.0000000000000001E-3</c:v>
                </c:pt>
                <c:pt idx="233">
                  <c:v>1.2E-2</c:v>
                </c:pt>
                <c:pt idx="234">
                  <c:v>1.2E-2</c:v>
                </c:pt>
                <c:pt idx="235">
                  <c:v>8.9999999999999993E-3</c:v>
                </c:pt>
                <c:pt idx="236">
                  <c:v>1.7000000000000001E-2</c:v>
                </c:pt>
                <c:pt idx="237">
                  <c:v>0.01</c:v>
                </c:pt>
                <c:pt idx="238">
                  <c:v>8.0000000000000002E-3</c:v>
                </c:pt>
                <c:pt idx="239">
                  <c:v>7.0000000000000001E-3</c:v>
                </c:pt>
                <c:pt idx="240">
                  <c:v>5.0000000000000001E-3</c:v>
                </c:pt>
                <c:pt idx="241">
                  <c:v>8.9999999999999993E-3</c:v>
                </c:pt>
                <c:pt idx="242">
                  <c:v>5.0000000000000001E-3</c:v>
                </c:pt>
                <c:pt idx="243">
                  <c:v>4.0000000000000001E-3</c:v>
                </c:pt>
                <c:pt idx="244">
                  <c:v>0</c:v>
                </c:pt>
                <c:pt idx="245">
                  <c:v>1E-3</c:v>
                </c:pt>
                <c:pt idx="246">
                  <c:v>0</c:v>
                </c:pt>
                <c:pt idx="247">
                  <c:v>2E-3</c:v>
                </c:pt>
                <c:pt idx="248">
                  <c:v>4.0000000000000001E-3</c:v>
                </c:pt>
                <c:pt idx="249">
                  <c:v>3.0000000000000001E-3</c:v>
                </c:pt>
                <c:pt idx="250">
                  <c:v>5.0000000000000001E-3</c:v>
                </c:pt>
                <c:pt idx="251">
                  <c:v>2E-3</c:v>
                </c:pt>
                <c:pt idx="252">
                  <c:v>6.0000000000000001E-3</c:v>
                </c:pt>
                <c:pt idx="253">
                  <c:v>2E-3</c:v>
                </c:pt>
                <c:pt idx="254">
                  <c:v>1E-3</c:v>
                </c:pt>
                <c:pt idx="255">
                  <c:v>0</c:v>
                </c:pt>
                <c:pt idx="256">
                  <c:v>1E-3</c:v>
                </c:pt>
                <c:pt idx="257">
                  <c:v>1E-3</c:v>
                </c:pt>
                <c:pt idx="258">
                  <c:v>0</c:v>
                </c:pt>
                <c:pt idx="259">
                  <c:v>2E-3</c:v>
                </c:pt>
                <c:pt idx="260">
                  <c:v>2E-3</c:v>
                </c:pt>
                <c:pt idx="261">
                  <c:v>2E-3</c:v>
                </c:pt>
                <c:pt idx="262">
                  <c:v>5.0000000000000001E-3</c:v>
                </c:pt>
                <c:pt idx="263">
                  <c:v>4.0000000000000001E-3</c:v>
                </c:pt>
                <c:pt idx="264">
                  <c:v>5.0000000000000001E-3</c:v>
                </c:pt>
                <c:pt idx="265">
                  <c:v>8.0000000000000002E-3</c:v>
                </c:pt>
                <c:pt idx="266">
                  <c:v>5.0000000000000001E-3</c:v>
                </c:pt>
                <c:pt idx="267">
                  <c:v>5.0000000000000001E-3</c:v>
                </c:pt>
                <c:pt idx="268">
                  <c:v>1E-3</c:v>
                </c:pt>
                <c:pt idx="269">
                  <c:v>2E-3</c:v>
                </c:pt>
                <c:pt idx="270">
                  <c:v>0</c:v>
                </c:pt>
                <c:pt idx="271">
                  <c:v>1E-3</c:v>
                </c:pt>
                <c:pt idx="272">
                  <c:v>1E-3</c:v>
                </c:pt>
                <c:pt idx="273">
                  <c:v>0</c:v>
                </c:pt>
                <c:pt idx="274">
                  <c:v>1E-3</c:v>
                </c:pt>
                <c:pt idx="275">
                  <c:v>1E-3</c:v>
                </c:pt>
                <c:pt idx="276">
                  <c:v>1E-3</c:v>
                </c:pt>
                <c:pt idx="277">
                  <c:v>1E-3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2E-3</c:v>
                </c:pt>
                <c:pt idx="284">
                  <c:v>2E-3</c:v>
                </c:pt>
                <c:pt idx="285">
                  <c:v>5.0000000000000001E-3</c:v>
                </c:pt>
                <c:pt idx="286">
                  <c:v>6.0000000000000001E-3</c:v>
                </c:pt>
                <c:pt idx="287">
                  <c:v>8.0000000000000002E-3</c:v>
                </c:pt>
                <c:pt idx="288">
                  <c:v>0.01</c:v>
                </c:pt>
                <c:pt idx="289">
                  <c:v>0.01</c:v>
                </c:pt>
                <c:pt idx="290">
                  <c:v>8.9999999999999993E-3</c:v>
                </c:pt>
                <c:pt idx="291">
                  <c:v>1.4999999999999999E-2</c:v>
                </c:pt>
                <c:pt idx="292">
                  <c:v>1.7000000000000001E-2</c:v>
                </c:pt>
                <c:pt idx="293">
                  <c:v>3.4000000000000002E-2</c:v>
                </c:pt>
                <c:pt idx="294">
                  <c:v>2.7E-2</c:v>
                </c:pt>
                <c:pt idx="295">
                  <c:v>7.0000000000000001E-3</c:v>
                </c:pt>
                <c:pt idx="296">
                  <c:v>8.0000000000000002E-3</c:v>
                </c:pt>
                <c:pt idx="297">
                  <c:v>1E-3</c:v>
                </c:pt>
                <c:pt idx="298">
                  <c:v>4.0000000000000001E-3</c:v>
                </c:pt>
                <c:pt idx="299">
                  <c:v>2E-3</c:v>
                </c:pt>
                <c:pt idx="300">
                  <c:v>2E-3</c:v>
                </c:pt>
                <c:pt idx="301">
                  <c:v>5.0000000000000001E-3</c:v>
                </c:pt>
                <c:pt idx="302">
                  <c:v>8.9999999999999993E-3</c:v>
                </c:pt>
                <c:pt idx="303">
                  <c:v>1.0999999999999999E-2</c:v>
                </c:pt>
                <c:pt idx="304">
                  <c:v>0.01</c:v>
                </c:pt>
                <c:pt idx="305">
                  <c:v>5.0000000000000001E-3</c:v>
                </c:pt>
                <c:pt idx="306">
                  <c:v>8.9999999999999993E-3</c:v>
                </c:pt>
                <c:pt idx="307">
                  <c:v>4.0000000000000001E-3</c:v>
                </c:pt>
                <c:pt idx="308">
                  <c:v>1.2999999999999999E-2</c:v>
                </c:pt>
                <c:pt idx="309">
                  <c:v>4.0000000000000001E-3</c:v>
                </c:pt>
                <c:pt idx="310">
                  <c:v>8.0000000000000002E-3</c:v>
                </c:pt>
                <c:pt idx="311">
                  <c:v>3.0000000000000001E-3</c:v>
                </c:pt>
                <c:pt idx="312">
                  <c:v>0</c:v>
                </c:pt>
                <c:pt idx="313">
                  <c:v>4.0000000000000001E-3</c:v>
                </c:pt>
                <c:pt idx="314">
                  <c:v>1E-3</c:v>
                </c:pt>
                <c:pt idx="315">
                  <c:v>1E-3</c:v>
                </c:pt>
                <c:pt idx="316">
                  <c:v>0.01</c:v>
                </c:pt>
                <c:pt idx="317">
                  <c:v>4.0000000000000001E-3</c:v>
                </c:pt>
                <c:pt idx="318">
                  <c:v>8.0000000000000002E-3</c:v>
                </c:pt>
                <c:pt idx="319">
                  <c:v>7.0000000000000001E-3</c:v>
                </c:pt>
                <c:pt idx="320">
                  <c:v>8.9999999999999993E-3</c:v>
                </c:pt>
                <c:pt idx="321">
                  <c:v>1.2999999999999999E-2</c:v>
                </c:pt>
                <c:pt idx="322">
                  <c:v>4.0000000000000001E-3</c:v>
                </c:pt>
                <c:pt idx="323">
                  <c:v>1.2E-2</c:v>
                </c:pt>
                <c:pt idx="324">
                  <c:v>7.0000000000000001E-3</c:v>
                </c:pt>
                <c:pt idx="325">
                  <c:v>4.0000000000000001E-3</c:v>
                </c:pt>
                <c:pt idx="326">
                  <c:v>4.0000000000000001E-3</c:v>
                </c:pt>
                <c:pt idx="327">
                  <c:v>2E-3</c:v>
                </c:pt>
                <c:pt idx="328">
                  <c:v>1E-3</c:v>
                </c:pt>
                <c:pt idx="329">
                  <c:v>3.0000000000000001E-3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4.0000000000000001E-3</c:v>
                </c:pt>
                <c:pt idx="336">
                  <c:v>2E-3</c:v>
                </c:pt>
                <c:pt idx="337">
                  <c:v>4.0000000000000001E-3</c:v>
                </c:pt>
                <c:pt idx="338">
                  <c:v>5.0000000000000001E-3</c:v>
                </c:pt>
                <c:pt idx="339">
                  <c:v>6.0000000000000001E-3</c:v>
                </c:pt>
                <c:pt idx="340">
                  <c:v>3.0000000000000001E-3</c:v>
                </c:pt>
                <c:pt idx="341">
                  <c:v>4.0000000000000001E-3</c:v>
                </c:pt>
                <c:pt idx="342">
                  <c:v>0</c:v>
                </c:pt>
                <c:pt idx="343">
                  <c:v>2E-3</c:v>
                </c:pt>
                <c:pt idx="344">
                  <c:v>0</c:v>
                </c:pt>
                <c:pt idx="345">
                  <c:v>0</c:v>
                </c:pt>
                <c:pt idx="346">
                  <c:v>5.0000000000000001E-3</c:v>
                </c:pt>
                <c:pt idx="347">
                  <c:v>2E-3</c:v>
                </c:pt>
                <c:pt idx="348">
                  <c:v>2E-3</c:v>
                </c:pt>
                <c:pt idx="349">
                  <c:v>7.0000000000000001E-3</c:v>
                </c:pt>
                <c:pt idx="350">
                  <c:v>1E-3</c:v>
                </c:pt>
                <c:pt idx="351">
                  <c:v>1E-3</c:v>
                </c:pt>
                <c:pt idx="352">
                  <c:v>1E-3</c:v>
                </c:pt>
                <c:pt idx="353">
                  <c:v>0</c:v>
                </c:pt>
                <c:pt idx="354">
                  <c:v>2E-3</c:v>
                </c:pt>
                <c:pt idx="355">
                  <c:v>0</c:v>
                </c:pt>
                <c:pt idx="356">
                  <c:v>2E-3</c:v>
                </c:pt>
                <c:pt idx="357">
                  <c:v>4.0000000000000001E-3</c:v>
                </c:pt>
                <c:pt idx="358">
                  <c:v>2E-3</c:v>
                </c:pt>
                <c:pt idx="359">
                  <c:v>4.0000000000000001E-3</c:v>
                </c:pt>
                <c:pt idx="360">
                  <c:v>3.0000000000000001E-3</c:v>
                </c:pt>
                <c:pt idx="361">
                  <c:v>1E-3</c:v>
                </c:pt>
                <c:pt idx="362">
                  <c:v>2E-3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2E-3</c:v>
                </c:pt>
                <c:pt idx="369">
                  <c:v>0</c:v>
                </c:pt>
                <c:pt idx="370">
                  <c:v>2E-3</c:v>
                </c:pt>
                <c:pt idx="371">
                  <c:v>2E-3</c:v>
                </c:pt>
                <c:pt idx="372">
                  <c:v>3.0000000000000001E-3</c:v>
                </c:pt>
                <c:pt idx="373">
                  <c:v>8.0000000000000002E-3</c:v>
                </c:pt>
                <c:pt idx="374">
                  <c:v>4.0000000000000001E-3</c:v>
                </c:pt>
                <c:pt idx="375">
                  <c:v>0.01</c:v>
                </c:pt>
                <c:pt idx="376">
                  <c:v>1.2E-2</c:v>
                </c:pt>
                <c:pt idx="377">
                  <c:v>1.4E-2</c:v>
                </c:pt>
                <c:pt idx="378">
                  <c:v>0.02</c:v>
                </c:pt>
                <c:pt idx="379">
                  <c:v>2.9000000000000001E-2</c:v>
                </c:pt>
                <c:pt idx="380">
                  <c:v>1.7999999999999999E-2</c:v>
                </c:pt>
                <c:pt idx="381">
                  <c:v>8.9999999999999993E-3</c:v>
                </c:pt>
                <c:pt idx="382">
                  <c:v>8.9999999999999993E-3</c:v>
                </c:pt>
                <c:pt idx="383">
                  <c:v>3.0000000000000001E-3</c:v>
                </c:pt>
                <c:pt idx="384">
                  <c:v>3.0000000000000001E-3</c:v>
                </c:pt>
                <c:pt idx="385">
                  <c:v>2E-3</c:v>
                </c:pt>
                <c:pt idx="386">
                  <c:v>4.0000000000000001E-3</c:v>
                </c:pt>
                <c:pt idx="387">
                  <c:v>1E-3</c:v>
                </c:pt>
                <c:pt idx="388">
                  <c:v>5.0000000000000001E-3</c:v>
                </c:pt>
                <c:pt idx="389">
                  <c:v>5.0000000000000001E-3</c:v>
                </c:pt>
                <c:pt idx="390">
                  <c:v>5.0000000000000001E-3</c:v>
                </c:pt>
                <c:pt idx="391">
                  <c:v>5.0000000000000001E-3</c:v>
                </c:pt>
                <c:pt idx="392">
                  <c:v>2E-3</c:v>
                </c:pt>
                <c:pt idx="393">
                  <c:v>4.0000000000000001E-3</c:v>
                </c:pt>
                <c:pt idx="394">
                  <c:v>1E-3</c:v>
                </c:pt>
                <c:pt idx="395">
                  <c:v>2E-3</c:v>
                </c:pt>
                <c:pt idx="396">
                  <c:v>1E-3</c:v>
                </c:pt>
                <c:pt idx="397">
                  <c:v>1E-3</c:v>
                </c:pt>
                <c:pt idx="398">
                  <c:v>2E-3</c:v>
                </c:pt>
                <c:pt idx="399">
                  <c:v>1E-3</c:v>
                </c:pt>
                <c:pt idx="400">
                  <c:v>4.0000000000000001E-3</c:v>
                </c:pt>
                <c:pt idx="401">
                  <c:v>2E-3</c:v>
                </c:pt>
                <c:pt idx="402">
                  <c:v>2E-3</c:v>
                </c:pt>
                <c:pt idx="403">
                  <c:v>1E-3</c:v>
                </c:pt>
                <c:pt idx="404">
                  <c:v>2E-3</c:v>
                </c:pt>
                <c:pt idx="405">
                  <c:v>2E-3</c:v>
                </c:pt>
                <c:pt idx="406">
                  <c:v>3.0000000000000001E-3</c:v>
                </c:pt>
                <c:pt idx="407">
                  <c:v>4.0000000000000001E-3</c:v>
                </c:pt>
                <c:pt idx="408">
                  <c:v>2E-3</c:v>
                </c:pt>
                <c:pt idx="409">
                  <c:v>3.0000000000000001E-3</c:v>
                </c:pt>
                <c:pt idx="410">
                  <c:v>2E-3</c:v>
                </c:pt>
                <c:pt idx="411">
                  <c:v>4.0000000000000001E-3</c:v>
                </c:pt>
                <c:pt idx="412">
                  <c:v>2E-3</c:v>
                </c:pt>
                <c:pt idx="413">
                  <c:v>2E-3</c:v>
                </c:pt>
                <c:pt idx="414">
                  <c:v>1E-3</c:v>
                </c:pt>
                <c:pt idx="415">
                  <c:v>1E-3</c:v>
                </c:pt>
                <c:pt idx="416">
                  <c:v>2E-3</c:v>
                </c:pt>
                <c:pt idx="417">
                  <c:v>5.0000000000000001E-3</c:v>
                </c:pt>
                <c:pt idx="418">
                  <c:v>2E-3</c:v>
                </c:pt>
                <c:pt idx="419">
                  <c:v>5.0000000000000001E-3</c:v>
                </c:pt>
                <c:pt idx="420">
                  <c:v>5.0000000000000001E-3</c:v>
                </c:pt>
                <c:pt idx="421">
                  <c:v>4.0000000000000001E-3</c:v>
                </c:pt>
                <c:pt idx="422">
                  <c:v>4.0000000000000001E-3</c:v>
                </c:pt>
                <c:pt idx="423">
                  <c:v>2E-3</c:v>
                </c:pt>
                <c:pt idx="424">
                  <c:v>4.0000000000000001E-3</c:v>
                </c:pt>
                <c:pt idx="425">
                  <c:v>3.0000000000000001E-3</c:v>
                </c:pt>
                <c:pt idx="426">
                  <c:v>1E-3</c:v>
                </c:pt>
                <c:pt idx="427">
                  <c:v>2E-3</c:v>
                </c:pt>
                <c:pt idx="428">
                  <c:v>2E-3</c:v>
                </c:pt>
                <c:pt idx="429">
                  <c:v>4.0000000000000001E-3</c:v>
                </c:pt>
                <c:pt idx="430">
                  <c:v>4.0000000000000001E-3</c:v>
                </c:pt>
                <c:pt idx="431">
                  <c:v>3.0000000000000001E-3</c:v>
                </c:pt>
                <c:pt idx="432">
                  <c:v>2E-3</c:v>
                </c:pt>
                <c:pt idx="433">
                  <c:v>5.0000000000000001E-3</c:v>
                </c:pt>
                <c:pt idx="434">
                  <c:v>4.0000000000000001E-3</c:v>
                </c:pt>
                <c:pt idx="435">
                  <c:v>5.0000000000000001E-3</c:v>
                </c:pt>
                <c:pt idx="436">
                  <c:v>5.0000000000000001E-3</c:v>
                </c:pt>
                <c:pt idx="437">
                  <c:v>2E-3</c:v>
                </c:pt>
                <c:pt idx="438">
                  <c:v>0</c:v>
                </c:pt>
                <c:pt idx="439">
                  <c:v>1E-3</c:v>
                </c:pt>
                <c:pt idx="440">
                  <c:v>1E-3</c:v>
                </c:pt>
                <c:pt idx="441">
                  <c:v>4.0000000000000001E-3</c:v>
                </c:pt>
                <c:pt idx="442">
                  <c:v>2E-3</c:v>
                </c:pt>
                <c:pt idx="443">
                  <c:v>2E-3</c:v>
                </c:pt>
                <c:pt idx="444">
                  <c:v>1E-3</c:v>
                </c:pt>
                <c:pt idx="445">
                  <c:v>3.0000000000000001E-3</c:v>
                </c:pt>
                <c:pt idx="446">
                  <c:v>3.0000000000000001E-3</c:v>
                </c:pt>
                <c:pt idx="447">
                  <c:v>1E-3</c:v>
                </c:pt>
                <c:pt idx="448">
                  <c:v>2E-3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1E-3</c:v>
                </c:pt>
                <c:pt idx="453">
                  <c:v>1E-3</c:v>
                </c:pt>
                <c:pt idx="454">
                  <c:v>3.0000000000000001E-3</c:v>
                </c:pt>
                <c:pt idx="455">
                  <c:v>2E-3</c:v>
                </c:pt>
                <c:pt idx="456">
                  <c:v>3.0000000000000001E-3</c:v>
                </c:pt>
                <c:pt idx="457">
                  <c:v>2E-3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1E-3</c:v>
                </c:pt>
                <c:pt idx="463">
                  <c:v>3.0000000000000001E-3</c:v>
                </c:pt>
                <c:pt idx="464">
                  <c:v>2E-3</c:v>
                </c:pt>
                <c:pt idx="465">
                  <c:v>3.0000000000000001E-3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2E-3</c:v>
                </c:pt>
                <c:pt idx="471">
                  <c:v>1E-3</c:v>
                </c:pt>
                <c:pt idx="472">
                  <c:v>1E-3</c:v>
                </c:pt>
                <c:pt idx="473">
                  <c:v>1E-3</c:v>
                </c:pt>
                <c:pt idx="474">
                  <c:v>1E-3</c:v>
                </c:pt>
                <c:pt idx="475">
                  <c:v>1E-3</c:v>
                </c:pt>
                <c:pt idx="476">
                  <c:v>1E-3</c:v>
                </c:pt>
                <c:pt idx="477">
                  <c:v>4.0000000000000001E-3</c:v>
                </c:pt>
                <c:pt idx="478">
                  <c:v>3.0000000000000001E-3</c:v>
                </c:pt>
                <c:pt idx="479">
                  <c:v>2E-3</c:v>
                </c:pt>
                <c:pt idx="480">
                  <c:v>4.0000000000000001E-3</c:v>
                </c:pt>
                <c:pt idx="481">
                  <c:v>5.0000000000000001E-3</c:v>
                </c:pt>
                <c:pt idx="482">
                  <c:v>2E-3</c:v>
                </c:pt>
                <c:pt idx="483">
                  <c:v>4.0000000000000001E-3</c:v>
                </c:pt>
                <c:pt idx="484">
                  <c:v>2E-3</c:v>
                </c:pt>
                <c:pt idx="485">
                  <c:v>1E-3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2E-3</c:v>
                </c:pt>
                <c:pt idx="492">
                  <c:v>1E-3</c:v>
                </c:pt>
                <c:pt idx="493">
                  <c:v>2E-3</c:v>
                </c:pt>
                <c:pt idx="494">
                  <c:v>5.0000000000000001E-3</c:v>
                </c:pt>
                <c:pt idx="495">
                  <c:v>4.0000000000000001E-3</c:v>
                </c:pt>
                <c:pt idx="496">
                  <c:v>2E-3</c:v>
                </c:pt>
                <c:pt idx="497">
                  <c:v>5.0000000000000001E-3</c:v>
                </c:pt>
                <c:pt idx="498">
                  <c:v>2E-3</c:v>
                </c:pt>
                <c:pt idx="499">
                  <c:v>7.0000000000000001E-3</c:v>
                </c:pt>
                <c:pt idx="500">
                  <c:v>6.0000000000000001E-3</c:v>
                </c:pt>
                <c:pt idx="501">
                  <c:v>7.0000000000000001E-3</c:v>
                </c:pt>
                <c:pt idx="502">
                  <c:v>4.0000000000000001E-3</c:v>
                </c:pt>
                <c:pt idx="503">
                  <c:v>7.0000000000000001E-3</c:v>
                </c:pt>
                <c:pt idx="504">
                  <c:v>3.0000000000000001E-3</c:v>
                </c:pt>
                <c:pt idx="505">
                  <c:v>6.0000000000000001E-3</c:v>
                </c:pt>
                <c:pt idx="506">
                  <c:v>5.0000000000000001E-3</c:v>
                </c:pt>
                <c:pt idx="507">
                  <c:v>3.0000000000000001E-3</c:v>
                </c:pt>
                <c:pt idx="508">
                  <c:v>4.0000000000000001E-3</c:v>
                </c:pt>
                <c:pt idx="509">
                  <c:v>6.0000000000000001E-3</c:v>
                </c:pt>
                <c:pt idx="510">
                  <c:v>5.0000000000000001E-3</c:v>
                </c:pt>
                <c:pt idx="511">
                  <c:v>8.0000000000000002E-3</c:v>
                </c:pt>
                <c:pt idx="512">
                  <c:v>0.01</c:v>
                </c:pt>
                <c:pt idx="513">
                  <c:v>0.01</c:v>
                </c:pt>
                <c:pt idx="514">
                  <c:v>7.0000000000000001E-3</c:v>
                </c:pt>
                <c:pt idx="515">
                  <c:v>7.0000000000000001E-3</c:v>
                </c:pt>
                <c:pt idx="516">
                  <c:v>1.2E-2</c:v>
                </c:pt>
                <c:pt idx="517">
                  <c:v>1.7999999999999999E-2</c:v>
                </c:pt>
                <c:pt idx="518">
                  <c:v>1.6E-2</c:v>
                </c:pt>
                <c:pt idx="519">
                  <c:v>1.9E-2</c:v>
                </c:pt>
                <c:pt idx="520">
                  <c:v>1.2999999999999999E-2</c:v>
                </c:pt>
                <c:pt idx="521">
                  <c:v>0.01</c:v>
                </c:pt>
                <c:pt idx="522">
                  <c:v>6.0000000000000001E-3</c:v>
                </c:pt>
                <c:pt idx="523">
                  <c:v>7.0000000000000001E-3</c:v>
                </c:pt>
                <c:pt idx="524">
                  <c:v>5.0000000000000001E-3</c:v>
                </c:pt>
                <c:pt idx="525">
                  <c:v>7.0000000000000001E-3</c:v>
                </c:pt>
                <c:pt idx="526">
                  <c:v>7.0000000000000001E-3</c:v>
                </c:pt>
                <c:pt idx="527">
                  <c:v>8.9999999999999993E-3</c:v>
                </c:pt>
                <c:pt idx="528">
                  <c:v>3.0000000000000001E-3</c:v>
                </c:pt>
                <c:pt idx="529">
                  <c:v>8.0000000000000002E-3</c:v>
                </c:pt>
                <c:pt idx="530">
                  <c:v>3.0000000000000001E-3</c:v>
                </c:pt>
                <c:pt idx="531">
                  <c:v>5.0000000000000001E-3</c:v>
                </c:pt>
                <c:pt idx="532">
                  <c:v>5.0000000000000001E-3</c:v>
                </c:pt>
                <c:pt idx="533">
                  <c:v>3.0000000000000001E-3</c:v>
                </c:pt>
                <c:pt idx="534">
                  <c:v>3.0000000000000001E-3</c:v>
                </c:pt>
                <c:pt idx="535">
                  <c:v>2E-3</c:v>
                </c:pt>
                <c:pt idx="536">
                  <c:v>1E-3</c:v>
                </c:pt>
                <c:pt idx="537">
                  <c:v>2E-3</c:v>
                </c:pt>
                <c:pt idx="538">
                  <c:v>3.0000000000000001E-3</c:v>
                </c:pt>
                <c:pt idx="539">
                  <c:v>1E-3</c:v>
                </c:pt>
                <c:pt idx="540">
                  <c:v>3.0000000000000001E-3</c:v>
                </c:pt>
                <c:pt idx="541">
                  <c:v>0</c:v>
                </c:pt>
                <c:pt idx="542">
                  <c:v>0</c:v>
                </c:pt>
                <c:pt idx="543">
                  <c:v>1E-3</c:v>
                </c:pt>
                <c:pt idx="544">
                  <c:v>0</c:v>
                </c:pt>
                <c:pt idx="545">
                  <c:v>0</c:v>
                </c:pt>
                <c:pt idx="546">
                  <c:v>3.0000000000000001E-3</c:v>
                </c:pt>
                <c:pt idx="547">
                  <c:v>1E-3</c:v>
                </c:pt>
                <c:pt idx="548">
                  <c:v>3.0000000000000001E-3</c:v>
                </c:pt>
                <c:pt idx="549">
                  <c:v>2E-3</c:v>
                </c:pt>
                <c:pt idx="550">
                  <c:v>2E-3</c:v>
                </c:pt>
                <c:pt idx="551">
                  <c:v>1E-3</c:v>
                </c:pt>
                <c:pt idx="552">
                  <c:v>2E-3</c:v>
                </c:pt>
                <c:pt idx="553">
                  <c:v>1E-3</c:v>
                </c:pt>
                <c:pt idx="554">
                  <c:v>1E-3</c:v>
                </c:pt>
                <c:pt idx="555">
                  <c:v>2E-3</c:v>
                </c:pt>
                <c:pt idx="556">
                  <c:v>2E-3</c:v>
                </c:pt>
                <c:pt idx="557">
                  <c:v>3.0000000000000001E-3</c:v>
                </c:pt>
                <c:pt idx="558">
                  <c:v>1E-3</c:v>
                </c:pt>
                <c:pt idx="559">
                  <c:v>0</c:v>
                </c:pt>
                <c:pt idx="560">
                  <c:v>3.0000000000000001E-3</c:v>
                </c:pt>
                <c:pt idx="561">
                  <c:v>2E-3</c:v>
                </c:pt>
                <c:pt idx="562">
                  <c:v>2E-3</c:v>
                </c:pt>
                <c:pt idx="563">
                  <c:v>8.0000000000000002E-3</c:v>
                </c:pt>
                <c:pt idx="564">
                  <c:v>0</c:v>
                </c:pt>
                <c:pt idx="565">
                  <c:v>2E-3</c:v>
                </c:pt>
                <c:pt idx="566">
                  <c:v>1E-3</c:v>
                </c:pt>
                <c:pt idx="567">
                  <c:v>0</c:v>
                </c:pt>
                <c:pt idx="568">
                  <c:v>1E-3</c:v>
                </c:pt>
                <c:pt idx="569">
                  <c:v>0</c:v>
                </c:pt>
                <c:pt idx="570">
                  <c:v>0</c:v>
                </c:pt>
                <c:pt idx="571">
                  <c:v>2E-3</c:v>
                </c:pt>
                <c:pt idx="572">
                  <c:v>1E-3</c:v>
                </c:pt>
                <c:pt idx="573">
                  <c:v>0</c:v>
                </c:pt>
                <c:pt idx="574">
                  <c:v>1E-3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2E-3</c:v>
                </c:pt>
                <c:pt idx="581">
                  <c:v>3.0000000000000001E-3</c:v>
                </c:pt>
                <c:pt idx="582">
                  <c:v>7.0000000000000001E-3</c:v>
                </c:pt>
                <c:pt idx="583">
                  <c:v>1.0999999999999999E-2</c:v>
                </c:pt>
                <c:pt idx="584">
                  <c:v>8.0000000000000002E-3</c:v>
                </c:pt>
                <c:pt idx="585">
                  <c:v>1.2999999999999999E-2</c:v>
                </c:pt>
                <c:pt idx="586">
                  <c:v>1.4E-2</c:v>
                </c:pt>
                <c:pt idx="587">
                  <c:v>1.4E-2</c:v>
                </c:pt>
                <c:pt idx="588">
                  <c:v>7.0000000000000001E-3</c:v>
                </c:pt>
                <c:pt idx="589">
                  <c:v>8.0000000000000002E-3</c:v>
                </c:pt>
                <c:pt idx="590">
                  <c:v>5.0000000000000001E-3</c:v>
                </c:pt>
                <c:pt idx="591">
                  <c:v>6.0000000000000001E-3</c:v>
                </c:pt>
                <c:pt idx="592">
                  <c:v>4.0000000000000001E-3</c:v>
                </c:pt>
                <c:pt idx="593">
                  <c:v>5.0000000000000001E-3</c:v>
                </c:pt>
                <c:pt idx="594">
                  <c:v>2E-3</c:v>
                </c:pt>
                <c:pt idx="595">
                  <c:v>3.0000000000000001E-3</c:v>
                </c:pt>
                <c:pt idx="596">
                  <c:v>5.0000000000000001E-3</c:v>
                </c:pt>
                <c:pt idx="597">
                  <c:v>2E-3</c:v>
                </c:pt>
                <c:pt idx="598">
                  <c:v>3.0000000000000001E-3</c:v>
                </c:pt>
                <c:pt idx="599">
                  <c:v>7.0000000000000001E-3</c:v>
                </c:pt>
                <c:pt idx="600">
                  <c:v>1E-3</c:v>
                </c:pt>
                <c:pt idx="601">
                  <c:v>4.0000000000000001E-3</c:v>
                </c:pt>
                <c:pt idx="602">
                  <c:v>4.0000000000000001E-3</c:v>
                </c:pt>
                <c:pt idx="603">
                  <c:v>3.0000000000000001E-3</c:v>
                </c:pt>
                <c:pt idx="604">
                  <c:v>3.0000000000000001E-3</c:v>
                </c:pt>
                <c:pt idx="605">
                  <c:v>0</c:v>
                </c:pt>
                <c:pt idx="606">
                  <c:v>2E-3</c:v>
                </c:pt>
                <c:pt idx="607">
                  <c:v>1E-3</c:v>
                </c:pt>
                <c:pt idx="608">
                  <c:v>0</c:v>
                </c:pt>
                <c:pt idx="609">
                  <c:v>5.0000000000000001E-3</c:v>
                </c:pt>
                <c:pt idx="610">
                  <c:v>5.0000000000000001E-3</c:v>
                </c:pt>
                <c:pt idx="611">
                  <c:v>6.0000000000000001E-3</c:v>
                </c:pt>
                <c:pt idx="612">
                  <c:v>1.6E-2</c:v>
                </c:pt>
                <c:pt idx="613">
                  <c:v>4.0000000000000001E-3</c:v>
                </c:pt>
                <c:pt idx="614">
                  <c:v>8.0000000000000002E-3</c:v>
                </c:pt>
                <c:pt idx="615">
                  <c:v>1.0999999999999999E-2</c:v>
                </c:pt>
                <c:pt idx="616">
                  <c:v>4.0000000000000001E-3</c:v>
                </c:pt>
                <c:pt idx="617">
                  <c:v>5.0000000000000001E-3</c:v>
                </c:pt>
                <c:pt idx="618">
                  <c:v>7.0000000000000001E-3</c:v>
                </c:pt>
                <c:pt idx="619">
                  <c:v>4.0000000000000001E-3</c:v>
                </c:pt>
                <c:pt idx="620">
                  <c:v>0.01</c:v>
                </c:pt>
                <c:pt idx="621">
                  <c:v>3.0000000000000001E-3</c:v>
                </c:pt>
                <c:pt idx="622">
                  <c:v>6.0000000000000001E-3</c:v>
                </c:pt>
                <c:pt idx="623">
                  <c:v>8.0000000000000002E-3</c:v>
                </c:pt>
                <c:pt idx="624">
                  <c:v>8.0000000000000002E-3</c:v>
                </c:pt>
                <c:pt idx="625">
                  <c:v>8.0000000000000002E-3</c:v>
                </c:pt>
                <c:pt idx="626">
                  <c:v>8.9999999999999993E-3</c:v>
                </c:pt>
                <c:pt idx="627">
                  <c:v>0.01</c:v>
                </c:pt>
                <c:pt idx="628">
                  <c:v>1.0999999999999999E-2</c:v>
                </c:pt>
                <c:pt idx="629">
                  <c:v>0.01</c:v>
                </c:pt>
                <c:pt idx="630">
                  <c:v>8.0000000000000002E-3</c:v>
                </c:pt>
                <c:pt idx="631">
                  <c:v>1.4E-2</c:v>
                </c:pt>
                <c:pt idx="632">
                  <c:v>0.01</c:v>
                </c:pt>
                <c:pt idx="633">
                  <c:v>1.4999999999999999E-2</c:v>
                </c:pt>
                <c:pt idx="634">
                  <c:v>8.0000000000000002E-3</c:v>
                </c:pt>
                <c:pt idx="635">
                  <c:v>7.0000000000000001E-3</c:v>
                </c:pt>
                <c:pt idx="636">
                  <c:v>7.0000000000000001E-3</c:v>
                </c:pt>
                <c:pt idx="637">
                  <c:v>1E-3</c:v>
                </c:pt>
                <c:pt idx="638">
                  <c:v>4.0000000000000001E-3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2E-3</c:v>
                </c:pt>
                <c:pt idx="645">
                  <c:v>0</c:v>
                </c:pt>
                <c:pt idx="646">
                  <c:v>1E-3</c:v>
                </c:pt>
                <c:pt idx="647">
                  <c:v>2E-3</c:v>
                </c:pt>
                <c:pt idx="648">
                  <c:v>1E-3</c:v>
                </c:pt>
                <c:pt idx="649">
                  <c:v>5.0000000000000001E-3</c:v>
                </c:pt>
                <c:pt idx="650">
                  <c:v>2E-3</c:v>
                </c:pt>
                <c:pt idx="651">
                  <c:v>0</c:v>
                </c:pt>
                <c:pt idx="652">
                  <c:v>2E-3</c:v>
                </c:pt>
                <c:pt idx="653">
                  <c:v>0</c:v>
                </c:pt>
                <c:pt idx="654">
                  <c:v>2E-3</c:v>
                </c:pt>
                <c:pt idx="655">
                  <c:v>8.0000000000000002E-3</c:v>
                </c:pt>
                <c:pt idx="656">
                  <c:v>3.0000000000000001E-3</c:v>
                </c:pt>
                <c:pt idx="657">
                  <c:v>1.4E-2</c:v>
                </c:pt>
                <c:pt idx="658">
                  <c:v>6.0000000000000001E-3</c:v>
                </c:pt>
                <c:pt idx="659">
                  <c:v>1E-3</c:v>
                </c:pt>
                <c:pt idx="660">
                  <c:v>4.0000000000000001E-3</c:v>
                </c:pt>
                <c:pt idx="661">
                  <c:v>1E-3</c:v>
                </c:pt>
                <c:pt idx="662">
                  <c:v>1E-3</c:v>
                </c:pt>
                <c:pt idx="663">
                  <c:v>0</c:v>
                </c:pt>
                <c:pt idx="664">
                  <c:v>1E-3</c:v>
                </c:pt>
                <c:pt idx="665">
                  <c:v>1E-3</c:v>
                </c:pt>
                <c:pt idx="666">
                  <c:v>0</c:v>
                </c:pt>
                <c:pt idx="667">
                  <c:v>2E-3</c:v>
                </c:pt>
                <c:pt idx="668">
                  <c:v>1E-3</c:v>
                </c:pt>
                <c:pt idx="669">
                  <c:v>0</c:v>
                </c:pt>
                <c:pt idx="670">
                  <c:v>8.0000000000000002E-3</c:v>
                </c:pt>
                <c:pt idx="671">
                  <c:v>1E-3</c:v>
                </c:pt>
                <c:pt idx="672">
                  <c:v>2E-3</c:v>
                </c:pt>
                <c:pt idx="673">
                  <c:v>7.0000000000000001E-3</c:v>
                </c:pt>
                <c:pt idx="674">
                  <c:v>4.0000000000000001E-3</c:v>
                </c:pt>
                <c:pt idx="675">
                  <c:v>2E-3</c:v>
                </c:pt>
                <c:pt idx="676">
                  <c:v>1E-3</c:v>
                </c:pt>
                <c:pt idx="677">
                  <c:v>4.0000000000000001E-3</c:v>
                </c:pt>
                <c:pt idx="678">
                  <c:v>1E-3</c:v>
                </c:pt>
                <c:pt idx="679">
                  <c:v>2E-3</c:v>
                </c:pt>
                <c:pt idx="680">
                  <c:v>1E-3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2E-3</c:v>
                </c:pt>
                <c:pt idx="686">
                  <c:v>1E-3</c:v>
                </c:pt>
                <c:pt idx="687">
                  <c:v>1E-3</c:v>
                </c:pt>
                <c:pt idx="688">
                  <c:v>1E-3</c:v>
                </c:pt>
                <c:pt idx="689">
                  <c:v>1E-3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2E-3</c:v>
                </c:pt>
                <c:pt idx="696">
                  <c:v>3.0000000000000001E-3</c:v>
                </c:pt>
                <c:pt idx="697">
                  <c:v>2E-3</c:v>
                </c:pt>
                <c:pt idx="698">
                  <c:v>5.0000000000000001E-3</c:v>
                </c:pt>
                <c:pt idx="699">
                  <c:v>1E-3</c:v>
                </c:pt>
                <c:pt idx="700">
                  <c:v>4.0000000000000001E-3</c:v>
                </c:pt>
                <c:pt idx="701">
                  <c:v>3.0000000000000001E-3</c:v>
                </c:pt>
                <c:pt idx="702">
                  <c:v>3.0000000000000001E-3</c:v>
                </c:pt>
                <c:pt idx="703">
                  <c:v>3.0000000000000001E-3</c:v>
                </c:pt>
                <c:pt idx="704">
                  <c:v>2E-3</c:v>
                </c:pt>
                <c:pt idx="705">
                  <c:v>6.0000000000000001E-3</c:v>
                </c:pt>
                <c:pt idx="706">
                  <c:v>5.0000000000000001E-3</c:v>
                </c:pt>
                <c:pt idx="707">
                  <c:v>1.4999999999999999E-2</c:v>
                </c:pt>
                <c:pt idx="708">
                  <c:v>1.2999999999999999E-2</c:v>
                </c:pt>
                <c:pt idx="709">
                  <c:v>2.4E-2</c:v>
                </c:pt>
                <c:pt idx="710">
                  <c:v>1.2E-2</c:v>
                </c:pt>
                <c:pt idx="711">
                  <c:v>4.0000000000000001E-3</c:v>
                </c:pt>
                <c:pt idx="712">
                  <c:v>6.0000000000000001E-3</c:v>
                </c:pt>
                <c:pt idx="713">
                  <c:v>0</c:v>
                </c:pt>
                <c:pt idx="714">
                  <c:v>2E-3</c:v>
                </c:pt>
                <c:pt idx="715">
                  <c:v>2E-3</c:v>
                </c:pt>
                <c:pt idx="716">
                  <c:v>0</c:v>
                </c:pt>
                <c:pt idx="717">
                  <c:v>8.9999999999999993E-3</c:v>
                </c:pt>
                <c:pt idx="718">
                  <c:v>6.0000000000000001E-3</c:v>
                </c:pt>
                <c:pt idx="719">
                  <c:v>8.9999999999999993E-3</c:v>
                </c:pt>
                <c:pt idx="720">
                  <c:v>2.1000000000000001E-2</c:v>
                </c:pt>
                <c:pt idx="721">
                  <c:v>8.9999999999999993E-3</c:v>
                </c:pt>
                <c:pt idx="722">
                  <c:v>1.4999999999999999E-2</c:v>
                </c:pt>
                <c:pt idx="723">
                  <c:v>1.4999999999999999E-2</c:v>
                </c:pt>
                <c:pt idx="724">
                  <c:v>5.0000000000000001E-3</c:v>
                </c:pt>
                <c:pt idx="725">
                  <c:v>6.0000000000000001E-3</c:v>
                </c:pt>
                <c:pt idx="726">
                  <c:v>2E-3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2E-3</c:v>
                </c:pt>
                <c:pt idx="732">
                  <c:v>1E-3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4.0000000000000001E-3</c:v>
                </c:pt>
                <c:pt idx="738">
                  <c:v>7.0000000000000001E-3</c:v>
                </c:pt>
                <c:pt idx="739">
                  <c:v>8.0000000000000002E-3</c:v>
                </c:pt>
                <c:pt idx="740">
                  <c:v>1.7000000000000001E-2</c:v>
                </c:pt>
                <c:pt idx="741">
                  <c:v>1.2999999999999999E-2</c:v>
                </c:pt>
                <c:pt idx="742">
                  <c:v>1.7000000000000001E-2</c:v>
                </c:pt>
                <c:pt idx="743">
                  <c:v>1.2E-2</c:v>
                </c:pt>
                <c:pt idx="744">
                  <c:v>3.0000000000000001E-3</c:v>
                </c:pt>
                <c:pt idx="745">
                  <c:v>6.0000000000000001E-3</c:v>
                </c:pt>
                <c:pt idx="746">
                  <c:v>3.0000000000000001E-3</c:v>
                </c:pt>
                <c:pt idx="747">
                  <c:v>2E-3</c:v>
                </c:pt>
                <c:pt idx="748">
                  <c:v>3.0000000000000001E-3</c:v>
                </c:pt>
                <c:pt idx="749">
                  <c:v>1E-3</c:v>
                </c:pt>
                <c:pt idx="750">
                  <c:v>2E-3</c:v>
                </c:pt>
                <c:pt idx="751">
                  <c:v>1E-3</c:v>
                </c:pt>
                <c:pt idx="752">
                  <c:v>1E-3</c:v>
                </c:pt>
                <c:pt idx="753">
                  <c:v>4.0000000000000001E-3</c:v>
                </c:pt>
                <c:pt idx="754">
                  <c:v>2E-3</c:v>
                </c:pt>
                <c:pt idx="755">
                  <c:v>2E-3</c:v>
                </c:pt>
                <c:pt idx="756">
                  <c:v>1E-3</c:v>
                </c:pt>
                <c:pt idx="757">
                  <c:v>2E-3</c:v>
                </c:pt>
                <c:pt idx="758">
                  <c:v>1E-3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3.0000000000000001E-3</c:v>
                </c:pt>
                <c:pt idx="764">
                  <c:v>0</c:v>
                </c:pt>
                <c:pt idx="765">
                  <c:v>0</c:v>
                </c:pt>
                <c:pt idx="766">
                  <c:v>1E-3</c:v>
                </c:pt>
                <c:pt idx="767">
                  <c:v>0</c:v>
                </c:pt>
                <c:pt idx="768">
                  <c:v>0</c:v>
                </c:pt>
                <c:pt idx="769">
                  <c:v>1E-3</c:v>
                </c:pt>
                <c:pt idx="770">
                  <c:v>0</c:v>
                </c:pt>
                <c:pt idx="771">
                  <c:v>1E-3</c:v>
                </c:pt>
                <c:pt idx="772">
                  <c:v>0</c:v>
                </c:pt>
                <c:pt idx="773">
                  <c:v>0</c:v>
                </c:pt>
                <c:pt idx="774">
                  <c:v>1E-3</c:v>
                </c:pt>
                <c:pt idx="775">
                  <c:v>1E-3</c:v>
                </c:pt>
                <c:pt idx="776">
                  <c:v>1E-3</c:v>
                </c:pt>
                <c:pt idx="777">
                  <c:v>3.0000000000000001E-3</c:v>
                </c:pt>
                <c:pt idx="778">
                  <c:v>3.0000000000000001E-3</c:v>
                </c:pt>
                <c:pt idx="779">
                  <c:v>1E-3</c:v>
                </c:pt>
                <c:pt idx="780">
                  <c:v>1E-3</c:v>
                </c:pt>
                <c:pt idx="781">
                  <c:v>0</c:v>
                </c:pt>
                <c:pt idx="782">
                  <c:v>1E-3</c:v>
                </c:pt>
                <c:pt idx="783">
                  <c:v>1E-3</c:v>
                </c:pt>
                <c:pt idx="784">
                  <c:v>0</c:v>
                </c:pt>
                <c:pt idx="785">
                  <c:v>1E-3</c:v>
                </c:pt>
                <c:pt idx="786">
                  <c:v>1E-3</c:v>
                </c:pt>
                <c:pt idx="787">
                  <c:v>2E-3</c:v>
                </c:pt>
                <c:pt idx="788">
                  <c:v>1E-3</c:v>
                </c:pt>
                <c:pt idx="789">
                  <c:v>1E-3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2E-3</c:v>
                </c:pt>
                <c:pt idx="795">
                  <c:v>1E-3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2E-3</c:v>
                </c:pt>
                <c:pt idx="801">
                  <c:v>1E-3</c:v>
                </c:pt>
                <c:pt idx="802">
                  <c:v>0</c:v>
                </c:pt>
                <c:pt idx="803">
                  <c:v>3.0000000000000001E-3</c:v>
                </c:pt>
                <c:pt idx="804">
                  <c:v>1E-3</c:v>
                </c:pt>
                <c:pt idx="805">
                  <c:v>0</c:v>
                </c:pt>
                <c:pt idx="806">
                  <c:v>2E-3</c:v>
                </c:pt>
                <c:pt idx="807">
                  <c:v>2E-3</c:v>
                </c:pt>
                <c:pt idx="808">
                  <c:v>1E-3</c:v>
                </c:pt>
                <c:pt idx="809">
                  <c:v>8.9999999999999993E-3</c:v>
                </c:pt>
                <c:pt idx="810">
                  <c:v>2E-3</c:v>
                </c:pt>
                <c:pt idx="811">
                  <c:v>2E-3</c:v>
                </c:pt>
                <c:pt idx="812">
                  <c:v>2E-3</c:v>
                </c:pt>
                <c:pt idx="813">
                  <c:v>1E-3</c:v>
                </c:pt>
                <c:pt idx="814">
                  <c:v>3.0000000000000001E-3</c:v>
                </c:pt>
                <c:pt idx="815">
                  <c:v>2E-3</c:v>
                </c:pt>
                <c:pt idx="816">
                  <c:v>4.0000000000000001E-3</c:v>
                </c:pt>
                <c:pt idx="817">
                  <c:v>3.0000000000000001E-3</c:v>
                </c:pt>
                <c:pt idx="818">
                  <c:v>5.0000000000000001E-3</c:v>
                </c:pt>
                <c:pt idx="819">
                  <c:v>3.0000000000000001E-3</c:v>
                </c:pt>
                <c:pt idx="820">
                  <c:v>1E-3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2E-3</c:v>
                </c:pt>
                <c:pt idx="827">
                  <c:v>1E-3</c:v>
                </c:pt>
                <c:pt idx="828">
                  <c:v>2E-3</c:v>
                </c:pt>
                <c:pt idx="829">
                  <c:v>3.0000000000000001E-3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2E-3</c:v>
                </c:pt>
                <c:pt idx="836">
                  <c:v>1E-3</c:v>
                </c:pt>
                <c:pt idx="837">
                  <c:v>3.0000000000000001E-3</c:v>
                </c:pt>
                <c:pt idx="838">
                  <c:v>5.0000000000000001E-3</c:v>
                </c:pt>
                <c:pt idx="839">
                  <c:v>4.0000000000000001E-3</c:v>
                </c:pt>
                <c:pt idx="840">
                  <c:v>4.0000000000000001E-3</c:v>
                </c:pt>
                <c:pt idx="841">
                  <c:v>5.0000000000000001E-3</c:v>
                </c:pt>
                <c:pt idx="842">
                  <c:v>3.0000000000000001E-3</c:v>
                </c:pt>
                <c:pt idx="843">
                  <c:v>4.0000000000000001E-3</c:v>
                </c:pt>
                <c:pt idx="844">
                  <c:v>0</c:v>
                </c:pt>
                <c:pt idx="845">
                  <c:v>2E-3</c:v>
                </c:pt>
                <c:pt idx="846">
                  <c:v>0</c:v>
                </c:pt>
                <c:pt idx="847">
                  <c:v>1E-3</c:v>
                </c:pt>
                <c:pt idx="848">
                  <c:v>1E-3</c:v>
                </c:pt>
                <c:pt idx="849">
                  <c:v>1E-3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1E-3</c:v>
                </c:pt>
                <c:pt idx="856">
                  <c:v>0</c:v>
                </c:pt>
                <c:pt idx="857">
                  <c:v>2E-3</c:v>
                </c:pt>
                <c:pt idx="858">
                  <c:v>3.0000000000000001E-3</c:v>
                </c:pt>
                <c:pt idx="859">
                  <c:v>3.0000000000000001E-3</c:v>
                </c:pt>
                <c:pt idx="860">
                  <c:v>6.0000000000000001E-3</c:v>
                </c:pt>
                <c:pt idx="861">
                  <c:v>6.0000000000000001E-3</c:v>
                </c:pt>
                <c:pt idx="862">
                  <c:v>4.0000000000000001E-3</c:v>
                </c:pt>
                <c:pt idx="863">
                  <c:v>6.0000000000000001E-3</c:v>
                </c:pt>
                <c:pt idx="864">
                  <c:v>2E-3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1E-3</c:v>
                </c:pt>
                <c:pt idx="870">
                  <c:v>1E-3</c:v>
                </c:pt>
                <c:pt idx="871">
                  <c:v>1E-3</c:v>
                </c:pt>
                <c:pt idx="872">
                  <c:v>2E-3</c:v>
                </c:pt>
                <c:pt idx="873">
                  <c:v>0</c:v>
                </c:pt>
                <c:pt idx="874">
                  <c:v>1E-3</c:v>
                </c:pt>
                <c:pt idx="875">
                  <c:v>1E-3</c:v>
                </c:pt>
                <c:pt idx="876">
                  <c:v>0</c:v>
                </c:pt>
                <c:pt idx="877">
                  <c:v>2E-3</c:v>
                </c:pt>
                <c:pt idx="878">
                  <c:v>1E-3</c:v>
                </c:pt>
                <c:pt idx="879">
                  <c:v>1E-3</c:v>
                </c:pt>
                <c:pt idx="880">
                  <c:v>1E-3</c:v>
                </c:pt>
                <c:pt idx="881">
                  <c:v>2E-3</c:v>
                </c:pt>
                <c:pt idx="882">
                  <c:v>2E-3</c:v>
                </c:pt>
                <c:pt idx="883">
                  <c:v>1E-3</c:v>
                </c:pt>
                <c:pt idx="884">
                  <c:v>1E-3</c:v>
                </c:pt>
                <c:pt idx="885">
                  <c:v>1E-3</c:v>
                </c:pt>
                <c:pt idx="886">
                  <c:v>1E-3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2E-3</c:v>
                </c:pt>
                <c:pt idx="893">
                  <c:v>5.0000000000000001E-3</c:v>
                </c:pt>
                <c:pt idx="894">
                  <c:v>3.0000000000000001E-3</c:v>
                </c:pt>
                <c:pt idx="895">
                  <c:v>5.0000000000000001E-3</c:v>
                </c:pt>
                <c:pt idx="896">
                  <c:v>5.0000000000000001E-3</c:v>
                </c:pt>
                <c:pt idx="897">
                  <c:v>2E-3</c:v>
                </c:pt>
                <c:pt idx="898">
                  <c:v>4.0000000000000001E-3</c:v>
                </c:pt>
                <c:pt idx="899">
                  <c:v>2E-3</c:v>
                </c:pt>
                <c:pt idx="900">
                  <c:v>4.0000000000000001E-3</c:v>
                </c:pt>
                <c:pt idx="901">
                  <c:v>4.0000000000000001E-3</c:v>
                </c:pt>
                <c:pt idx="902">
                  <c:v>5.0000000000000001E-3</c:v>
                </c:pt>
                <c:pt idx="903">
                  <c:v>7.0000000000000001E-3</c:v>
                </c:pt>
                <c:pt idx="904">
                  <c:v>5.0000000000000001E-3</c:v>
                </c:pt>
                <c:pt idx="905">
                  <c:v>0.01</c:v>
                </c:pt>
                <c:pt idx="906">
                  <c:v>3.0000000000000001E-3</c:v>
                </c:pt>
                <c:pt idx="907">
                  <c:v>8.0000000000000002E-3</c:v>
                </c:pt>
                <c:pt idx="908">
                  <c:v>8.0000000000000002E-3</c:v>
                </c:pt>
                <c:pt idx="909">
                  <c:v>1.7000000000000001E-2</c:v>
                </c:pt>
                <c:pt idx="910">
                  <c:v>1.7000000000000001E-2</c:v>
                </c:pt>
                <c:pt idx="911">
                  <c:v>1.2999999999999999E-2</c:v>
                </c:pt>
                <c:pt idx="912">
                  <c:v>0.01</c:v>
                </c:pt>
                <c:pt idx="913">
                  <c:v>7.0000000000000001E-3</c:v>
                </c:pt>
                <c:pt idx="914">
                  <c:v>7.0000000000000001E-3</c:v>
                </c:pt>
                <c:pt idx="915">
                  <c:v>5.0000000000000001E-3</c:v>
                </c:pt>
                <c:pt idx="916">
                  <c:v>1.0999999999999999E-2</c:v>
                </c:pt>
                <c:pt idx="917">
                  <c:v>7.0000000000000001E-3</c:v>
                </c:pt>
                <c:pt idx="918">
                  <c:v>1.2E-2</c:v>
                </c:pt>
                <c:pt idx="919">
                  <c:v>5.0000000000000001E-3</c:v>
                </c:pt>
                <c:pt idx="920">
                  <c:v>8.0000000000000002E-3</c:v>
                </c:pt>
                <c:pt idx="921">
                  <c:v>8.0000000000000002E-3</c:v>
                </c:pt>
                <c:pt idx="922">
                  <c:v>3.0000000000000001E-3</c:v>
                </c:pt>
                <c:pt idx="923">
                  <c:v>2E-3</c:v>
                </c:pt>
                <c:pt idx="924">
                  <c:v>7.0000000000000001E-3</c:v>
                </c:pt>
                <c:pt idx="925">
                  <c:v>3.0000000000000001E-3</c:v>
                </c:pt>
                <c:pt idx="926">
                  <c:v>7.0000000000000001E-3</c:v>
                </c:pt>
                <c:pt idx="927">
                  <c:v>8.0000000000000002E-3</c:v>
                </c:pt>
                <c:pt idx="928">
                  <c:v>5.0000000000000001E-3</c:v>
                </c:pt>
                <c:pt idx="929">
                  <c:v>6.0000000000000001E-3</c:v>
                </c:pt>
                <c:pt idx="930">
                  <c:v>6.0000000000000001E-3</c:v>
                </c:pt>
                <c:pt idx="931">
                  <c:v>6.0000000000000001E-3</c:v>
                </c:pt>
                <c:pt idx="932">
                  <c:v>1E-3</c:v>
                </c:pt>
                <c:pt idx="933">
                  <c:v>4.0000000000000001E-3</c:v>
                </c:pt>
                <c:pt idx="934">
                  <c:v>1E-3</c:v>
                </c:pt>
                <c:pt idx="935">
                  <c:v>2E-3</c:v>
                </c:pt>
                <c:pt idx="936">
                  <c:v>2E-3</c:v>
                </c:pt>
                <c:pt idx="937">
                  <c:v>1E-3</c:v>
                </c:pt>
                <c:pt idx="938">
                  <c:v>1E-3</c:v>
                </c:pt>
                <c:pt idx="939">
                  <c:v>1E-3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2E-3</c:v>
                </c:pt>
                <c:pt idx="945">
                  <c:v>0</c:v>
                </c:pt>
                <c:pt idx="946">
                  <c:v>2E-3</c:v>
                </c:pt>
                <c:pt idx="947">
                  <c:v>3.0000000000000001E-3</c:v>
                </c:pt>
                <c:pt idx="948">
                  <c:v>1E-3</c:v>
                </c:pt>
                <c:pt idx="949">
                  <c:v>7.0000000000000001E-3</c:v>
                </c:pt>
                <c:pt idx="950">
                  <c:v>4.0000000000000001E-3</c:v>
                </c:pt>
                <c:pt idx="951">
                  <c:v>5.0000000000000001E-3</c:v>
                </c:pt>
                <c:pt idx="952">
                  <c:v>4.0000000000000001E-3</c:v>
                </c:pt>
                <c:pt idx="953">
                  <c:v>5.0000000000000001E-3</c:v>
                </c:pt>
                <c:pt idx="954">
                  <c:v>4.0000000000000001E-3</c:v>
                </c:pt>
                <c:pt idx="955">
                  <c:v>4.0000000000000001E-3</c:v>
                </c:pt>
                <c:pt idx="956">
                  <c:v>3.0000000000000001E-3</c:v>
                </c:pt>
                <c:pt idx="957">
                  <c:v>2E-3</c:v>
                </c:pt>
                <c:pt idx="958">
                  <c:v>2E-3</c:v>
                </c:pt>
                <c:pt idx="959">
                  <c:v>3.0000000000000001E-3</c:v>
                </c:pt>
                <c:pt idx="960">
                  <c:v>0</c:v>
                </c:pt>
                <c:pt idx="961">
                  <c:v>2E-3</c:v>
                </c:pt>
                <c:pt idx="962">
                  <c:v>0</c:v>
                </c:pt>
                <c:pt idx="963">
                  <c:v>1E-3</c:v>
                </c:pt>
                <c:pt idx="964">
                  <c:v>2E-3</c:v>
                </c:pt>
                <c:pt idx="965">
                  <c:v>1E-3</c:v>
                </c:pt>
                <c:pt idx="966">
                  <c:v>0</c:v>
                </c:pt>
                <c:pt idx="967">
                  <c:v>2E-3</c:v>
                </c:pt>
                <c:pt idx="968">
                  <c:v>1E-3</c:v>
                </c:pt>
                <c:pt idx="969">
                  <c:v>2E-3</c:v>
                </c:pt>
                <c:pt idx="970">
                  <c:v>4.0000000000000001E-3</c:v>
                </c:pt>
                <c:pt idx="971">
                  <c:v>0</c:v>
                </c:pt>
                <c:pt idx="972">
                  <c:v>2E-3</c:v>
                </c:pt>
                <c:pt idx="973">
                  <c:v>1E-3</c:v>
                </c:pt>
                <c:pt idx="974">
                  <c:v>1E-3</c:v>
                </c:pt>
                <c:pt idx="975">
                  <c:v>1E-3</c:v>
                </c:pt>
                <c:pt idx="976">
                  <c:v>1E-3</c:v>
                </c:pt>
                <c:pt idx="977">
                  <c:v>1E-3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1E-3</c:v>
                </c:pt>
                <c:pt idx="983">
                  <c:v>0</c:v>
                </c:pt>
                <c:pt idx="984">
                  <c:v>0</c:v>
                </c:pt>
              </c:numCache>
            </c:numRef>
          </c:xVal>
          <c:yVal>
            <c:numRef>
              <c:f>'Mobility Curve FF'!$AG$3:$AG$987</c:f>
              <c:numCache>
                <c:formatCode>General</c:formatCode>
                <c:ptCount val="985"/>
                <c:pt idx="0">
                  <c:v>0.998</c:v>
                </c:pt>
                <c:pt idx="1">
                  <c:v>0.997</c:v>
                </c:pt>
                <c:pt idx="2">
                  <c:v>0.999</c:v>
                </c:pt>
                <c:pt idx="3">
                  <c:v>0.78200000000000003</c:v>
                </c:pt>
                <c:pt idx="4">
                  <c:v>0.77100000000000002</c:v>
                </c:pt>
                <c:pt idx="5">
                  <c:v>0.71</c:v>
                </c:pt>
                <c:pt idx="6">
                  <c:v>0.65800000000000003</c:v>
                </c:pt>
                <c:pt idx="7">
                  <c:v>0.45300000000000001</c:v>
                </c:pt>
                <c:pt idx="8">
                  <c:v>0.34599999999999997</c:v>
                </c:pt>
                <c:pt idx="9">
                  <c:v>0.51100000000000001</c:v>
                </c:pt>
                <c:pt idx="10">
                  <c:v>0.44700000000000001</c:v>
                </c:pt>
                <c:pt idx="11">
                  <c:v>0.439</c:v>
                </c:pt>
                <c:pt idx="12">
                  <c:v>0.53500000000000003</c:v>
                </c:pt>
                <c:pt idx="13">
                  <c:v>0.54700000000000004</c:v>
                </c:pt>
                <c:pt idx="14">
                  <c:v>0.76600000000000001</c:v>
                </c:pt>
                <c:pt idx="15">
                  <c:v>0.71799999999999997</c:v>
                </c:pt>
                <c:pt idx="16">
                  <c:v>0.73799999999999999</c:v>
                </c:pt>
                <c:pt idx="17">
                  <c:v>0.66500000000000004</c:v>
                </c:pt>
                <c:pt idx="18">
                  <c:v>0.71299999999999997</c:v>
                </c:pt>
                <c:pt idx="19">
                  <c:v>0.84799999999999998</c:v>
                </c:pt>
                <c:pt idx="20">
                  <c:v>0.55800000000000005</c:v>
                </c:pt>
                <c:pt idx="21">
                  <c:v>0.71899999999999997</c:v>
                </c:pt>
                <c:pt idx="22">
                  <c:v>0.35699999999999998</c:v>
                </c:pt>
                <c:pt idx="23">
                  <c:v>0.35899999999999999</c:v>
                </c:pt>
                <c:pt idx="24">
                  <c:v>0.65600000000000003</c:v>
                </c:pt>
                <c:pt idx="25">
                  <c:v>0.7</c:v>
                </c:pt>
                <c:pt idx="26">
                  <c:v>0.79400000000000004</c:v>
                </c:pt>
                <c:pt idx="27">
                  <c:v>0.995</c:v>
                </c:pt>
                <c:pt idx="28">
                  <c:v>0.78200000000000003</c:v>
                </c:pt>
                <c:pt idx="29">
                  <c:v>0.998</c:v>
                </c:pt>
                <c:pt idx="30">
                  <c:v>0.8</c:v>
                </c:pt>
                <c:pt idx="31">
                  <c:v>0.55900000000000005</c:v>
                </c:pt>
                <c:pt idx="32">
                  <c:v>0.72299999999999998</c:v>
                </c:pt>
                <c:pt idx="33">
                  <c:v>0.746</c:v>
                </c:pt>
                <c:pt idx="34">
                  <c:v>0.76300000000000001</c:v>
                </c:pt>
                <c:pt idx="35">
                  <c:v>0.78700000000000003</c:v>
                </c:pt>
                <c:pt idx="36">
                  <c:v>0.78800000000000003</c:v>
                </c:pt>
                <c:pt idx="37">
                  <c:v>0.78</c:v>
                </c:pt>
                <c:pt idx="38">
                  <c:v>0.77700000000000002</c:v>
                </c:pt>
                <c:pt idx="39">
                  <c:v>0.78700000000000003</c:v>
                </c:pt>
                <c:pt idx="40">
                  <c:v>0.80400000000000005</c:v>
                </c:pt>
                <c:pt idx="41">
                  <c:v>0.76300000000000001</c:v>
                </c:pt>
                <c:pt idx="42">
                  <c:v>0.76700000000000002</c:v>
                </c:pt>
                <c:pt idx="43">
                  <c:v>0.77800000000000002</c:v>
                </c:pt>
                <c:pt idx="44">
                  <c:v>0.78</c:v>
                </c:pt>
                <c:pt idx="45">
                  <c:v>0.80100000000000005</c:v>
                </c:pt>
                <c:pt idx="46">
                  <c:v>0.998</c:v>
                </c:pt>
                <c:pt idx="47">
                  <c:v>0.999</c:v>
                </c:pt>
                <c:pt idx="48">
                  <c:v>0.999</c:v>
                </c:pt>
                <c:pt idx="49">
                  <c:v>0.80500000000000005</c:v>
                </c:pt>
                <c:pt idx="50">
                  <c:v>0.77100000000000002</c:v>
                </c:pt>
                <c:pt idx="51">
                  <c:v>0.72</c:v>
                </c:pt>
                <c:pt idx="52">
                  <c:v>0.71199999999999997</c:v>
                </c:pt>
                <c:pt idx="53">
                  <c:v>0.54900000000000004</c:v>
                </c:pt>
                <c:pt idx="54">
                  <c:v>0.71799999999999997</c:v>
                </c:pt>
                <c:pt idx="55">
                  <c:v>0.54600000000000004</c:v>
                </c:pt>
                <c:pt idx="56">
                  <c:v>0.746</c:v>
                </c:pt>
                <c:pt idx="57">
                  <c:v>0.79</c:v>
                </c:pt>
                <c:pt idx="58">
                  <c:v>0.77700000000000002</c:v>
                </c:pt>
                <c:pt idx="59">
                  <c:v>0.995</c:v>
                </c:pt>
                <c:pt idx="60">
                  <c:v>0.77800000000000002</c:v>
                </c:pt>
                <c:pt idx="61">
                  <c:v>0.78500000000000003</c:v>
                </c:pt>
                <c:pt idx="62">
                  <c:v>0.80300000000000005</c:v>
                </c:pt>
                <c:pt idx="63">
                  <c:v>0.71599999999999997</c:v>
                </c:pt>
                <c:pt idx="64">
                  <c:v>0.76700000000000002</c:v>
                </c:pt>
                <c:pt idx="65">
                  <c:v>0.78600000000000003</c:v>
                </c:pt>
                <c:pt idx="66">
                  <c:v>0.77700000000000002</c:v>
                </c:pt>
                <c:pt idx="67">
                  <c:v>0.75700000000000001</c:v>
                </c:pt>
                <c:pt idx="68">
                  <c:v>0.56699999999999995</c:v>
                </c:pt>
                <c:pt idx="69">
                  <c:v>0.78900000000000003</c:v>
                </c:pt>
                <c:pt idx="70">
                  <c:v>0.80300000000000005</c:v>
                </c:pt>
                <c:pt idx="71">
                  <c:v>0.77900000000000003</c:v>
                </c:pt>
                <c:pt idx="72">
                  <c:v>0.81200000000000006</c:v>
                </c:pt>
                <c:pt idx="73">
                  <c:v>0.995</c:v>
                </c:pt>
                <c:pt idx="74">
                  <c:v>0.999</c:v>
                </c:pt>
                <c:pt idx="75">
                  <c:v>0.999</c:v>
                </c:pt>
                <c:pt idx="76">
                  <c:v>0.996</c:v>
                </c:pt>
                <c:pt idx="77">
                  <c:v>0.996</c:v>
                </c:pt>
                <c:pt idx="78">
                  <c:v>0.998</c:v>
                </c:pt>
                <c:pt idx="79">
                  <c:v>0.79600000000000004</c:v>
                </c:pt>
                <c:pt idx="80">
                  <c:v>0.80700000000000005</c:v>
                </c:pt>
                <c:pt idx="81">
                  <c:v>0.79500000000000004</c:v>
                </c:pt>
                <c:pt idx="82">
                  <c:v>0.84199999999999997</c:v>
                </c:pt>
                <c:pt idx="83">
                  <c:v>0.45800000000000002</c:v>
                </c:pt>
                <c:pt idx="84">
                  <c:v>0.38200000000000001</c:v>
                </c:pt>
                <c:pt idx="85">
                  <c:v>0.53</c:v>
                </c:pt>
                <c:pt idx="86">
                  <c:v>0.28399999999999997</c:v>
                </c:pt>
                <c:pt idx="87">
                  <c:v>0.74099999999999999</c:v>
                </c:pt>
                <c:pt idx="88">
                  <c:v>0.77600000000000002</c:v>
                </c:pt>
                <c:pt idx="89">
                  <c:v>0.79800000000000004</c:v>
                </c:pt>
                <c:pt idx="90">
                  <c:v>0.78300000000000003</c:v>
                </c:pt>
                <c:pt idx="91">
                  <c:v>0.79700000000000004</c:v>
                </c:pt>
                <c:pt idx="92">
                  <c:v>0.75800000000000001</c:v>
                </c:pt>
                <c:pt idx="93">
                  <c:v>0.56799999999999995</c:v>
                </c:pt>
                <c:pt idx="94">
                  <c:v>0.56999999999999995</c:v>
                </c:pt>
                <c:pt idx="95">
                  <c:v>0.70899999999999996</c:v>
                </c:pt>
                <c:pt idx="96">
                  <c:v>0.70599999999999996</c:v>
                </c:pt>
                <c:pt idx="97">
                  <c:v>0.70499999999999996</c:v>
                </c:pt>
                <c:pt idx="98">
                  <c:v>0.56499999999999995</c:v>
                </c:pt>
                <c:pt idx="99">
                  <c:v>0.74099999999999999</c:v>
                </c:pt>
                <c:pt idx="100">
                  <c:v>0.80700000000000005</c:v>
                </c:pt>
                <c:pt idx="101">
                  <c:v>0.77400000000000002</c:v>
                </c:pt>
                <c:pt idx="102">
                  <c:v>0.78600000000000003</c:v>
                </c:pt>
                <c:pt idx="103">
                  <c:v>0.80100000000000005</c:v>
                </c:pt>
                <c:pt idx="104">
                  <c:v>0.73799999999999999</c:v>
                </c:pt>
                <c:pt idx="105">
                  <c:v>0.69099999999999995</c:v>
                </c:pt>
                <c:pt idx="106">
                  <c:v>0.66100000000000003</c:v>
                </c:pt>
                <c:pt idx="107">
                  <c:v>0.46400000000000002</c:v>
                </c:pt>
                <c:pt idx="108">
                  <c:v>0.55500000000000005</c:v>
                </c:pt>
                <c:pt idx="109">
                  <c:v>0.72499999999999998</c:v>
                </c:pt>
                <c:pt idx="110">
                  <c:v>0.78800000000000003</c:v>
                </c:pt>
                <c:pt idx="111">
                  <c:v>0.78600000000000003</c:v>
                </c:pt>
                <c:pt idx="112">
                  <c:v>0.80500000000000005</c:v>
                </c:pt>
                <c:pt idx="113">
                  <c:v>0.77700000000000002</c:v>
                </c:pt>
                <c:pt idx="114">
                  <c:v>0.749</c:v>
                </c:pt>
                <c:pt idx="115">
                  <c:v>0.80400000000000005</c:v>
                </c:pt>
                <c:pt idx="116">
                  <c:v>0.78600000000000003</c:v>
                </c:pt>
                <c:pt idx="117">
                  <c:v>0.73799999999999999</c:v>
                </c:pt>
                <c:pt idx="118">
                  <c:v>0.70599999999999996</c:v>
                </c:pt>
                <c:pt idx="119">
                  <c:v>0.69299999999999995</c:v>
                </c:pt>
                <c:pt idx="120">
                  <c:v>0.70499999999999996</c:v>
                </c:pt>
                <c:pt idx="121">
                  <c:v>0.67100000000000004</c:v>
                </c:pt>
                <c:pt idx="122">
                  <c:v>0.69699999999999995</c:v>
                </c:pt>
                <c:pt idx="123">
                  <c:v>0.69499999999999995</c:v>
                </c:pt>
                <c:pt idx="124">
                  <c:v>0.73799999999999999</c:v>
                </c:pt>
                <c:pt idx="125">
                  <c:v>0.71</c:v>
                </c:pt>
                <c:pt idx="126">
                  <c:v>0.57599999999999996</c:v>
                </c:pt>
                <c:pt idx="127">
                  <c:v>0.69299999999999995</c:v>
                </c:pt>
                <c:pt idx="128">
                  <c:v>0.77700000000000002</c:v>
                </c:pt>
                <c:pt idx="129">
                  <c:v>0.80200000000000005</c:v>
                </c:pt>
                <c:pt idx="130">
                  <c:v>0.79300000000000004</c:v>
                </c:pt>
                <c:pt idx="131">
                  <c:v>0.80800000000000005</c:v>
                </c:pt>
                <c:pt idx="132">
                  <c:v>0.79200000000000004</c:v>
                </c:pt>
                <c:pt idx="133">
                  <c:v>0.78</c:v>
                </c:pt>
                <c:pt idx="134">
                  <c:v>0.80500000000000005</c:v>
                </c:pt>
                <c:pt idx="135">
                  <c:v>0.57399999999999995</c:v>
                </c:pt>
                <c:pt idx="136">
                  <c:v>0.56599999999999995</c:v>
                </c:pt>
                <c:pt idx="137">
                  <c:v>0.8</c:v>
                </c:pt>
                <c:pt idx="138">
                  <c:v>0.80700000000000005</c:v>
                </c:pt>
                <c:pt idx="139">
                  <c:v>0.99399999999999999</c:v>
                </c:pt>
                <c:pt idx="140">
                  <c:v>0.998</c:v>
                </c:pt>
                <c:pt idx="141">
                  <c:v>0.998</c:v>
                </c:pt>
                <c:pt idx="142">
                  <c:v>0.996</c:v>
                </c:pt>
                <c:pt idx="143">
                  <c:v>0.80200000000000005</c:v>
                </c:pt>
                <c:pt idx="144">
                  <c:v>0.77</c:v>
                </c:pt>
                <c:pt idx="145">
                  <c:v>0.77500000000000002</c:v>
                </c:pt>
                <c:pt idx="146">
                  <c:v>0.80500000000000005</c:v>
                </c:pt>
                <c:pt idx="147">
                  <c:v>0.80300000000000005</c:v>
                </c:pt>
                <c:pt idx="148">
                  <c:v>0.80900000000000005</c:v>
                </c:pt>
                <c:pt idx="149">
                  <c:v>0.996</c:v>
                </c:pt>
                <c:pt idx="150">
                  <c:v>0.996</c:v>
                </c:pt>
                <c:pt idx="151">
                  <c:v>0.995</c:v>
                </c:pt>
                <c:pt idx="152">
                  <c:v>0.99399999999999999</c:v>
                </c:pt>
                <c:pt idx="153">
                  <c:v>0.99399999999999999</c:v>
                </c:pt>
                <c:pt idx="154">
                  <c:v>0.77500000000000002</c:v>
                </c:pt>
                <c:pt idx="155">
                  <c:v>0.78600000000000003</c:v>
                </c:pt>
                <c:pt idx="156">
                  <c:v>0.53200000000000003</c:v>
                </c:pt>
                <c:pt idx="157">
                  <c:v>0.71299999999999997</c:v>
                </c:pt>
                <c:pt idx="158">
                  <c:v>0.75900000000000001</c:v>
                </c:pt>
                <c:pt idx="159">
                  <c:v>0.755</c:v>
                </c:pt>
                <c:pt idx="160">
                  <c:v>0.72199999999999998</c:v>
                </c:pt>
                <c:pt idx="161">
                  <c:v>0.53600000000000003</c:v>
                </c:pt>
                <c:pt idx="162">
                  <c:v>0.65200000000000002</c:v>
                </c:pt>
                <c:pt idx="163">
                  <c:v>0.52700000000000002</c:v>
                </c:pt>
                <c:pt idx="164">
                  <c:v>0.42399999999999999</c:v>
                </c:pt>
                <c:pt idx="165">
                  <c:v>0.69799999999999995</c:v>
                </c:pt>
                <c:pt idx="166">
                  <c:v>0.83099999999999996</c:v>
                </c:pt>
                <c:pt idx="167">
                  <c:v>0.70299999999999996</c:v>
                </c:pt>
                <c:pt idx="168">
                  <c:v>0.74299999999999999</c:v>
                </c:pt>
                <c:pt idx="169">
                  <c:v>0.75700000000000001</c:v>
                </c:pt>
                <c:pt idx="170">
                  <c:v>0.53700000000000003</c:v>
                </c:pt>
                <c:pt idx="171">
                  <c:v>0.72</c:v>
                </c:pt>
                <c:pt idx="172">
                  <c:v>0.69899999999999995</c:v>
                </c:pt>
                <c:pt idx="173">
                  <c:v>0.72199999999999998</c:v>
                </c:pt>
                <c:pt idx="174">
                  <c:v>0.53200000000000003</c:v>
                </c:pt>
                <c:pt idx="175">
                  <c:v>0.77400000000000002</c:v>
                </c:pt>
                <c:pt idx="176">
                  <c:v>0.78600000000000003</c:v>
                </c:pt>
                <c:pt idx="177">
                  <c:v>0.79</c:v>
                </c:pt>
                <c:pt idx="178">
                  <c:v>0.75800000000000001</c:v>
                </c:pt>
                <c:pt idx="179">
                  <c:v>0.53500000000000003</c:v>
                </c:pt>
                <c:pt idx="180">
                  <c:v>0.78100000000000003</c:v>
                </c:pt>
                <c:pt idx="181">
                  <c:v>0.76</c:v>
                </c:pt>
                <c:pt idx="182">
                  <c:v>0.53400000000000003</c:v>
                </c:pt>
                <c:pt idx="183">
                  <c:v>0.76100000000000001</c:v>
                </c:pt>
                <c:pt idx="184">
                  <c:v>0.76300000000000001</c:v>
                </c:pt>
                <c:pt idx="185">
                  <c:v>0.77100000000000002</c:v>
                </c:pt>
                <c:pt idx="186">
                  <c:v>0.99299999999999999</c:v>
                </c:pt>
                <c:pt idx="187">
                  <c:v>0.77500000000000002</c:v>
                </c:pt>
                <c:pt idx="188">
                  <c:v>0.99199999999999999</c:v>
                </c:pt>
                <c:pt idx="189">
                  <c:v>0.76700000000000002</c:v>
                </c:pt>
                <c:pt idx="190">
                  <c:v>0.77100000000000002</c:v>
                </c:pt>
                <c:pt idx="191">
                  <c:v>0.78500000000000003</c:v>
                </c:pt>
                <c:pt idx="192">
                  <c:v>0.78300000000000003</c:v>
                </c:pt>
                <c:pt idx="193">
                  <c:v>0.76900000000000002</c:v>
                </c:pt>
                <c:pt idx="194">
                  <c:v>0.77600000000000002</c:v>
                </c:pt>
                <c:pt idx="195">
                  <c:v>0.77700000000000002</c:v>
                </c:pt>
                <c:pt idx="196">
                  <c:v>0.77600000000000002</c:v>
                </c:pt>
                <c:pt idx="197">
                  <c:v>0.99</c:v>
                </c:pt>
                <c:pt idx="198">
                  <c:v>0.78400000000000003</c:v>
                </c:pt>
                <c:pt idx="199">
                  <c:v>0.99299999999999999</c:v>
                </c:pt>
                <c:pt idx="200">
                  <c:v>0.99299999999999999</c:v>
                </c:pt>
                <c:pt idx="201">
                  <c:v>0.79300000000000004</c:v>
                </c:pt>
                <c:pt idx="202">
                  <c:v>0.99399999999999999</c:v>
                </c:pt>
                <c:pt idx="203">
                  <c:v>0.99299999999999999</c:v>
                </c:pt>
                <c:pt idx="204">
                  <c:v>0.998</c:v>
                </c:pt>
                <c:pt idx="205">
                  <c:v>0.999</c:v>
                </c:pt>
                <c:pt idx="206">
                  <c:v>0.999</c:v>
                </c:pt>
                <c:pt idx="207">
                  <c:v>0.79100000000000004</c:v>
                </c:pt>
                <c:pt idx="208">
                  <c:v>0.995</c:v>
                </c:pt>
                <c:pt idx="209">
                  <c:v>0.76600000000000001</c:v>
                </c:pt>
                <c:pt idx="210">
                  <c:v>0.68700000000000006</c:v>
                </c:pt>
                <c:pt idx="211">
                  <c:v>0.745</c:v>
                </c:pt>
                <c:pt idx="212">
                  <c:v>0.48399999999999999</c:v>
                </c:pt>
                <c:pt idx="213">
                  <c:v>0.34499999999999997</c:v>
                </c:pt>
                <c:pt idx="214">
                  <c:v>0.33500000000000002</c:v>
                </c:pt>
                <c:pt idx="215">
                  <c:v>0.504</c:v>
                </c:pt>
                <c:pt idx="216">
                  <c:v>0.44</c:v>
                </c:pt>
                <c:pt idx="217">
                  <c:v>0.69899999999999995</c:v>
                </c:pt>
                <c:pt idx="218">
                  <c:v>0.74399999999999999</c:v>
                </c:pt>
                <c:pt idx="219">
                  <c:v>0.78400000000000003</c:v>
                </c:pt>
                <c:pt idx="220">
                  <c:v>0.80400000000000005</c:v>
                </c:pt>
                <c:pt idx="221">
                  <c:v>0.78</c:v>
                </c:pt>
                <c:pt idx="222">
                  <c:v>0.75800000000000001</c:v>
                </c:pt>
                <c:pt idx="223">
                  <c:v>0.72199999999999998</c:v>
                </c:pt>
                <c:pt idx="224">
                  <c:v>0.751</c:v>
                </c:pt>
                <c:pt idx="225">
                  <c:v>0.70899999999999996</c:v>
                </c:pt>
                <c:pt idx="226">
                  <c:v>0.70199999999999996</c:v>
                </c:pt>
                <c:pt idx="227">
                  <c:v>0.70199999999999996</c:v>
                </c:pt>
                <c:pt idx="228">
                  <c:v>0.70199999999999996</c:v>
                </c:pt>
                <c:pt idx="229">
                  <c:v>0.84499999999999997</c:v>
                </c:pt>
                <c:pt idx="230">
                  <c:v>0.751</c:v>
                </c:pt>
                <c:pt idx="231">
                  <c:v>0.66500000000000004</c:v>
                </c:pt>
                <c:pt idx="232">
                  <c:v>0.748</c:v>
                </c:pt>
                <c:pt idx="233">
                  <c:v>0.53400000000000003</c:v>
                </c:pt>
                <c:pt idx="234">
                  <c:v>0.54</c:v>
                </c:pt>
                <c:pt idx="235">
                  <c:v>0.68400000000000005</c:v>
                </c:pt>
                <c:pt idx="236">
                  <c:v>0.42699999999999999</c:v>
                </c:pt>
                <c:pt idx="237">
                  <c:v>0.83099999999999996</c:v>
                </c:pt>
                <c:pt idx="238">
                  <c:v>0.66200000000000003</c:v>
                </c:pt>
                <c:pt idx="239">
                  <c:v>0.749</c:v>
                </c:pt>
                <c:pt idx="240">
                  <c:v>0.51800000000000002</c:v>
                </c:pt>
                <c:pt idx="241">
                  <c:v>0.71299999999999997</c:v>
                </c:pt>
                <c:pt idx="242">
                  <c:v>0.52100000000000002</c:v>
                </c:pt>
                <c:pt idx="243">
                  <c:v>0.78600000000000003</c:v>
                </c:pt>
                <c:pt idx="244">
                  <c:v>0.99299999999999999</c:v>
                </c:pt>
                <c:pt idx="245">
                  <c:v>0.79500000000000004</c:v>
                </c:pt>
                <c:pt idx="246">
                  <c:v>0.996</c:v>
                </c:pt>
                <c:pt idx="247">
                  <c:v>0.78500000000000003</c:v>
                </c:pt>
                <c:pt idx="248">
                  <c:v>0.79300000000000004</c:v>
                </c:pt>
                <c:pt idx="249">
                  <c:v>0.76300000000000001</c:v>
                </c:pt>
                <c:pt idx="250">
                  <c:v>0.54400000000000004</c:v>
                </c:pt>
                <c:pt idx="251">
                  <c:v>0.77600000000000002</c:v>
                </c:pt>
                <c:pt idx="252">
                  <c:v>0.72099999999999997</c:v>
                </c:pt>
                <c:pt idx="253">
                  <c:v>0.78400000000000003</c:v>
                </c:pt>
                <c:pt idx="254">
                  <c:v>0.78100000000000003</c:v>
                </c:pt>
                <c:pt idx="255">
                  <c:v>0.996</c:v>
                </c:pt>
                <c:pt idx="256">
                  <c:v>0.79600000000000004</c:v>
                </c:pt>
                <c:pt idx="257">
                  <c:v>0.79200000000000004</c:v>
                </c:pt>
                <c:pt idx="258">
                  <c:v>0.999</c:v>
                </c:pt>
                <c:pt idx="259">
                  <c:v>0.79</c:v>
                </c:pt>
                <c:pt idx="260">
                  <c:v>0.79500000000000004</c:v>
                </c:pt>
                <c:pt idx="261">
                  <c:v>0.78400000000000003</c:v>
                </c:pt>
                <c:pt idx="262">
                  <c:v>0.53900000000000003</c:v>
                </c:pt>
                <c:pt idx="263">
                  <c:v>0.78800000000000003</c:v>
                </c:pt>
                <c:pt idx="264">
                  <c:v>0.52800000000000002</c:v>
                </c:pt>
                <c:pt idx="265">
                  <c:v>0.68100000000000005</c:v>
                </c:pt>
                <c:pt idx="266">
                  <c:v>0.51900000000000002</c:v>
                </c:pt>
                <c:pt idx="267">
                  <c:v>0.53100000000000003</c:v>
                </c:pt>
                <c:pt idx="268">
                  <c:v>0.78500000000000003</c:v>
                </c:pt>
                <c:pt idx="269">
                  <c:v>0.78300000000000003</c:v>
                </c:pt>
                <c:pt idx="270">
                  <c:v>0.997</c:v>
                </c:pt>
                <c:pt idx="271">
                  <c:v>0.79800000000000004</c:v>
                </c:pt>
                <c:pt idx="272">
                  <c:v>0.79</c:v>
                </c:pt>
                <c:pt idx="273">
                  <c:v>0.998</c:v>
                </c:pt>
                <c:pt idx="274">
                  <c:v>0.80300000000000005</c:v>
                </c:pt>
                <c:pt idx="275">
                  <c:v>0.79700000000000004</c:v>
                </c:pt>
                <c:pt idx="276">
                  <c:v>0.80700000000000005</c:v>
                </c:pt>
                <c:pt idx="277">
                  <c:v>0.79600000000000004</c:v>
                </c:pt>
                <c:pt idx="278">
                  <c:v>0.996</c:v>
                </c:pt>
                <c:pt idx="279">
                  <c:v>0.998</c:v>
                </c:pt>
                <c:pt idx="280">
                  <c:v>0.997</c:v>
                </c:pt>
                <c:pt idx="281">
                  <c:v>0.998</c:v>
                </c:pt>
                <c:pt idx="282">
                  <c:v>0.996</c:v>
                </c:pt>
                <c:pt idx="283">
                  <c:v>0.78700000000000003</c:v>
                </c:pt>
                <c:pt idx="284">
                  <c:v>0.79400000000000004</c:v>
                </c:pt>
                <c:pt idx="285">
                  <c:v>0.53300000000000003</c:v>
                </c:pt>
                <c:pt idx="286">
                  <c:v>0.748</c:v>
                </c:pt>
                <c:pt idx="287">
                  <c:v>0.68500000000000005</c:v>
                </c:pt>
                <c:pt idx="288">
                  <c:v>0.84099999999999997</c:v>
                </c:pt>
                <c:pt idx="289">
                  <c:v>0.84699999999999998</c:v>
                </c:pt>
                <c:pt idx="290">
                  <c:v>0.68600000000000005</c:v>
                </c:pt>
                <c:pt idx="291">
                  <c:v>0.36599999999999999</c:v>
                </c:pt>
                <c:pt idx="292">
                  <c:v>0.44600000000000001</c:v>
                </c:pt>
                <c:pt idx="293">
                  <c:v>0.19700000000000001</c:v>
                </c:pt>
                <c:pt idx="294">
                  <c:v>0.27900000000000003</c:v>
                </c:pt>
                <c:pt idx="295">
                  <c:v>0.72199999999999998</c:v>
                </c:pt>
                <c:pt idx="296">
                  <c:v>0.67</c:v>
                </c:pt>
                <c:pt idx="297">
                  <c:v>0.77</c:v>
                </c:pt>
                <c:pt idx="298">
                  <c:v>0.77900000000000003</c:v>
                </c:pt>
                <c:pt idx="299">
                  <c:v>0.77700000000000002</c:v>
                </c:pt>
                <c:pt idx="300">
                  <c:v>0.78100000000000003</c:v>
                </c:pt>
                <c:pt idx="301">
                  <c:v>0.53700000000000003</c:v>
                </c:pt>
                <c:pt idx="302">
                  <c:v>0.7</c:v>
                </c:pt>
                <c:pt idx="303">
                  <c:v>0.69199999999999995</c:v>
                </c:pt>
                <c:pt idx="304">
                  <c:v>0.85499999999999998</c:v>
                </c:pt>
                <c:pt idx="305">
                  <c:v>0.51400000000000001</c:v>
                </c:pt>
                <c:pt idx="306">
                  <c:v>0.70299999999999996</c:v>
                </c:pt>
                <c:pt idx="307">
                  <c:v>0.77100000000000002</c:v>
                </c:pt>
                <c:pt idx="308">
                  <c:v>0.47699999999999998</c:v>
                </c:pt>
                <c:pt idx="309">
                  <c:v>0.78</c:v>
                </c:pt>
                <c:pt idx="310">
                  <c:v>0.67900000000000005</c:v>
                </c:pt>
                <c:pt idx="311">
                  <c:v>0.76300000000000001</c:v>
                </c:pt>
                <c:pt idx="312">
                  <c:v>0.995</c:v>
                </c:pt>
                <c:pt idx="313">
                  <c:v>0.79200000000000004</c:v>
                </c:pt>
                <c:pt idx="314">
                  <c:v>0.79100000000000004</c:v>
                </c:pt>
                <c:pt idx="315">
                  <c:v>0.77800000000000002</c:v>
                </c:pt>
                <c:pt idx="316">
                  <c:v>0.86399999999999999</c:v>
                </c:pt>
                <c:pt idx="317">
                  <c:v>0.78300000000000003</c:v>
                </c:pt>
                <c:pt idx="318">
                  <c:v>0.68100000000000005</c:v>
                </c:pt>
                <c:pt idx="319">
                  <c:v>0.76100000000000001</c:v>
                </c:pt>
                <c:pt idx="320">
                  <c:v>0.69699999999999995</c:v>
                </c:pt>
                <c:pt idx="321">
                  <c:v>0.47499999999999998</c:v>
                </c:pt>
                <c:pt idx="322">
                  <c:v>0.76700000000000002</c:v>
                </c:pt>
                <c:pt idx="323">
                  <c:v>0.57799999999999996</c:v>
                </c:pt>
                <c:pt idx="324">
                  <c:v>0.77</c:v>
                </c:pt>
                <c:pt idx="325">
                  <c:v>0.77400000000000002</c:v>
                </c:pt>
                <c:pt idx="326">
                  <c:v>0.78</c:v>
                </c:pt>
                <c:pt idx="327">
                  <c:v>0.77700000000000002</c:v>
                </c:pt>
                <c:pt idx="328">
                  <c:v>0.79500000000000004</c:v>
                </c:pt>
                <c:pt idx="329">
                  <c:v>0.77300000000000002</c:v>
                </c:pt>
                <c:pt idx="330">
                  <c:v>0.995</c:v>
                </c:pt>
                <c:pt idx="331">
                  <c:v>0.996</c:v>
                </c:pt>
                <c:pt idx="332">
                  <c:v>0.997</c:v>
                </c:pt>
                <c:pt idx="333">
                  <c:v>0.996</c:v>
                </c:pt>
                <c:pt idx="334">
                  <c:v>0.995</c:v>
                </c:pt>
                <c:pt idx="335">
                  <c:v>0.79300000000000004</c:v>
                </c:pt>
                <c:pt idx="336">
                  <c:v>0.77800000000000002</c:v>
                </c:pt>
                <c:pt idx="337">
                  <c:v>0.77800000000000002</c:v>
                </c:pt>
                <c:pt idx="338">
                  <c:v>0.53200000000000003</c:v>
                </c:pt>
                <c:pt idx="339">
                  <c:v>0.749</c:v>
                </c:pt>
                <c:pt idx="340">
                  <c:v>0.75900000000000001</c:v>
                </c:pt>
                <c:pt idx="341">
                  <c:v>0.78600000000000003</c:v>
                </c:pt>
                <c:pt idx="342">
                  <c:v>0.99199999999999999</c:v>
                </c:pt>
                <c:pt idx="343">
                  <c:v>0.78900000000000003</c:v>
                </c:pt>
                <c:pt idx="344">
                  <c:v>0.995</c:v>
                </c:pt>
                <c:pt idx="345">
                  <c:v>0.995</c:v>
                </c:pt>
                <c:pt idx="346">
                  <c:v>0.54500000000000004</c:v>
                </c:pt>
                <c:pt idx="347">
                  <c:v>0.77600000000000002</c:v>
                </c:pt>
                <c:pt idx="348">
                  <c:v>0.77600000000000002</c:v>
                </c:pt>
                <c:pt idx="349">
                  <c:v>0.77800000000000002</c:v>
                </c:pt>
                <c:pt idx="350">
                  <c:v>0.77900000000000003</c:v>
                </c:pt>
                <c:pt idx="351">
                  <c:v>0.79200000000000004</c:v>
                </c:pt>
                <c:pt idx="352">
                  <c:v>0.79600000000000004</c:v>
                </c:pt>
                <c:pt idx="353">
                  <c:v>0.997</c:v>
                </c:pt>
                <c:pt idx="354">
                  <c:v>0.79</c:v>
                </c:pt>
                <c:pt idx="355">
                  <c:v>0.995</c:v>
                </c:pt>
                <c:pt idx="356">
                  <c:v>0.78700000000000003</c:v>
                </c:pt>
                <c:pt idx="357">
                  <c:v>0.78600000000000003</c:v>
                </c:pt>
                <c:pt idx="358">
                  <c:v>0.78300000000000003</c:v>
                </c:pt>
                <c:pt idx="359">
                  <c:v>0.78500000000000003</c:v>
                </c:pt>
                <c:pt idx="360">
                  <c:v>0.76100000000000001</c:v>
                </c:pt>
                <c:pt idx="361">
                  <c:v>0.79600000000000004</c:v>
                </c:pt>
                <c:pt idx="362">
                  <c:v>0.78800000000000003</c:v>
                </c:pt>
                <c:pt idx="363">
                  <c:v>0.996</c:v>
                </c:pt>
                <c:pt idx="364">
                  <c:v>0.995</c:v>
                </c:pt>
                <c:pt idx="365">
                  <c:v>0.997</c:v>
                </c:pt>
                <c:pt idx="366">
                  <c:v>0.997</c:v>
                </c:pt>
                <c:pt idx="367">
                  <c:v>0.997</c:v>
                </c:pt>
                <c:pt idx="368">
                  <c:v>0.79300000000000004</c:v>
                </c:pt>
                <c:pt idx="369">
                  <c:v>0.995</c:v>
                </c:pt>
                <c:pt idx="370">
                  <c:v>0.80200000000000005</c:v>
                </c:pt>
                <c:pt idx="371">
                  <c:v>0.79400000000000004</c:v>
                </c:pt>
                <c:pt idx="372">
                  <c:v>0.78200000000000003</c:v>
                </c:pt>
                <c:pt idx="373">
                  <c:v>0.70199999999999996</c:v>
                </c:pt>
                <c:pt idx="374">
                  <c:v>0.78700000000000003</c:v>
                </c:pt>
                <c:pt idx="375">
                  <c:v>0.82899999999999996</c:v>
                </c:pt>
                <c:pt idx="376">
                  <c:v>0.57999999999999996</c:v>
                </c:pt>
                <c:pt idx="377">
                  <c:v>0.47299999999999998</c:v>
                </c:pt>
                <c:pt idx="378">
                  <c:v>0.55400000000000005</c:v>
                </c:pt>
                <c:pt idx="379">
                  <c:v>0.39200000000000002</c:v>
                </c:pt>
                <c:pt idx="380">
                  <c:v>0.54500000000000004</c:v>
                </c:pt>
                <c:pt idx="381">
                  <c:v>0.68700000000000006</c:v>
                </c:pt>
                <c:pt idx="382">
                  <c:v>0.70099999999999996</c:v>
                </c:pt>
                <c:pt idx="383">
                  <c:v>0.77200000000000002</c:v>
                </c:pt>
                <c:pt idx="384">
                  <c:v>0.78300000000000003</c:v>
                </c:pt>
                <c:pt idx="385">
                  <c:v>0.79700000000000004</c:v>
                </c:pt>
                <c:pt idx="386">
                  <c:v>0.8</c:v>
                </c:pt>
                <c:pt idx="387">
                  <c:v>0.79500000000000004</c:v>
                </c:pt>
                <c:pt idx="388">
                  <c:v>0.55100000000000005</c:v>
                </c:pt>
                <c:pt idx="389">
                  <c:v>0.55000000000000004</c:v>
                </c:pt>
                <c:pt idx="390">
                  <c:v>0.54600000000000004</c:v>
                </c:pt>
                <c:pt idx="391">
                  <c:v>0.54800000000000004</c:v>
                </c:pt>
                <c:pt idx="392">
                  <c:v>0.79200000000000004</c:v>
                </c:pt>
                <c:pt idx="393">
                  <c:v>0.80500000000000005</c:v>
                </c:pt>
                <c:pt idx="394">
                  <c:v>0.79700000000000004</c:v>
                </c:pt>
                <c:pt idx="395">
                  <c:v>0.79400000000000004</c:v>
                </c:pt>
                <c:pt idx="396">
                  <c:v>0.79400000000000004</c:v>
                </c:pt>
                <c:pt idx="397">
                  <c:v>0.79400000000000004</c:v>
                </c:pt>
                <c:pt idx="398">
                  <c:v>0.79500000000000004</c:v>
                </c:pt>
                <c:pt idx="399">
                  <c:v>0.79800000000000004</c:v>
                </c:pt>
                <c:pt idx="400">
                  <c:v>0.81399999999999995</c:v>
                </c:pt>
                <c:pt idx="401">
                  <c:v>0.78</c:v>
                </c:pt>
                <c:pt idx="402">
                  <c:v>0.79300000000000004</c:v>
                </c:pt>
                <c:pt idx="403">
                  <c:v>0.80500000000000005</c:v>
                </c:pt>
                <c:pt idx="404">
                  <c:v>0.79100000000000004</c:v>
                </c:pt>
                <c:pt idx="405">
                  <c:v>0.79300000000000004</c:v>
                </c:pt>
                <c:pt idx="406">
                  <c:v>0.78300000000000003</c:v>
                </c:pt>
                <c:pt idx="407">
                  <c:v>0.79600000000000004</c:v>
                </c:pt>
                <c:pt idx="408">
                  <c:v>0.79300000000000004</c:v>
                </c:pt>
                <c:pt idx="409">
                  <c:v>0.78200000000000003</c:v>
                </c:pt>
                <c:pt idx="410">
                  <c:v>0.79</c:v>
                </c:pt>
                <c:pt idx="411">
                  <c:v>0.81</c:v>
                </c:pt>
                <c:pt idx="412">
                  <c:v>0.78800000000000003</c:v>
                </c:pt>
                <c:pt idx="413">
                  <c:v>0.79400000000000004</c:v>
                </c:pt>
                <c:pt idx="414">
                  <c:v>0.79200000000000004</c:v>
                </c:pt>
                <c:pt idx="415">
                  <c:v>0.80200000000000005</c:v>
                </c:pt>
                <c:pt idx="416">
                  <c:v>0.79100000000000004</c:v>
                </c:pt>
                <c:pt idx="417">
                  <c:v>0.54500000000000004</c:v>
                </c:pt>
                <c:pt idx="418">
                  <c:v>0.78500000000000003</c:v>
                </c:pt>
                <c:pt idx="419">
                  <c:v>0.55200000000000005</c:v>
                </c:pt>
                <c:pt idx="420">
                  <c:v>0.54100000000000004</c:v>
                </c:pt>
                <c:pt idx="421">
                  <c:v>0.80200000000000005</c:v>
                </c:pt>
                <c:pt idx="422">
                  <c:v>0.79800000000000004</c:v>
                </c:pt>
                <c:pt idx="423">
                  <c:v>0.78900000000000003</c:v>
                </c:pt>
                <c:pt idx="424">
                  <c:v>0.8</c:v>
                </c:pt>
                <c:pt idx="425">
                  <c:v>0.78600000000000003</c:v>
                </c:pt>
                <c:pt idx="426">
                  <c:v>0.79600000000000004</c:v>
                </c:pt>
                <c:pt idx="427">
                  <c:v>0.79300000000000004</c:v>
                </c:pt>
                <c:pt idx="428">
                  <c:v>0.78700000000000003</c:v>
                </c:pt>
                <c:pt idx="429">
                  <c:v>0.80200000000000005</c:v>
                </c:pt>
                <c:pt idx="430">
                  <c:v>0.80400000000000005</c:v>
                </c:pt>
                <c:pt idx="431">
                  <c:v>0.77500000000000002</c:v>
                </c:pt>
                <c:pt idx="432">
                  <c:v>0.78200000000000003</c:v>
                </c:pt>
                <c:pt idx="433">
                  <c:v>0.54200000000000004</c:v>
                </c:pt>
                <c:pt idx="434">
                  <c:v>0.80300000000000005</c:v>
                </c:pt>
                <c:pt idx="435">
                  <c:v>0.54900000000000004</c:v>
                </c:pt>
                <c:pt idx="436">
                  <c:v>0.55100000000000005</c:v>
                </c:pt>
                <c:pt idx="437">
                  <c:v>0.78900000000000003</c:v>
                </c:pt>
                <c:pt idx="438">
                  <c:v>0.997</c:v>
                </c:pt>
                <c:pt idx="439">
                  <c:v>0.81</c:v>
                </c:pt>
                <c:pt idx="440">
                  <c:v>0.79100000000000004</c:v>
                </c:pt>
                <c:pt idx="441">
                  <c:v>0.80300000000000005</c:v>
                </c:pt>
                <c:pt idx="442">
                  <c:v>0.79</c:v>
                </c:pt>
                <c:pt idx="443">
                  <c:v>0.79600000000000004</c:v>
                </c:pt>
                <c:pt idx="444">
                  <c:v>0.78600000000000003</c:v>
                </c:pt>
                <c:pt idx="445">
                  <c:v>0.78900000000000003</c:v>
                </c:pt>
                <c:pt idx="446">
                  <c:v>0.78600000000000003</c:v>
                </c:pt>
                <c:pt idx="447">
                  <c:v>0.78700000000000003</c:v>
                </c:pt>
                <c:pt idx="448">
                  <c:v>0.79700000000000004</c:v>
                </c:pt>
                <c:pt idx="449">
                  <c:v>0.996</c:v>
                </c:pt>
                <c:pt idx="450">
                  <c:v>0.996</c:v>
                </c:pt>
                <c:pt idx="451">
                  <c:v>0.996</c:v>
                </c:pt>
                <c:pt idx="452">
                  <c:v>0.8</c:v>
                </c:pt>
                <c:pt idx="453">
                  <c:v>0.80300000000000005</c:v>
                </c:pt>
                <c:pt idx="454">
                  <c:v>0.78600000000000003</c:v>
                </c:pt>
                <c:pt idx="455">
                  <c:v>0.79900000000000004</c:v>
                </c:pt>
                <c:pt idx="456">
                  <c:v>0.78700000000000003</c:v>
                </c:pt>
                <c:pt idx="457">
                  <c:v>0.79600000000000004</c:v>
                </c:pt>
                <c:pt idx="458">
                  <c:v>0.996</c:v>
                </c:pt>
                <c:pt idx="459">
                  <c:v>0.998</c:v>
                </c:pt>
                <c:pt idx="460">
                  <c:v>0.999</c:v>
                </c:pt>
                <c:pt idx="461">
                  <c:v>0.999</c:v>
                </c:pt>
                <c:pt idx="462">
                  <c:v>0.79700000000000004</c:v>
                </c:pt>
                <c:pt idx="463">
                  <c:v>0.78800000000000003</c:v>
                </c:pt>
                <c:pt idx="464">
                  <c:v>0.79700000000000004</c:v>
                </c:pt>
                <c:pt idx="465">
                  <c:v>0.78600000000000003</c:v>
                </c:pt>
                <c:pt idx="466">
                  <c:v>0.996</c:v>
                </c:pt>
                <c:pt idx="467">
                  <c:v>0.995</c:v>
                </c:pt>
                <c:pt idx="468">
                  <c:v>0.998</c:v>
                </c:pt>
                <c:pt idx="469">
                  <c:v>0.996</c:v>
                </c:pt>
                <c:pt idx="470">
                  <c:v>0.79600000000000004</c:v>
                </c:pt>
                <c:pt idx="471">
                  <c:v>0.8</c:v>
                </c:pt>
                <c:pt idx="472">
                  <c:v>0.8</c:v>
                </c:pt>
                <c:pt idx="473">
                  <c:v>0.80200000000000005</c:v>
                </c:pt>
                <c:pt idx="474">
                  <c:v>0.80300000000000005</c:v>
                </c:pt>
                <c:pt idx="475">
                  <c:v>0.80600000000000005</c:v>
                </c:pt>
                <c:pt idx="476">
                  <c:v>0.80300000000000005</c:v>
                </c:pt>
                <c:pt idx="477">
                  <c:v>0.80300000000000005</c:v>
                </c:pt>
                <c:pt idx="478">
                  <c:v>0.77800000000000002</c:v>
                </c:pt>
                <c:pt idx="479">
                  <c:v>0.78400000000000003</c:v>
                </c:pt>
                <c:pt idx="480">
                  <c:v>0.79700000000000004</c:v>
                </c:pt>
                <c:pt idx="481">
                  <c:v>0.54800000000000004</c:v>
                </c:pt>
                <c:pt idx="482">
                  <c:v>0.79300000000000004</c:v>
                </c:pt>
                <c:pt idx="483">
                  <c:v>0.80400000000000005</c:v>
                </c:pt>
                <c:pt idx="484">
                  <c:v>0.79600000000000004</c:v>
                </c:pt>
                <c:pt idx="485">
                  <c:v>0.79400000000000004</c:v>
                </c:pt>
                <c:pt idx="486">
                  <c:v>0.995</c:v>
                </c:pt>
                <c:pt idx="487">
                  <c:v>0.998</c:v>
                </c:pt>
                <c:pt idx="488">
                  <c:v>0.995</c:v>
                </c:pt>
                <c:pt idx="489">
                  <c:v>0.997</c:v>
                </c:pt>
                <c:pt idx="490">
                  <c:v>0.997</c:v>
                </c:pt>
                <c:pt idx="491">
                  <c:v>0.77500000000000002</c:v>
                </c:pt>
                <c:pt idx="492">
                  <c:v>0.80300000000000005</c:v>
                </c:pt>
                <c:pt idx="493">
                  <c:v>0.77200000000000002</c:v>
                </c:pt>
                <c:pt idx="494">
                  <c:v>0.55000000000000004</c:v>
                </c:pt>
                <c:pt idx="495">
                  <c:v>0.76700000000000002</c:v>
                </c:pt>
                <c:pt idx="496">
                  <c:v>0.76600000000000001</c:v>
                </c:pt>
                <c:pt idx="497">
                  <c:v>0.55100000000000005</c:v>
                </c:pt>
                <c:pt idx="498">
                  <c:v>0.75900000000000001</c:v>
                </c:pt>
                <c:pt idx="499">
                  <c:v>0.76300000000000001</c:v>
                </c:pt>
                <c:pt idx="500">
                  <c:v>0.71199999999999997</c:v>
                </c:pt>
                <c:pt idx="501">
                  <c:v>0.75700000000000001</c:v>
                </c:pt>
                <c:pt idx="502">
                  <c:v>0.755</c:v>
                </c:pt>
                <c:pt idx="503">
                  <c:v>0.751</c:v>
                </c:pt>
                <c:pt idx="504">
                  <c:v>0.73499999999999999</c:v>
                </c:pt>
                <c:pt idx="505">
                  <c:v>0.72299999999999998</c:v>
                </c:pt>
                <c:pt idx="506">
                  <c:v>0.55400000000000005</c:v>
                </c:pt>
                <c:pt idx="507">
                  <c:v>0.74099999999999999</c:v>
                </c:pt>
                <c:pt idx="508">
                  <c:v>0.77300000000000002</c:v>
                </c:pt>
                <c:pt idx="509">
                  <c:v>0.72</c:v>
                </c:pt>
                <c:pt idx="510">
                  <c:v>0.54</c:v>
                </c:pt>
                <c:pt idx="511">
                  <c:v>0.68100000000000005</c:v>
                </c:pt>
                <c:pt idx="512">
                  <c:v>0.83599999999999997</c:v>
                </c:pt>
                <c:pt idx="513">
                  <c:v>0.83099999999999996</c:v>
                </c:pt>
                <c:pt idx="514">
                  <c:v>0.745</c:v>
                </c:pt>
                <c:pt idx="515">
                  <c:v>0.74199999999999999</c:v>
                </c:pt>
                <c:pt idx="516">
                  <c:v>0.54</c:v>
                </c:pt>
                <c:pt idx="517">
                  <c:v>0.54600000000000004</c:v>
                </c:pt>
                <c:pt idx="518">
                  <c:v>0.45200000000000001</c:v>
                </c:pt>
                <c:pt idx="519">
                  <c:v>0.47199999999999998</c:v>
                </c:pt>
                <c:pt idx="520">
                  <c:v>0.43</c:v>
                </c:pt>
                <c:pt idx="521">
                  <c:v>0.81699999999999995</c:v>
                </c:pt>
                <c:pt idx="522">
                  <c:v>0.69899999999999995</c:v>
                </c:pt>
                <c:pt idx="523">
                  <c:v>0.751</c:v>
                </c:pt>
                <c:pt idx="524">
                  <c:v>0.54700000000000004</c:v>
                </c:pt>
                <c:pt idx="525">
                  <c:v>0.755</c:v>
                </c:pt>
                <c:pt idx="526">
                  <c:v>0.755</c:v>
                </c:pt>
                <c:pt idx="527">
                  <c:v>0.69399999999999995</c:v>
                </c:pt>
                <c:pt idx="528">
                  <c:v>0.72799999999999998</c:v>
                </c:pt>
                <c:pt idx="529">
                  <c:v>0.69199999999999995</c:v>
                </c:pt>
                <c:pt idx="530">
                  <c:v>0.73899999999999999</c:v>
                </c:pt>
                <c:pt idx="531">
                  <c:v>0.54400000000000004</c:v>
                </c:pt>
                <c:pt idx="532">
                  <c:v>0.53600000000000003</c:v>
                </c:pt>
                <c:pt idx="533">
                  <c:v>0.74199999999999999</c:v>
                </c:pt>
                <c:pt idx="534">
                  <c:v>0.73299999999999998</c:v>
                </c:pt>
                <c:pt idx="535">
                  <c:v>0.77200000000000002</c:v>
                </c:pt>
                <c:pt idx="536">
                  <c:v>0.80700000000000005</c:v>
                </c:pt>
                <c:pt idx="537">
                  <c:v>0.76500000000000001</c:v>
                </c:pt>
                <c:pt idx="538">
                  <c:v>0.74399999999999999</c:v>
                </c:pt>
                <c:pt idx="539">
                  <c:v>0.80300000000000005</c:v>
                </c:pt>
                <c:pt idx="540">
                  <c:v>0.747</c:v>
                </c:pt>
                <c:pt idx="541">
                  <c:v>0.99299999999999999</c:v>
                </c:pt>
                <c:pt idx="542">
                  <c:v>0.996</c:v>
                </c:pt>
                <c:pt idx="543">
                  <c:v>0.81299999999999994</c:v>
                </c:pt>
                <c:pt idx="544">
                  <c:v>0.997</c:v>
                </c:pt>
                <c:pt idx="545">
                  <c:v>0.997</c:v>
                </c:pt>
                <c:pt idx="546">
                  <c:v>0.753</c:v>
                </c:pt>
                <c:pt idx="547">
                  <c:v>0.80400000000000005</c:v>
                </c:pt>
                <c:pt idx="548">
                  <c:v>0.749</c:v>
                </c:pt>
                <c:pt idx="549">
                  <c:v>0.77400000000000002</c:v>
                </c:pt>
                <c:pt idx="550">
                  <c:v>0.76900000000000002</c:v>
                </c:pt>
                <c:pt idx="551">
                  <c:v>0.80600000000000005</c:v>
                </c:pt>
                <c:pt idx="552">
                  <c:v>0.77400000000000002</c:v>
                </c:pt>
                <c:pt idx="553">
                  <c:v>0.81599999999999995</c:v>
                </c:pt>
                <c:pt idx="554">
                  <c:v>0.8</c:v>
                </c:pt>
                <c:pt idx="555">
                  <c:v>0.78200000000000003</c:v>
                </c:pt>
                <c:pt idx="556">
                  <c:v>0.77200000000000002</c:v>
                </c:pt>
                <c:pt idx="557">
                  <c:v>0.74099999999999999</c:v>
                </c:pt>
                <c:pt idx="558">
                  <c:v>0.8</c:v>
                </c:pt>
                <c:pt idx="559">
                  <c:v>0.99299999999999999</c:v>
                </c:pt>
                <c:pt idx="560">
                  <c:v>0.74099999999999999</c:v>
                </c:pt>
                <c:pt idx="561">
                  <c:v>0.77100000000000002</c:v>
                </c:pt>
                <c:pt idx="562">
                  <c:v>0.77400000000000002</c:v>
                </c:pt>
                <c:pt idx="563">
                  <c:v>0.69699999999999995</c:v>
                </c:pt>
                <c:pt idx="564">
                  <c:v>0.98599999999999999</c:v>
                </c:pt>
                <c:pt idx="565">
                  <c:v>0.76900000000000002</c:v>
                </c:pt>
                <c:pt idx="566">
                  <c:v>0.81899999999999995</c:v>
                </c:pt>
                <c:pt idx="567">
                  <c:v>0.995</c:v>
                </c:pt>
                <c:pt idx="568">
                  <c:v>0.80800000000000005</c:v>
                </c:pt>
                <c:pt idx="569">
                  <c:v>0.996</c:v>
                </c:pt>
                <c:pt idx="570">
                  <c:v>0.997</c:v>
                </c:pt>
                <c:pt idx="571">
                  <c:v>0.78200000000000003</c:v>
                </c:pt>
                <c:pt idx="572">
                  <c:v>0.81200000000000006</c:v>
                </c:pt>
                <c:pt idx="573">
                  <c:v>0.996</c:v>
                </c:pt>
                <c:pt idx="574">
                  <c:v>0.998</c:v>
                </c:pt>
                <c:pt idx="575">
                  <c:v>0.999</c:v>
                </c:pt>
                <c:pt idx="576">
                  <c:v>0.999</c:v>
                </c:pt>
                <c:pt idx="577">
                  <c:v>0.999</c:v>
                </c:pt>
                <c:pt idx="578">
                  <c:v>0.998</c:v>
                </c:pt>
                <c:pt idx="579">
                  <c:v>0.999</c:v>
                </c:pt>
                <c:pt idx="580">
                  <c:v>0.78400000000000003</c:v>
                </c:pt>
                <c:pt idx="581">
                  <c:v>0.76200000000000001</c:v>
                </c:pt>
                <c:pt idx="582">
                  <c:v>0.76900000000000002</c:v>
                </c:pt>
                <c:pt idx="583">
                  <c:v>0.67200000000000004</c:v>
                </c:pt>
                <c:pt idx="584">
                  <c:v>0.69099999999999995</c:v>
                </c:pt>
                <c:pt idx="585">
                  <c:v>0.46</c:v>
                </c:pt>
                <c:pt idx="586">
                  <c:v>0.45800000000000002</c:v>
                </c:pt>
                <c:pt idx="587">
                  <c:v>0.46</c:v>
                </c:pt>
                <c:pt idx="588">
                  <c:v>0.74099999999999999</c:v>
                </c:pt>
                <c:pt idx="589">
                  <c:v>0.67700000000000005</c:v>
                </c:pt>
                <c:pt idx="590">
                  <c:v>0.51800000000000002</c:v>
                </c:pt>
                <c:pt idx="591">
                  <c:v>0.72499999999999998</c:v>
                </c:pt>
                <c:pt idx="592">
                  <c:v>0.77400000000000002</c:v>
                </c:pt>
                <c:pt idx="593">
                  <c:v>0.53</c:v>
                </c:pt>
                <c:pt idx="594">
                  <c:v>0.78200000000000003</c:v>
                </c:pt>
                <c:pt idx="595">
                  <c:v>0.76500000000000001</c:v>
                </c:pt>
                <c:pt idx="596">
                  <c:v>0.53300000000000003</c:v>
                </c:pt>
                <c:pt idx="597">
                  <c:v>0.78400000000000003</c:v>
                </c:pt>
                <c:pt idx="598">
                  <c:v>0.76700000000000002</c:v>
                </c:pt>
                <c:pt idx="599">
                  <c:v>0.77900000000000003</c:v>
                </c:pt>
                <c:pt idx="600">
                  <c:v>0.79400000000000004</c:v>
                </c:pt>
                <c:pt idx="601">
                  <c:v>0.77500000000000002</c:v>
                </c:pt>
                <c:pt idx="602">
                  <c:v>0.78200000000000003</c:v>
                </c:pt>
                <c:pt idx="603">
                  <c:v>0.77200000000000002</c:v>
                </c:pt>
                <c:pt idx="604">
                  <c:v>0.77100000000000002</c:v>
                </c:pt>
                <c:pt idx="605">
                  <c:v>0.996</c:v>
                </c:pt>
                <c:pt idx="606">
                  <c:v>0.79200000000000004</c:v>
                </c:pt>
                <c:pt idx="607">
                  <c:v>0.80800000000000005</c:v>
                </c:pt>
                <c:pt idx="608">
                  <c:v>0.995</c:v>
                </c:pt>
                <c:pt idx="609">
                  <c:v>0.54300000000000004</c:v>
                </c:pt>
                <c:pt idx="610">
                  <c:v>0.53600000000000003</c:v>
                </c:pt>
                <c:pt idx="611">
                  <c:v>0.72499999999999998</c:v>
                </c:pt>
                <c:pt idx="612">
                  <c:v>0.47499999999999998</c:v>
                </c:pt>
                <c:pt idx="613">
                  <c:v>0.77100000000000002</c:v>
                </c:pt>
                <c:pt idx="614">
                  <c:v>0.66600000000000004</c:v>
                </c:pt>
                <c:pt idx="615">
                  <c:v>0.67300000000000004</c:v>
                </c:pt>
                <c:pt idx="616">
                  <c:v>0.77600000000000002</c:v>
                </c:pt>
                <c:pt idx="617">
                  <c:v>0.52100000000000002</c:v>
                </c:pt>
                <c:pt idx="618">
                  <c:v>0.77800000000000002</c:v>
                </c:pt>
                <c:pt idx="619">
                  <c:v>0.77100000000000002</c:v>
                </c:pt>
                <c:pt idx="620">
                  <c:v>0.86699999999999999</c:v>
                </c:pt>
                <c:pt idx="621">
                  <c:v>0.75700000000000001</c:v>
                </c:pt>
                <c:pt idx="622">
                  <c:v>0.71299999999999997</c:v>
                </c:pt>
                <c:pt idx="623">
                  <c:v>0.68300000000000005</c:v>
                </c:pt>
                <c:pt idx="624">
                  <c:v>0.68400000000000005</c:v>
                </c:pt>
                <c:pt idx="625">
                  <c:v>0.67800000000000005</c:v>
                </c:pt>
                <c:pt idx="626">
                  <c:v>0.69699999999999995</c:v>
                </c:pt>
                <c:pt idx="627">
                  <c:v>0.85199999999999998</c:v>
                </c:pt>
                <c:pt idx="628">
                  <c:v>0.66100000000000003</c:v>
                </c:pt>
                <c:pt idx="629">
                  <c:v>0.85899999999999999</c:v>
                </c:pt>
                <c:pt idx="630">
                  <c:v>0.67700000000000005</c:v>
                </c:pt>
                <c:pt idx="631">
                  <c:v>0.46200000000000002</c:v>
                </c:pt>
                <c:pt idx="632">
                  <c:v>0.84299999999999997</c:v>
                </c:pt>
                <c:pt idx="633">
                  <c:v>0.36</c:v>
                </c:pt>
                <c:pt idx="634">
                  <c:v>0.68</c:v>
                </c:pt>
                <c:pt idx="635">
                  <c:v>0.76600000000000001</c:v>
                </c:pt>
                <c:pt idx="636">
                  <c:v>0.76</c:v>
                </c:pt>
                <c:pt idx="637">
                  <c:v>0.79100000000000004</c:v>
                </c:pt>
                <c:pt idx="638">
                  <c:v>0.79200000000000004</c:v>
                </c:pt>
                <c:pt idx="639">
                  <c:v>0.99399999999999999</c:v>
                </c:pt>
                <c:pt idx="640">
                  <c:v>0.998</c:v>
                </c:pt>
                <c:pt idx="641">
                  <c:v>0.998</c:v>
                </c:pt>
                <c:pt idx="642">
                  <c:v>0.999</c:v>
                </c:pt>
                <c:pt idx="643">
                  <c:v>0.997</c:v>
                </c:pt>
                <c:pt idx="644">
                  <c:v>0.78300000000000003</c:v>
                </c:pt>
                <c:pt idx="645">
                  <c:v>0.996</c:v>
                </c:pt>
                <c:pt idx="646">
                  <c:v>0.79400000000000004</c:v>
                </c:pt>
                <c:pt idx="647">
                  <c:v>0.78800000000000003</c:v>
                </c:pt>
                <c:pt idx="648">
                  <c:v>0.80800000000000005</c:v>
                </c:pt>
                <c:pt idx="649">
                  <c:v>0.53700000000000003</c:v>
                </c:pt>
                <c:pt idx="650">
                  <c:v>0.78200000000000003</c:v>
                </c:pt>
                <c:pt idx="651">
                  <c:v>0.995</c:v>
                </c:pt>
                <c:pt idx="652">
                  <c:v>0.78800000000000003</c:v>
                </c:pt>
                <c:pt idx="653">
                  <c:v>0.998</c:v>
                </c:pt>
                <c:pt idx="654">
                  <c:v>0.77600000000000002</c:v>
                </c:pt>
                <c:pt idx="655">
                  <c:v>0.70899999999999996</c:v>
                </c:pt>
                <c:pt idx="656">
                  <c:v>0.76100000000000001</c:v>
                </c:pt>
                <c:pt idx="657">
                  <c:v>0.46600000000000003</c:v>
                </c:pt>
                <c:pt idx="658">
                  <c:v>0.72899999999999998</c:v>
                </c:pt>
                <c:pt idx="659">
                  <c:v>0.78700000000000003</c:v>
                </c:pt>
                <c:pt idx="660">
                  <c:v>0.79100000000000004</c:v>
                </c:pt>
                <c:pt idx="661">
                  <c:v>0.80100000000000005</c:v>
                </c:pt>
                <c:pt idx="662">
                  <c:v>0.79900000000000004</c:v>
                </c:pt>
                <c:pt idx="663">
                  <c:v>0.997</c:v>
                </c:pt>
                <c:pt idx="664">
                  <c:v>0.80700000000000005</c:v>
                </c:pt>
                <c:pt idx="665">
                  <c:v>0.80700000000000005</c:v>
                </c:pt>
                <c:pt idx="666">
                  <c:v>0.996</c:v>
                </c:pt>
                <c:pt idx="667">
                  <c:v>0.79200000000000004</c:v>
                </c:pt>
                <c:pt idx="668">
                  <c:v>0.80900000000000005</c:v>
                </c:pt>
                <c:pt idx="669">
                  <c:v>0.996</c:v>
                </c:pt>
                <c:pt idx="670">
                  <c:v>0.69499999999999995</c:v>
                </c:pt>
                <c:pt idx="671">
                  <c:v>0.81399999999999995</c:v>
                </c:pt>
                <c:pt idx="672">
                  <c:v>0.78500000000000003</c:v>
                </c:pt>
                <c:pt idx="673">
                  <c:v>0.77400000000000002</c:v>
                </c:pt>
                <c:pt idx="674">
                  <c:v>0.79600000000000004</c:v>
                </c:pt>
                <c:pt idx="675">
                  <c:v>0.78300000000000003</c:v>
                </c:pt>
                <c:pt idx="676">
                  <c:v>0.80200000000000005</c:v>
                </c:pt>
                <c:pt idx="677">
                  <c:v>0.78700000000000003</c:v>
                </c:pt>
                <c:pt idx="678">
                  <c:v>0.80100000000000005</c:v>
                </c:pt>
                <c:pt idx="679">
                  <c:v>0.78600000000000003</c:v>
                </c:pt>
                <c:pt idx="680">
                  <c:v>0.80500000000000005</c:v>
                </c:pt>
                <c:pt idx="681">
                  <c:v>0.997</c:v>
                </c:pt>
                <c:pt idx="682">
                  <c:v>0.999</c:v>
                </c:pt>
                <c:pt idx="683">
                  <c:v>1</c:v>
                </c:pt>
                <c:pt idx="684">
                  <c:v>0.998</c:v>
                </c:pt>
                <c:pt idx="685">
                  <c:v>0.78900000000000003</c:v>
                </c:pt>
                <c:pt idx="686">
                  <c:v>0.81100000000000005</c:v>
                </c:pt>
                <c:pt idx="687">
                  <c:v>0.80700000000000005</c:v>
                </c:pt>
                <c:pt idx="688">
                  <c:v>0.79900000000000004</c:v>
                </c:pt>
                <c:pt idx="689">
                  <c:v>0.80300000000000005</c:v>
                </c:pt>
                <c:pt idx="690">
                  <c:v>0.997</c:v>
                </c:pt>
                <c:pt idx="691">
                  <c:v>0.999</c:v>
                </c:pt>
                <c:pt idx="692">
                  <c:v>0.996</c:v>
                </c:pt>
                <c:pt idx="693">
                  <c:v>0.997</c:v>
                </c:pt>
                <c:pt idx="694">
                  <c:v>0.995</c:v>
                </c:pt>
                <c:pt idx="695">
                  <c:v>0.78300000000000003</c:v>
                </c:pt>
                <c:pt idx="696">
                  <c:v>0.77200000000000002</c:v>
                </c:pt>
                <c:pt idx="697">
                  <c:v>0.77800000000000002</c:v>
                </c:pt>
                <c:pt idx="698">
                  <c:v>0.57099999999999995</c:v>
                </c:pt>
                <c:pt idx="699">
                  <c:v>0.78800000000000003</c:v>
                </c:pt>
                <c:pt idx="700">
                  <c:v>0.80400000000000005</c:v>
                </c:pt>
                <c:pt idx="701">
                  <c:v>0.75700000000000001</c:v>
                </c:pt>
                <c:pt idx="702">
                  <c:v>0.75600000000000001</c:v>
                </c:pt>
                <c:pt idx="703">
                  <c:v>0.76300000000000001</c:v>
                </c:pt>
                <c:pt idx="704">
                  <c:v>0.77500000000000002</c:v>
                </c:pt>
                <c:pt idx="705">
                  <c:v>0.749</c:v>
                </c:pt>
                <c:pt idx="706">
                  <c:v>0.55300000000000005</c:v>
                </c:pt>
                <c:pt idx="707">
                  <c:v>0.35699999999999998</c:v>
                </c:pt>
                <c:pt idx="708">
                  <c:v>0.436</c:v>
                </c:pt>
                <c:pt idx="709">
                  <c:v>0.21299999999999999</c:v>
                </c:pt>
                <c:pt idx="710">
                  <c:v>0.56499999999999995</c:v>
                </c:pt>
                <c:pt idx="711">
                  <c:v>0.76700000000000002</c:v>
                </c:pt>
                <c:pt idx="712">
                  <c:v>0.74</c:v>
                </c:pt>
                <c:pt idx="713">
                  <c:v>0.99</c:v>
                </c:pt>
                <c:pt idx="714">
                  <c:v>0.78100000000000003</c:v>
                </c:pt>
                <c:pt idx="715">
                  <c:v>0.79100000000000004</c:v>
                </c:pt>
                <c:pt idx="716">
                  <c:v>0.99399999999999999</c:v>
                </c:pt>
                <c:pt idx="717">
                  <c:v>0.71699999999999997</c:v>
                </c:pt>
                <c:pt idx="718">
                  <c:v>0.72899999999999998</c:v>
                </c:pt>
                <c:pt idx="719">
                  <c:v>0.69799999999999995</c:v>
                </c:pt>
                <c:pt idx="720">
                  <c:v>0.41499999999999998</c:v>
                </c:pt>
                <c:pt idx="721">
                  <c:v>0.69799999999999995</c:v>
                </c:pt>
                <c:pt idx="722">
                  <c:v>0.35299999999999998</c:v>
                </c:pt>
                <c:pt idx="723">
                  <c:v>0.35399999999999998</c:v>
                </c:pt>
                <c:pt idx="724">
                  <c:v>0.54600000000000004</c:v>
                </c:pt>
                <c:pt idx="725">
                  <c:v>0.72199999999999998</c:v>
                </c:pt>
                <c:pt idx="726">
                  <c:v>0.76600000000000001</c:v>
                </c:pt>
                <c:pt idx="727">
                  <c:v>0.99399999999999999</c:v>
                </c:pt>
                <c:pt idx="728">
                  <c:v>0.996</c:v>
                </c:pt>
                <c:pt idx="729">
                  <c:v>0.997</c:v>
                </c:pt>
                <c:pt idx="730">
                  <c:v>0.995</c:v>
                </c:pt>
                <c:pt idx="731">
                  <c:v>0.78800000000000003</c:v>
                </c:pt>
                <c:pt idx="732">
                  <c:v>0.78</c:v>
                </c:pt>
                <c:pt idx="733">
                  <c:v>0.995</c:v>
                </c:pt>
                <c:pt idx="734">
                  <c:v>0.998</c:v>
                </c:pt>
                <c:pt idx="735">
                  <c:v>0.995</c:v>
                </c:pt>
                <c:pt idx="736">
                  <c:v>0.99399999999999999</c:v>
                </c:pt>
                <c:pt idx="737">
                  <c:v>0.80800000000000005</c:v>
                </c:pt>
                <c:pt idx="738">
                  <c:v>0.77</c:v>
                </c:pt>
                <c:pt idx="739">
                  <c:v>0.69099999999999995</c:v>
                </c:pt>
                <c:pt idx="740">
                  <c:v>0.44500000000000001</c:v>
                </c:pt>
                <c:pt idx="741">
                  <c:v>0.44</c:v>
                </c:pt>
                <c:pt idx="742">
                  <c:v>0.432</c:v>
                </c:pt>
                <c:pt idx="743">
                  <c:v>0.56499999999999995</c:v>
                </c:pt>
                <c:pt idx="744">
                  <c:v>0.74399999999999999</c:v>
                </c:pt>
                <c:pt idx="745">
                  <c:v>0.73399999999999999</c:v>
                </c:pt>
                <c:pt idx="746">
                  <c:v>0.755</c:v>
                </c:pt>
                <c:pt idx="747">
                  <c:v>0.77700000000000002</c:v>
                </c:pt>
                <c:pt idx="748">
                  <c:v>0.76200000000000001</c:v>
                </c:pt>
                <c:pt idx="749">
                  <c:v>0.77600000000000002</c:v>
                </c:pt>
                <c:pt idx="750">
                  <c:v>0.77900000000000003</c:v>
                </c:pt>
                <c:pt idx="751">
                  <c:v>0.79200000000000004</c:v>
                </c:pt>
                <c:pt idx="752">
                  <c:v>0.79</c:v>
                </c:pt>
                <c:pt idx="753">
                  <c:v>0.80800000000000005</c:v>
                </c:pt>
                <c:pt idx="754">
                  <c:v>0.78100000000000003</c:v>
                </c:pt>
                <c:pt idx="755">
                  <c:v>0.78700000000000003</c:v>
                </c:pt>
                <c:pt idx="756">
                  <c:v>0.78</c:v>
                </c:pt>
                <c:pt idx="757">
                  <c:v>0.78500000000000003</c:v>
                </c:pt>
                <c:pt idx="758">
                  <c:v>0.78600000000000003</c:v>
                </c:pt>
                <c:pt idx="759">
                  <c:v>0.99399999999999999</c:v>
                </c:pt>
                <c:pt idx="760">
                  <c:v>0.997</c:v>
                </c:pt>
                <c:pt idx="761">
                  <c:v>0.998</c:v>
                </c:pt>
                <c:pt idx="762">
                  <c:v>0.998</c:v>
                </c:pt>
                <c:pt idx="763">
                  <c:v>0.77400000000000002</c:v>
                </c:pt>
                <c:pt idx="764">
                  <c:v>0.99399999999999999</c:v>
                </c:pt>
                <c:pt idx="765">
                  <c:v>0.99299999999999999</c:v>
                </c:pt>
                <c:pt idx="766">
                  <c:v>0.79</c:v>
                </c:pt>
                <c:pt idx="767">
                  <c:v>0.99399999999999999</c:v>
                </c:pt>
                <c:pt idx="768">
                  <c:v>0.99399999999999999</c:v>
                </c:pt>
                <c:pt idx="769">
                  <c:v>0.78300000000000003</c:v>
                </c:pt>
                <c:pt idx="770">
                  <c:v>0.995</c:v>
                </c:pt>
                <c:pt idx="771">
                  <c:v>0.79200000000000004</c:v>
                </c:pt>
                <c:pt idx="772">
                  <c:v>0.995</c:v>
                </c:pt>
                <c:pt idx="773">
                  <c:v>0.995</c:v>
                </c:pt>
                <c:pt idx="774">
                  <c:v>0.78200000000000003</c:v>
                </c:pt>
                <c:pt idx="775">
                  <c:v>0.78300000000000003</c:v>
                </c:pt>
                <c:pt idx="776">
                  <c:v>0.78800000000000003</c:v>
                </c:pt>
                <c:pt idx="777">
                  <c:v>0.76500000000000001</c:v>
                </c:pt>
                <c:pt idx="778">
                  <c:v>0.76400000000000001</c:v>
                </c:pt>
                <c:pt idx="779">
                  <c:v>0.78300000000000003</c:v>
                </c:pt>
                <c:pt idx="780">
                  <c:v>0.78200000000000003</c:v>
                </c:pt>
                <c:pt idx="781">
                  <c:v>0.997</c:v>
                </c:pt>
                <c:pt idx="782">
                  <c:v>0.78500000000000003</c:v>
                </c:pt>
                <c:pt idx="783">
                  <c:v>0.78700000000000003</c:v>
                </c:pt>
                <c:pt idx="784">
                  <c:v>0.995</c:v>
                </c:pt>
                <c:pt idx="785">
                  <c:v>0.78600000000000003</c:v>
                </c:pt>
                <c:pt idx="786">
                  <c:v>0.78200000000000003</c:v>
                </c:pt>
                <c:pt idx="787">
                  <c:v>0.77500000000000002</c:v>
                </c:pt>
                <c:pt idx="788">
                  <c:v>0.79200000000000004</c:v>
                </c:pt>
                <c:pt idx="789">
                  <c:v>0.78500000000000003</c:v>
                </c:pt>
                <c:pt idx="790">
                  <c:v>0.996</c:v>
                </c:pt>
                <c:pt idx="791">
                  <c:v>0.996</c:v>
                </c:pt>
                <c:pt idx="792">
                  <c:v>0.995</c:v>
                </c:pt>
                <c:pt idx="793">
                  <c:v>0.996</c:v>
                </c:pt>
                <c:pt idx="794">
                  <c:v>0.79500000000000004</c:v>
                </c:pt>
                <c:pt idx="795">
                  <c:v>0.78</c:v>
                </c:pt>
                <c:pt idx="796">
                  <c:v>0.99299999999999999</c:v>
                </c:pt>
                <c:pt idx="797">
                  <c:v>0.996</c:v>
                </c:pt>
                <c:pt idx="798">
                  <c:v>0.996</c:v>
                </c:pt>
                <c:pt idx="799">
                  <c:v>0.996</c:v>
                </c:pt>
                <c:pt idx="800">
                  <c:v>0.79300000000000004</c:v>
                </c:pt>
                <c:pt idx="801">
                  <c:v>0.78700000000000003</c:v>
                </c:pt>
                <c:pt idx="802">
                  <c:v>0.997</c:v>
                </c:pt>
                <c:pt idx="803">
                  <c:v>0.76600000000000001</c:v>
                </c:pt>
                <c:pt idx="804">
                  <c:v>0.78500000000000003</c:v>
                </c:pt>
                <c:pt idx="805">
                  <c:v>0.99399999999999999</c:v>
                </c:pt>
                <c:pt idx="806">
                  <c:v>0.78700000000000003</c:v>
                </c:pt>
                <c:pt idx="807">
                  <c:v>0.78300000000000003</c:v>
                </c:pt>
                <c:pt idx="808">
                  <c:v>0.77200000000000002</c:v>
                </c:pt>
                <c:pt idx="809">
                  <c:v>0.71699999999999997</c:v>
                </c:pt>
                <c:pt idx="810">
                  <c:v>0.76900000000000002</c:v>
                </c:pt>
                <c:pt idx="811">
                  <c:v>0.77200000000000002</c:v>
                </c:pt>
                <c:pt idx="812">
                  <c:v>0.78</c:v>
                </c:pt>
                <c:pt idx="813">
                  <c:v>0.78400000000000003</c:v>
                </c:pt>
                <c:pt idx="814">
                  <c:v>0.75800000000000001</c:v>
                </c:pt>
                <c:pt idx="815">
                  <c:v>0.78600000000000003</c:v>
                </c:pt>
                <c:pt idx="816">
                  <c:v>0.80600000000000005</c:v>
                </c:pt>
                <c:pt idx="817">
                  <c:v>0.76</c:v>
                </c:pt>
                <c:pt idx="818">
                  <c:v>0.55700000000000005</c:v>
                </c:pt>
                <c:pt idx="819">
                  <c:v>0.76</c:v>
                </c:pt>
                <c:pt idx="820">
                  <c:v>0.78</c:v>
                </c:pt>
                <c:pt idx="821">
                  <c:v>0.99299999999999999</c:v>
                </c:pt>
                <c:pt idx="822">
                  <c:v>0.997</c:v>
                </c:pt>
                <c:pt idx="823">
                  <c:v>0.997</c:v>
                </c:pt>
                <c:pt idx="824">
                  <c:v>0.997</c:v>
                </c:pt>
                <c:pt idx="825">
                  <c:v>0.995</c:v>
                </c:pt>
                <c:pt idx="826">
                  <c:v>0.78600000000000003</c:v>
                </c:pt>
                <c:pt idx="827">
                  <c:v>0.78900000000000003</c:v>
                </c:pt>
                <c:pt idx="828">
                  <c:v>0.78200000000000003</c:v>
                </c:pt>
                <c:pt idx="829">
                  <c:v>0.76200000000000001</c:v>
                </c:pt>
                <c:pt idx="830">
                  <c:v>0.99199999999999999</c:v>
                </c:pt>
                <c:pt idx="831">
                  <c:v>0.995</c:v>
                </c:pt>
                <c:pt idx="832">
                  <c:v>0.995</c:v>
                </c:pt>
                <c:pt idx="833">
                  <c:v>0.996</c:v>
                </c:pt>
                <c:pt idx="834">
                  <c:v>0.996</c:v>
                </c:pt>
                <c:pt idx="835">
                  <c:v>0.78600000000000003</c:v>
                </c:pt>
                <c:pt idx="836">
                  <c:v>0.79300000000000004</c:v>
                </c:pt>
                <c:pt idx="837">
                  <c:v>0.77200000000000002</c:v>
                </c:pt>
                <c:pt idx="838">
                  <c:v>0.56999999999999995</c:v>
                </c:pt>
                <c:pt idx="839">
                  <c:v>0.80500000000000005</c:v>
                </c:pt>
                <c:pt idx="840">
                  <c:v>0.79400000000000004</c:v>
                </c:pt>
                <c:pt idx="841">
                  <c:v>0.56499999999999995</c:v>
                </c:pt>
                <c:pt idx="842">
                  <c:v>0.76200000000000001</c:v>
                </c:pt>
                <c:pt idx="843">
                  <c:v>0.80600000000000005</c:v>
                </c:pt>
                <c:pt idx="844">
                  <c:v>0.98899999999999999</c:v>
                </c:pt>
                <c:pt idx="845">
                  <c:v>0.80100000000000005</c:v>
                </c:pt>
                <c:pt idx="846">
                  <c:v>0.995</c:v>
                </c:pt>
                <c:pt idx="847">
                  <c:v>0.78500000000000003</c:v>
                </c:pt>
                <c:pt idx="848">
                  <c:v>0.78400000000000003</c:v>
                </c:pt>
                <c:pt idx="849">
                  <c:v>0.79100000000000004</c:v>
                </c:pt>
                <c:pt idx="850">
                  <c:v>0.995</c:v>
                </c:pt>
                <c:pt idx="851">
                  <c:v>0.996</c:v>
                </c:pt>
                <c:pt idx="852">
                  <c:v>0.996</c:v>
                </c:pt>
                <c:pt idx="853">
                  <c:v>0.996</c:v>
                </c:pt>
                <c:pt idx="854">
                  <c:v>0.997</c:v>
                </c:pt>
                <c:pt idx="855">
                  <c:v>0.79200000000000004</c:v>
                </c:pt>
                <c:pt idx="856">
                  <c:v>0.995</c:v>
                </c:pt>
                <c:pt idx="857">
                  <c:v>0.78300000000000003</c:v>
                </c:pt>
                <c:pt idx="858">
                  <c:v>0.76600000000000001</c:v>
                </c:pt>
                <c:pt idx="859">
                  <c:v>0.76600000000000001</c:v>
                </c:pt>
                <c:pt idx="860">
                  <c:v>0.748</c:v>
                </c:pt>
                <c:pt idx="861">
                  <c:v>0.73599999999999999</c:v>
                </c:pt>
                <c:pt idx="862">
                  <c:v>0.79900000000000004</c:v>
                </c:pt>
                <c:pt idx="863">
                  <c:v>0.73899999999999999</c:v>
                </c:pt>
                <c:pt idx="864">
                  <c:v>0.78700000000000003</c:v>
                </c:pt>
                <c:pt idx="865">
                  <c:v>0.99399999999999999</c:v>
                </c:pt>
                <c:pt idx="866">
                  <c:v>0.997</c:v>
                </c:pt>
                <c:pt idx="867">
                  <c:v>0.996</c:v>
                </c:pt>
                <c:pt idx="868">
                  <c:v>0.999</c:v>
                </c:pt>
                <c:pt idx="869">
                  <c:v>0.78600000000000003</c:v>
                </c:pt>
                <c:pt idx="870">
                  <c:v>0.79</c:v>
                </c:pt>
                <c:pt idx="871">
                  <c:v>0.79400000000000004</c:v>
                </c:pt>
                <c:pt idx="872">
                  <c:v>0.78900000000000003</c:v>
                </c:pt>
                <c:pt idx="873">
                  <c:v>0.99299999999999999</c:v>
                </c:pt>
                <c:pt idx="874">
                  <c:v>0.78300000000000003</c:v>
                </c:pt>
                <c:pt idx="875">
                  <c:v>0.79</c:v>
                </c:pt>
                <c:pt idx="876">
                  <c:v>0.99399999999999999</c:v>
                </c:pt>
                <c:pt idx="877">
                  <c:v>0.78800000000000003</c:v>
                </c:pt>
                <c:pt idx="878">
                  <c:v>0.78600000000000003</c:v>
                </c:pt>
                <c:pt idx="879">
                  <c:v>0.77900000000000003</c:v>
                </c:pt>
                <c:pt idx="880">
                  <c:v>0.77200000000000002</c:v>
                </c:pt>
                <c:pt idx="881">
                  <c:v>0.78300000000000003</c:v>
                </c:pt>
                <c:pt idx="882">
                  <c:v>0.78100000000000003</c:v>
                </c:pt>
                <c:pt idx="883">
                  <c:v>0.78700000000000003</c:v>
                </c:pt>
                <c:pt idx="884">
                  <c:v>0.78600000000000003</c:v>
                </c:pt>
                <c:pt idx="885">
                  <c:v>0.79600000000000004</c:v>
                </c:pt>
                <c:pt idx="886">
                  <c:v>0.78800000000000003</c:v>
                </c:pt>
                <c:pt idx="887">
                  <c:v>0.99399999999999999</c:v>
                </c:pt>
                <c:pt idx="888">
                  <c:v>0.996</c:v>
                </c:pt>
                <c:pt idx="889">
                  <c:v>0.998</c:v>
                </c:pt>
                <c:pt idx="890">
                  <c:v>0.999</c:v>
                </c:pt>
                <c:pt idx="891">
                  <c:v>0.999</c:v>
                </c:pt>
                <c:pt idx="892">
                  <c:v>0.78800000000000003</c:v>
                </c:pt>
                <c:pt idx="893">
                  <c:v>0.56999999999999995</c:v>
                </c:pt>
                <c:pt idx="894">
                  <c:v>0.752</c:v>
                </c:pt>
                <c:pt idx="895">
                  <c:v>0.55100000000000005</c:v>
                </c:pt>
                <c:pt idx="896">
                  <c:v>0.55600000000000005</c:v>
                </c:pt>
                <c:pt idx="897">
                  <c:v>0.77700000000000002</c:v>
                </c:pt>
                <c:pt idx="898">
                  <c:v>0.79500000000000004</c:v>
                </c:pt>
                <c:pt idx="899">
                  <c:v>0.78600000000000003</c:v>
                </c:pt>
                <c:pt idx="900">
                  <c:v>0.79900000000000004</c:v>
                </c:pt>
                <c:pt idx="901">
                  <c:v>0.79700000000000004</c:v>
                </c:pt>
                <c:pt idx="902">
                  <c:v>0.55900000000000005</c:v>
                </c:pt>
                <c:pt idx="903">
                  <c:v>0.76600000000000001</c:v>
                </c:pt>
                <c:pt idx="904">
                  <c:v>0.56000000000000005</c:v>
                </c:pt>
                <c:pt idx="905">
                  <c:v>0.84299999999999997</c:v>
                </c:pt>
                <c:pt idx="906">
                  <c:v>0.74299999999999999</c:v>
                </c:pt>
                <c:pt idx="907">
                  <c:v>0.67900000000000005</c:v>
                </c:pt>
                <c:pt idx="908">
                  <c:v>0.66300000000000003</c:v>
                </c:pt>
                <c:pt idx="909">
                  <c:v>0.47399999999999998</c:v>
                </c:pt>
                <c:pt idx="910">
                  <c:v>0.46400000000000002</c:v>
                </c:pt>
                <c:pt idx="911">
                  <c:v>0.46899999999999997</c:v>
                </c:pt>
                <c:pt idx="912">
                  <c:v>0.83099999999999996</c:v>
                </c:pt>
                <c:pt idx="913">
                  <c:v>0.745</c:v>
                </c:pt>
                <c:pt idx="914">
                  <c:v>0.76100000000000001</c:v>
                </c:pt>
                <c:pt idx="915">
                  <c:v>0.54600000000000004</c:v>
                </c:pt>
                <c:pt idx="916">
                  <c:v>0.69</c:v>
                </c:pt>
                <c:pt idx="917">
                  <c:v>0.746</c:v>
                </c:pt>
                <c:pt idx="918">
                  <c:v>0.57099999999999995</c:v>
                </c:pt>
                <c:pt idx="919">
                  <c:v>0.55400000000000005</c:v>
                </c:pt>
                <c:pt idx="920">
                  <c:v>0.68</c:v>
                </c:pt>
                <c:pt idx="921">
                  <c:v>0.69199999999999995</c:v>
                </c:pt>
                <c:pt idx="922">
                  <c:v>0.76</c:v>
                </c:pt>
                <c:pt idx="923">
                  <c:v>0.77600000000000002</c:v>
                </c:pt>
                <c:pt idx="924">
                  <c:v>0.75600000000000001</c:v>
                </c:pt>
                <c:pt idx="925">
                  <c:v>0.76</c:v>
                </c:pt>
                <c:pt idx="926">
                  <c:v>0.76600000000000001</c:v>
                </c:pt>
                <c:pt idx="927">
                  <c:v>0.68300000000000005</c:v>
                </c:pt>
                <c:pt idx="928">
                  <c:v>0.54800000000000004</c:v>
                </c:pt>
                <c:pt idx="929">
                  <c:v>0.72</c:v>
                </c:pt>
                <c:pt idx="930">
                  <c:v>0.72699999999999998</c:v>
                </c:pt>
                <c:pt idx="931">
                  <c:v>0.72699999999999998</c:v>
                </c:pt>
                <c:pt idx="932">
                  <c:v>0.78600000000000003</c:v>
                </c:pt>
                <c:pt idx="933">
                  <c:v>0.81100000000000005</c:v>
                </c:pt>
                <c:pt idx="934">
                  <c:v>0.79300000000000004</c:v>
                </c:pt>
                <c:pt idx="935">
                  <c:v>0.78300000000000003</c:v>
                </c:pt>
                <c:pt idx="936">
                  <c:v>0.79200000000000004</c:v>
                </c:pt>
                <c:pt idx="937">
                  <c:v>0.79700000000000004</c:v>
                </c:pt>
                <c:pt idx="938">
                  <c:v>0.8</c:v>
                </c:pt>
                <c:pt idx="939">
                  <c:v>0.79200000000000004</c:v>
                </c:pt>
                <c:pt idx="940">
                  <c:v>0.998</c:v>
                </c:pt>
                <c:pt idx="941">
                  <c:v>0.999</c:v>
                </c:pt>
                <c:pt idx="942">
                  <c:v>0.998</c:v>
                </c:pt>
                <c:pt idx="943">
                  <c:v>0.998</c:v>
                </c:pt>
                <c:pt idx="944">
                  <c:v>0.79700000000000004</c:v>
                </c:pt>
                <c:pt idx="945">
                  <c:v>0.997</c:v>
                </c:pt>
                <c:pt idx="946">
                  <c:v>0.78800000000000003</c:v>
                </c:pt>
                <c:pt idx="947">
                  <c:v>0.76</c:v>
                </c:pt>
                <c:pt idx="948">
                  <c:v>0.78700000000000003</c:v>
                </c:pt>
                <c:pt idx="949">
                  <c:v>0.77800000000000002</c:v>
                </c:pt>
                <c:pt idx="950">
                  <c:v>0.79800000000000004</c:v>
                </c:pt>
                <c:pt idx="951">
                  <c:v>0.55500000000000005</c:v>
                </c:pt>
                <c:pt idx="952">
                  <c:v>0.80200000000000005</c:v>
                </c:pt>
                <c:pt idx="953">
                  <c:v>0.55200000000000005</c:v>
                </c:pt>
                <c:pt idx="954">
                  <c:v>0.79</c:v>
                </c:pt>
                <c:pt idx="955">
                  <c:v>0.8</c:v>
                </c:pt>
                <c:pt idx="956">
                  <c:v>0.749</c:v>
                </c:pt>
                <c:pt idx="957">
                  <c:v>0.78100000000000003</c:v>
                </c:pt>
                <c:pt idx="958">
                  <c:v>0.79</c:v>
                </c:pt>
                <c:pt idx="959">
                  <c:v>0.77100000000000002</c:v>
                </c:pt>
                <c:pt idx="960">
                  <c:v>0.99399999999999999</c:v>
                </c:pt>
                <c:pt idx="961">
                  <c:v>0.78600000000000003</c:v>
                </c:pt>
                <c:pt idx="962">
                  <c:v>0.997</c:v>
                </c:pt>
                <c:pt idx="963">
                  <c:v>0.78600000000000003</c:v>
                </c:pt>
                <c:pt idx="964">
                  <c:v>0.79400000000000004</c:v>
                </c:pt>
                <c:pt idx="965">
                  <c:v>0.78800000000000003</c:v>
                </c:pt>
                <c:pt idx="966">
                  <c:v>0.997</c:v>
                </c:pt>
                <c:pt idx="967">
                  <c:v>0.79400000000000004</c:v>
                </c:pt>
                <c:pt idx="968">
                  <c:v>0.79800000000000004</c:v>
                </c:pt>
                <c:pt idx="969">
                  <c:v>0.78400000000000003</c:v>
                </c:pt>
                <c:pt idx="970">
                  <c:v>0.80200000000000005</c:v>
                </c:pt>
                <c:pt idx="971">
                  <c:v>0.99399999999999999</c:v>
                </c:pt>
                <c:pt idx="972">
                  <c:v>0.78500000000000003</c:v>
                </c:pt>
                <c:pt idx="973">
                  <c:v>0.996</c:v>
                </c:pt>
                <c:pt idx="974">
                  <c:v>0.79600000000000004</c:v>
                </c:pt>
                <c:pt idx="975">
                  <c:v>0.79300000000000004</c:v>
                </c:pt>
                <c:pt idx="976">
                  <c:v>0.79100000000000004</c:v>
                </c:pt>
                <c:pt idx="977">
                  <c:v>0.79500000000000004</c:v>
                </c:pt>
                <c:pt idx="978">
                  <c:v>0.997</c:v>
                </c:pt>
                <c:pt idx="979">
                  <c:v>0.998</c:v>
                </c:pt>
                <c:pt idx="980">
                  <c:v>0.998</c:v>
                </c:pt>
                <c:pt idx="981">
                  <c:v>0.997</c:v>
                </c:pt>
                <c:pt idx="982">
                  <c:v>0.79</c:v>
                </c:pt>
                <c:pt idx="983">
                  <c:v>0.997</c:v>
                </c:pt>
                <c:pt idx="984">
                  <c:v>0.998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E2-4187-AF59-0CD200EC4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415872"/>
        <c:axId val="1663073680"/>
      </c:scatterChart>
      <c:valAx>
        <c:axId val="2088415872"/>
        <c:scaling>
          <c:orientation val="minMax"/>
          <c:max val="3.5000000000000003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New Active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073680"/>
        <c:crosses val="autoZero"/>
        <c:crossBetween val="midCat"/>
      </c:valAx>
      <c:valAx>
        <c:axId val="16630736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41587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828515382176768E-2"/>
          <c:y val="0.13021332376466899"/>
          <c:w val="0.89054598857272382"/>
          <c:h val="0.8354590246717202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'Mobility Curve FF'!$AF$3:$AF$987</c:f>
              <c:numCache>
                <c:formatCode>0.0%</c:formatCode>
                <c:ptCount val="9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2E-3</c:v>
                </c:pt>
                <c:pt idx="4">
                  <c:v>3.0000000000000001E-3</c:v>
                </c:pt>
                <c:pt idx="5">
                  <c:v>8.9999999999999993E-3</c:v>
                </c:pt>
                <c:pt idx="6">
                  <c:v>8.0000000000000002E-3</c:v>
                </c:pt>
                <c:pt idx="7">
                  <c:v>1.2999999999999999E-2</c:v>
                </c:pt>
                <c:pt idx="8">
                  <c:v>1.4999999999999999E-2</c:v>
                </c:pt>
                <c:pt idx="9">
                  <c:v>0.02</c:v>
                </c:pt>
                <c:pt idx="10">
                  <c:v>1.6E-2</c:v>
                </c:pt>
                <c:pt idx="11">
                  <c:v>1.2999999999999999E-2</c:v>
                </c:pt>
                <c:pt idx="12">
                  <c:v>5.0000000000000001E-3</c:v>
                </c:pt>
                <c:pt idx="13">
                  <c:v>5.0000000000000001E-3</c:v>
                </c:pt>
                <c:pt idx="14">
                  <c:v>4.0000000000000001E-3</c:v>
                </c:pt>
                <c:pt idx="15">
                  <c:v>6.0000000000000001E-3</c:v>
                </c:pt>
                <c:pt idx="16">
                  <c:v>7.0000000000000001E-3</c:v>
                </c:pt>
                <c:pt idx="17">
                  <c:v>8.0000000000000002E-3</c:v>
                </c:pt>
                <c:pt idx="18">
                  <c:v>8.9999999999999993E-3</c:v>
                </c:pt>
                <c:pt idx="19">
                  <c:v>0.01</c:v>
                </c:pt>
                <c:pt idx="20">
                  <c:v>1.2E-2</c:v>
                </c:pt>
                <c:pt idx="21">
                  <c:v>7.0000000000000001E-3</c:v>
                </c:pt>
                <c:pt idx="22">
                  <c:v>1.4999999999999999E-2</c:v>
                </c:pt>
                <c:pt idx="23">
                  <c:v>1.4999999999999999E-2</c:v>
                </c:pt>
                <c:pt idx="24">
                  <c:v>8.0000000000000002E-3</c:v>
                </c:pt>
                <c:pt idx="25">
                  <c:v>6.0000000000000001E-3</c:v>
                </c:pt>
                <c:pt idx="26">
                  <c:v>1E-3</c:v>
                </c:pt>
                <c:pt idx="27">
                  <c:v>0</c:v>
                </c:pt>
                <c:pt idx="28">
                  <c:v>2E-3</c:v>
                </c:pt>
                <c:pt idx="29">
                  <c:v>0</c:v>
                </c:pt>
                <c:pt idx="30">
                  <c:v>1E-3</c:v>
                </c:pt>
                <c:pt idx="31">
                  <c:v>5.0000000000000001E-3</c:v>
                </c:pt>
                <c:pt idx="32">
                  <c:v>6.0000000000000001E-3</c:v>
                </c:pt>
                <c:pt idx="33">
                  <c:v>7.0000000000000001E-3</c:v>
                </c:pt>
                <c:pt idx="34">
                  <c:v>3.0000000000000001E-3</c:v>
                </c:pt>
                <c:pt idx="35">
                  <c:v>2E-3</c:v>
                </c:pt>
                <c:pt idx="36">
                  <c:v>4.0000000000000001E-3</c:v>
                </c:pt>
                <c:pt idx="37">
                  <c:v>2E-3</c:v>
                </c:pt>
                <c:pt idx="38">
                  <c:v>2E-3</c:v>
                </c:pt>
                <c:pt idx="39">
                  <c:v>4.0000000000000001E-3</c:v>
                </c:pt>
                <c:pt idx="40">
                  <c:v>1E-3</c:v>
                </c:pt>
                <c:pt idx="41">
                  <c:v>3.0000000000000001E-3</c:v>
                </c:pt>
                <c:pt idx="42">
                  <c:v>3.0000000000000001E-3</c:v>
                </c:pt>
                <c:pt idx="43">
                  <c:v>4.0000000000000001E-3</c:v>
                </c:pt>
                <c:pt idx="44">
                  <c:v>2E-3</c:v>
                </c:pt>
                <c:pt idx="45">
                  <c:v>1E-3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1E-3</c:v>
                </c:pt>
                <c:pt idx="50">
                  <c:v>2E-3</c:v>
                </c:pt>
                <c:pt idx="51">
                  <c:v>6.0000000000000001E-3</c:v>
                </c:pt>
                <c:pt idx="52">
                  <c:v>6.0000000000000001E-3</c:v>
                </c:pt>
                <c:pt idx="53">
                  <c:v>5.0000000000000001E-3</c:v>
                </c:pt>
                <c:pt idx="54">
                  <c:v>6.0000000000000001E-3</c:v>
                </c:pt>
                <c:pt idx="55">
                  <c:v>5.0000000000000001E-3</c:v>
                </c:pt>
                <c:pt idx="56">
                  <c:v>7.0000000000000001E-3</c:v>
                </c:pt>
                <c:pt idx="57">
                  <c:v>1E-3</c:v>
                </c:pt>
                <c:pt idx="58">
                  <c:v>4.0000000000000001E-3</c:v>
                </c:pt>
                <c:pt idx="59">
                  <c:v>0</c:v>
                </c:pt>
                <c:pt idx="60">
                  <c:v>2E-3</c:v>
                </c:pt>
                <c:pt idx="61">
                  <c:v>2E-3</c:v>
                </c:pt>
                <c:pt idx="62">
                  <c:v>1E-3</c:v>
                </c:pt>
                <c:pt idx="63">
                  <c:v>6.0000000000000001E-3</c:v>
                </c:pt>
                <c:pt idx="64">
                  <c:v>2E-3</c:v>
                </c:pt>
                <c:pt idx="65">
                  <c:v>2E-3</c:v>
                </c:pt>
                <c:pt idx="66">
                  <c:v>2E-3</c:v>
                </c:pt>
                <c:pt idx="67">
                  <c:v>3.0000000000000001E-3</c:v>
                </c:pt>
                <c:pt idx="68">
                  <c:v>5.0000000000000001E-3</c:v>
                </c:pt>
                <c:pt idx="69">
                  <c:v>4.0000000000000001E-3</c:v>
                </c:pt>
                <c:pt idx="70">
                  <c:v>1E-3</c:v>
                </c:pt>
                <c:pt idx="71">
                  <c:v>2E-3</c:v>
                </c:pt>
                <c:pt idx="72">
                  <c:v>1E-3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2E-3</c:v>
                </c:pt>
                <c:pt idx="80">
                  <c:v>1E-3</c:v>
                </c:pt>
                <c:pt idx="81">
                  <c:v>4.0000000000000001E-3</c:v>
                </c:pt>
                <c:pt idx="82">
                  <c:v>0.01</c:v>
                </c:pt>
                <c:pt idx="83">
                  <c:v>1.6E-2</c:v>
                </c:pt>
                <c:pt idx="84">
                  <c:v>1.4999999999999999E-2</c:v>
                </c:pt>
                <c:pt idx="85">
                  <c:v>1.7999999999999999E-2</c:v>
                </c:pt>
                <c:pt idx="86">
                  <c:v>2.5999999999999999E-2</c:v>
                </c:pt>
                <c:pt idx="87">
                  <c:v>7.0000000000000001E-3</c:v>
                </c:pt>
                <c:pt idx="88">
                  <c:v>4.0000000000000001E-3</c:v>
                </c:pt>
                <c:pt idx="89">
                  <c:v>4.0000000000000001E-3</c:v>
                </c:pt>
                <c:pt idx="90">
                  <c:v>2E-3</c:v>
                </c:pt>
                <c:pt idx="91">
                  <c:v>2E-3</c:v>
                </c:pt>
                <c:pt idx="92">
                  <c:v>6.0000000000000001E-3</c:v>
                </c:pt>
                <c:pt idx="93">
                  <c:v>5.0000000000000001E-3</c:v>
                </c:pt>
                <c:pt idx="94">
                  <c:v>5.0000000000000001E-3</c:v>
                </c:pt>
                <c:pt idx="95">
                  <c:v>8.9999999999999993E-3</c:v>
                </c:pt>
                <c:pt idx="96">
                  <c:v>8.9999999999999993E-3</c:v>
                </c:pt>
                <c:pt idx="97">
                  <c:v>8.0000000000000002E-3</c:v>
                </c:pt>
                <c:pt idx="98">
                  <c:v>5.0000000000000001E-3</c:v>
                </c:pt>
                <c:pt idx="99">
                  <c:v>6.0000000000000001E-3</c:v>
                </c:pt>
                <c:pt idx="100">
                  <c:v>4.0000000000000001E-3</c:v>
                </c:pt>
                <c:pt idx="101">
                  <c:v>3.0000000000000001E-3</c:v>
                </c:pt>
                <c:pt idx="102">
                  <c:v>2E-3</c:v>
                </c:pt>
                <c:pt idx="103">
                  <c:v>4.0000000000000001E-3</c:v>
                </c:pt>
                <c:pt idx="104">
                  <c:v>6.0000000000000001E-3</c:v>
                </c:pt>
                <c:pt idx="105">
                  <c:v>8.0000000000000002E-3</c:v>
                </c:pt>
                <c:pt idx="106">
                  <c:v>1.0999999999999999E-2</c:v>
                </c:pt>
                <c:pt idx="107">
                  <c:v>1.2999999999999999E-2</c:v>
                </c:pt>
                <c:pt idx="108">
                  <c:v>1.2E-2</c:v>
                </c:pt>
                <c:pt idx="109">
                  <c:v>6.0000000000000001E-3</c:v>
                </c:pt>
                <c:pt idx="110">
                  <c:v>4.0000000000000001E-3</c:v>
                </c:pt>
                <c:pt idx="111">
                  <c:v>2E-3</c:v>
                </c:pt>
                <c:pt idx="112">
                  <c:v>4.0000000000000001E-3</c:v>
                </c:pt>
                <c:pt idx="113">
                  <c:v>2E-3</c:v>
                </c:pt>
                <c:pt idx="114">
                  <c:v>6.0000000000000001E-3</c:v>
                </c:pt>
                <c:pt idx="115">
                  <c:v>4.0000000000000001E-3</c:v>
                </c:pt>
                <c:pt idx="116">
                  <c:v>2E-3</c:v>
                </c:pt>
                <c:pt idx="117">
                  <c:v>6.0000000000000001E-3</c:v>
                </c:pt>
                <c:pt idx="118">
                  <c:v>8.0000000000000002E-3</c:v>
                </c:pt>
                <c:pt idx="119">
                  <c:v>8.0000000000000002E-3</c:v>
                </c:pt>
                <c:pt idx="120">
                  <c:v>8.9999999999999993E-3</c:v>
                </c:pt>
                <c:pt idx="121">
                  <c:v>1.0999999999999999E-2</c:v>
                </c:pt>
                <c:pt idx="122">
                  <c:v>8.0000000000000002E-3</c:v>
                </c:pt>
                <c:pt idx="123">
                  <c:v>8.0000000000000002E-3</c:v>
                </c:pt>
                <c:pt idx="124">
                  <c:v>6.0000000000000001E-3</c:v>
                </c:pt>
                <c:pt idx="125">
                  <c:v>8.9999999999999993E-3</c:v>
                </c:pt>
                <c:pt idx="126">
                  <c:v>5.0000000000000001E-3</c:v>
                </c:pt>
                <c:pt idx="127">
                  <c:v>8.0000000000000002E-3</c:v>
                </c:pt>
                <c:pt idx="128">
                  <c:v>7.0000000000000001E-3</c:v>
                </c:pt>
                <c:pt idx="129">
                  <c:v>1E-3</c:v>
                </c:pt>
                <c:pt idx="130">
                  <c:v>2E-3</c:v>
                </c:pt>
                <c:pt idx="131">
                  <c:v>1E-3</c:v>
                </c:pt>
                <c:pt idx="132">
                  <c:v>2E-3</c:v>
                </c:pt>
                <c:pt idx="133">
                  <c:v>7.0000000000000001E-3</c:v>
                </c:pt>
                <c:pt idx="134">
                  <c:v>4.0000000000000001E-3</c:v>
                </c:pt>
                <c:pt idx="135">
                  <c:v>5.0000000000000001E-3</c:v>
                </c:pt>
                <c:pt idx="136">
                  <c:v>5.0000000000000001E-3</c:v>
                </c:pt>
                <c:pt idx="137">
                  <c:v>4.0000000000000001E-3</c:v>
                </c:pt>
                <c:pt idx="138">
                  <c:v>1E-3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1E-3</c:v>
                </c:pt>
                <c:pt idx="144">
                  <c:v>3.0000000000000001E-3</c:v>
                </c:pt>
                <c:pt idx="145">
                  <c:v>3.0000000000000001E-3</c:v>
                </c:pt>
                <c:pt idx="146">
                  <c:v>1E-3</c:v>
                </c:pt>
                <c:pt idx="147">
                  <c:v>1E-3</c:v>
                </c:pt>
                <c:pt idx="148">
                  <c:v>1E-3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2E-3</c:v>
                </c:pt>
                <c:pt idx="155">
                  <c:v>4.0000000000000001E-3</c:v>
                </c:pt>
                <c:pt idx="156">
                  <c:v>5.0000000000000001E-3</c:v>
                </c:pt>
                <c:pt idx="157">
                  <c:v>8.9999999999999993E-3</c:v>
                </c:pt>
                <c:pt idx="158">
                  <c:v>7.0000000000000001E-3</c:v>
                </c:pt>
                <c:pt idx="159">
                  <c:v>7.0000000000000001E-3</c:v>
                </c:pt>
                <c:pt idx="160">
                  <c:v>6.0000000000000001E-3</c:v>
                </c:pt>
                <c:pt idx="161">
                  <c:v>1.2E-2</c:v>
                </c:pt>
                <c:pt idx="162">
                  <c:v>1.0999999999999999E-2</c:v>
                </c:pt>
                <c:pt idx="163">
                  <c:v>1.7999999999999999E-2</c:v>
                </c:pt>
                <c:pt idx="164">
                  <c:v>1.7000000000000001E-2</c:v>
                </c:pt>
                <c:pt idx="165">
                  <c:v>6.0000000000000001E-3</c:v>
                </c:pt>
                <c:pt idx="166">
                  <c:v>0.01</c:v>
                </c:pt>
                <c:pt idx="167">
                  <c:v>8.0000000000000002E-3</c:v>
                </c:pt>
                <c:pt idx="168">
                  <c:v>3.0000000000000001E-3</c:v>
                </c:pt>
                <c:pt idx="169">
                  <c:v>7.0000000000000001E-3</c:v>
                </c:pt>
                <c:pt idx="170">
                  <c:v>1.2E-2</c:v>
                </c:pt>
                <c:pt idx="171">
                  <c:v>6.0000000000000001E-3</c:v>
                </c:pt>
                <c:pt idx="172">
                  <c:v>8.0000000000000002E-3</c:v>
                </c:pt>
                <c:pt idx="173">
                  <c:v>6.0000000000000001E-3</c:v>
                </c:pt>
                <c:pt idx="174">
                  <c:v>5.0000000000000001E-3</c:v>
                </c:pt>
                <c:pt idx="175">
                  <c:v>4.0000000000000001E-3</c:v>
                </c:pt>
                <c:pt idx="176">
                  <c:v>4.0000000000000001E-3</c:v>
                </c:pt>
                <c:pt idx="177">
                  <c:v>4.0000000000000001E-3</c:v>
                </c:pt>
                <c:pt idx="178">
                  <c:v>3.0000000000000001E-3</c:v>
                </c:pt>
                <c:pt idx="179">
                  <c:v>5.0000000000000001E-3</c:v>
                </c:pt>
                <c:pt idx="180">
                  <c:v>4.0000000000000001E-3</c:v>
                </c:pt>
                <c:pt idx="181">
                  <c:v>7.0000000000000001E-3</c:v>
                </c:pt>
                <c:pt idx="182">
                  <c:v>5.0000000000000001E-3</c:v>
                </c:pt>
                <c:pt idx="183">
                  <c:v>3.0000000000000001E-3</c:v>
                </c:pt>
                <c:pt idx="184">
                  <c:v>2E-3</c:v>
                </c:pt>
                <c:pt idx="185">
                  <c:v>2E-3</c:v>
                </c:pt>
                <c:pt idx="186">
                  <c:v>0</c:v>
                </c:pt>
                <c:pt idx="187">
                  <c:v>2E-3</c:v>
                </c:pt>
                <c:pt idx="188">
                  <c:v>0</c:v>
                </c:pt>
                <c:pt idx="189">
                  <c:v>2E-3</c:v>
                </c:pt>
                <c:pt idx="190">
                  <c:v>3.0000000000000001E-3</c:v>
                </c:pt>
                <c:pt idx="191">
                  <c:v>1E-3</c:v>
                </c:pt>
                <c:pt idx="192">
                  <c:v>4.0000000000000001E-3</c:v>
                </c:pt>
                <c:pt idx="193">
                  <c:v>2E-3</c:v>
                </c:pt>
                <c:pt idx="194">
                  <c:v>4.0000000000000001E-3</c:v>
                </c:pt>
                <c:pt idx="195">
                  <c:v>2E-3</c:v>
                </c:pt>
                <c:pt idx="196">
                  <c:v>2E-3</c:v>
                </c:pt>
                <c:pt idx="197">
                  <c:v>0</c:v>
                </c:pt>
                <c:pt idx="198">
                  <c:v>1E-3</c:v>
                </c:pt>
                <c:pt idx="199">
                  <c:v>0</c:v>
                </c:pt>
                <c:pt idx="200">
                  <c:v>0</c:v>
                </c:pt>
                <c:pt idx="201">
                  <c:v>1E-3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2E-3</c:v>
                </c:pt>
                <c:pt idx="208">
                  <c:v>0</c:v>
                </c:pt>
                <c:pt idx="209">
                  <c:v>3.0000000000000001E-3</c:v>
                </c:pt>
                <c:pt idx="210">
                  <c:v>8.0000000000000002E-3</c:v>
                </c:pt>
                <c:pt idx="211">
                  <c:v>7.0000000000000001E-3</c:v>
                </c:pt>
                <c:pt idx="212">
                  <c:v>1.9E-2</c:v>
                </c:pt>
                <c:pt idx="213">
                  <c:v>1.4999999999999999E-2</c:v>
                </c:pt>
                <c:pt idx="214">
                  <c:v>1.4999999999999999E-2</c:v>
                </c:pt>
                <c:pt idx="215">
                  <c:v>0.02</c:v>
                </c:pt>
                <c:pt idx="216">
                  <c:v>1.4E-2</c:v>
                </c:pt>
                <c:pt idx="217">
                  <c:v>6.0000000000000001E-3</c:v>
                </c:pt>
                <c:pt idx="218">
                  <c:v>3.0000000000000001E-3</c:v>
                </c:pt>
                <c:pt idx="219">
                  <c:v>2E-3</c:v>
                </c:pt>
                <c:pt idx="220">
                  <c:v>4.0000000000000001E-3</c:v>
                </c:pt>
                <c:pt idx="221">
                  <c:v>2E-3</c:v>
                </c:pt>
                <c:pt idx="222">
                  <c:v>3.0000000000000001E-3</c:v>
                </c:pt>
                <c:pt idx="223">
                  <c:v>6.0000000000000001E-3</c:v>
                </c:pt>
                <c:pt idx="224">
                  <c:v>7.0000000000000001E-3</c:v>
                </c:pt>
                <c:pt idx="225">
                  <c:v>8.9999999999999993E-3</c:v>
                </c:pt>
                <c:pt idx="226">
                  <c:v>8.9999999999999993E-3</c:v>
                </c:pt>
                <c:pt idx="227">
                  <c:v>8.9999999999999993E-3</c:v>
                </c:pt>
                <c:pt idx="228">
                  <c:v>6.0000000000000001E-3</c:v>
                </c:pt>
                <c:pt idx="229">
                  <c:v>0.01</c:v>
                </c:pt>
                <c:pt idx="230">
                  <c:v>7.0000000000000001E-3</c:v>
                </c:pt>
                <c:pt idx="231">
                  <c:v>1.0999999999999999E-2</c:v>
                </c:pt>
                <c:pt idx="232">
                  <c:v>7.0000000000000001E-3</c:v>
                </c:pt>
                <c:pt idx="233">
                  <c:v>1.2E-2</c:v>
                </c:pt>
                <c:pt idx="234">
                  <c:v>1.2E-2</c:v>
                </c:pt>
                <c:pt idx="235">
                  <c:v>8.9999999999999993E-3</c:v>
                </c:pt>
                <c:pt idx="236">
                  <c:v>1.7000000000000001E-2</c:v>
                </c:pt>
                <c:pt idx="237">
                  <c:v>0.01</c:v>
                </c:pt>
                <c:pt idx="238">
                  <c:v>8.0000000000000002E-3</c:v>
                </c:pt>
                <c:pt idx="239">
                  <c:v>7.0000000000000001E-3</c:v>
                </c:pt>
                <c:pt idx="240">
                  <c:v>5.0000000000000001E-3</c:v>
                </c:pt>
                <c:pt idx="241">
                  <c:v>8.9999999999999993E-3</c:v>
                </c:pt>
                <c:pt idx="242">
                  <c:v>5.0000000000000001E-3</c:v>
                </c:pt>
                <c:pt idx="243">
                  <c:v>4.0000000000000001E-3</c:v>
                </c:pt>
                <c:pt idx="244">
                  <c:v>0</c:v>
                </c:pt>
                <c:pt idx="245">
                  <c:v>1E-3</c:v>
                </c:pt>
                <c:pt idx="246">
                  <c:v>0</c:v>
                </c:pt>
                <c:pt idx="247">
                  <c:v>2E-3</c:v>
                </c:pt>
                <c:pt idx="248">
                  <c:v>4.0000000000000001E-3</c:v>
                </c:pt>
                <c:pt idx="249">
                  <c:v>3.0000000000000001E-3</c:v>
                </c:pt>
                <c:pt idx="250">
                  <c:v>5.0000000000000001E-3</c:v>
                </c:pt>
                <c:pt idx="251">
                  <c:v>2E-3</c:v>
                </c:pt>
                <c:pt idx="252">
                  <c:v>6.0000000000000001E-3</c:v>
                </c:pt>
                <c:pt idx="253">
                  <c:v>2E-3</c:v>
                </c:pt>
                <c:pt idx="254">
                  <c:v>1E-3</c:v>
                </c:pt>
                <c:pt idx="255">
                  <c:v>0</c:v>
                </c:pt>
                <c:pt idx="256">
                  <c:v>1E-3</c:v>
                </c:pt>
                <c:pt idx="257">
                  <c:v>1E-3</c:v>
                </c:pt>
                <c:pt idx="258">
                  <c:v>0</c:v>
                </c:pt>
                <c:pt idx="259">
                  <c:v>2E-3</c:v>
                </c:pt>
                <c:pt idx="260">
                  <c:v>2E-3</c:v>
                </c:pt>
                <c:pt idx="261">
                  <c:v>2E-3</c:v>
                </c:pt>
                <c:pt idx="262">
                  <c:v>5.0000000000000001E-3</c:v>
                </c:pt>
                <c:pt idx="263">
                  <c:v>4.0000000000000001E-3</c:v>
                </c:pt>
                <c:pt idx="264">
                  <c:v>5.0000000000000001E-3</c:v>
                </c:pt>
                <c:pt idx="265">
                  <c:v>8.0000000000000002E-3</c:v>
                </c:pt>
                <c:pt idx="266">
                  <c:v>5.0000000000000001E-3</c:v>
                </c:pt>
                <c:pt idx="267">
                  <c:v>5.0000000000000001E-3</c:v>
                </c:pt>
                <c:pt idx="268">
                  <c:v>1E-3</c:v>
                </c:pt>
                <c:pt idx="269">
                  <c:v>2E-3</c:v>
                </c:pt>
                <c:pt idx="270">
                  <c:v>0</c:v>
                </c:pt>
                <c:pt idx="271">
                  <c:v>1E-3</c:v>
                </c:pt>
                <c:pt idx="272">
                  <c:v>1E-3</c:v>
                </c:pt>
                <c:pt idx="273">
                  <c:v>0</c:v>
                </c:pt>
                <c:pt idx="274">
                  <c:v>1E-3</c:v>
                </c:pt>
                <c:pt idx="275">
                  <c:v>1E-3</c:v>
                </c:pt>
                <c:pt idx="276">
                  <c:v>1E-3</c:v>
                </c:pt>
                <c:pt idx="277">
                  <c:v>1E-3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2E-3</c:v>
                </c:pt>
                <c:pt idx="284">
                  <c:v>2E-3</c:v>
                </c:pt>
                <c:pt idx="285">
                  <c:v>5.0000000000000001E-3</c:v>
                </c:pt>
                <c:pt idx="286">
                  <c:v>6.0000000000000001E-3</c:v>
                </c:pt>
                <c:pt idx="287">
                  <c:v>8.0000000000000002E-3</c:v>
                </c:pt>
                <c:pt idx="288">
                  <c:v>0.01</c:v>
                </c:pt>
                <c:pt idx="289">
                  <c:v>0.01</c:v>
                </c:pt>
                <c:pt idx="290">
                  <c:v>8.9999999999999993E-3</c:v>
                </c:pt>
                <c:pt idx="291">
                  <c:v>1.4999999999999999E-2</c:v>
                </c:pt>
                <c:pt idx="292">
                  <c:v>1.7000000000000001E-2</c:v>
                </c:pt>
                <c:pt idx="293">
                  <c:v>3.4000000000000002E-2</c:v>
                </c:pt>
                <c:pt idx="294">
                  <c:v>2.7E-2</c:v>
                </c:pt>
                <c:pt idx="295">
                  <c:v>7.0000000000000001E-3</c:v>
                </c:pt>
                <c:pt idx="296">
                  <c:v>8.0000000000000002E-3</c:v>
                </c:pt>
                <c:pt idx="297">
                  <c:v>1E-3</c:v>
                </c:pt>
                <c:pt idx="298">
                  <c:v>4.0000000000000001E-3</c:v>
                </c:pt>
                <c:pt idx="299">
                  <c:v>2E-3</c:v>
                </c:pt>
                <c:pt idx="300">
                  <c:v>2E-3</c:v>
                </c:pt>
                <c:pt idx="301">
                  <c:v>5.0000000000000001E-3</c:v>
                </c:pt>
                <c:pt idx="302">
                  <c:v>8.9999999999999993E-3</c:v>
                </c:pt>
                <c:pt idx="303">
                  <c:v>1.0999999999999999E-2</c:v>
                </c:pt>
                <c:pt idx="304">
                  <c:v>0.01</c:v>
                </c:pt>
                <c:pt idx="305">
                  <c:v>5.0000000000000001E-3</c:v>
                </c:pt>
                <c:pt idx="306">
                  <c:v>8.9999999999999993E-3</c:v>
                </c:pt>
                <c:pt idx="307">
                  <c:v>4.0000000000000001E-3</c:v>
                </c:pt>
                <c:pt idx="308">
                  <c:v>1.2999999999999999E-2</c:v>
                </c:pt>
                <c:pt idx="309">
                  <c:v>4.0000000000000001E-3</c:v>
                </c:pt>
                <c:pt idx="310">
                  <c:v>8.0000000000000002E-3</c:v>
                </c:pt>
                <c:pt idx="311">
                  <c:v>3.0000000000000001E-3</c:v>
                </c:pt>
                <c:pt idx="312">
                  <c:v>0</c:v>
                </c:pt>
                <c:pt idx="313">
                  <c:v>4.0000000000000001E-3</c:v>
                </c:pt>
                <c:pt idx="314">
                  <c:v>1E-3</c:v>
                </c:pt>
                <c:pt idx="315">
                  <c:v>1E-3</c:v>
                </c:pt>
                <c:pt idx="316">
                  <c:v>0.01</c:v>
                </c:pt>
                <c:pt idx="317">
                  <c:v>4.0000000000000001E-3</c:v>
                </c:pt>
                <c:pt idx="318">
                  <c:v>8.0000000000000002E-3</c:v>
                </c:pt>
                <c:pt idx="319">
                  <c:v>7.0000000000000001E-3</c:v>
                </c:pt>
                <c:pt idx="320">
                  <c:v>8.9999999999999993E-3</c:v>
                </c:pt>
                <c:pt idx="321">
                  <c:v>1.2999999999999999E-2</c:v>
                </c:pt>
                <c:pt idx="322">
                  <c:v>4.0000000000000001E-3</c:v>
                </c:pt>
                <c:pt idx="323">
                  <c:v>1.2E-2</c:v>
                </c:pt>
                <c:pt idx="324">
                  <c:v>7.0000000000000001E-3</c:v>
                </c:pt>
                <c:pt idx="325">
                  <c:v>4.0000000000000001E-3</c:v>
                </c:pt>
                <c:pt idx="326">
                  <c:v>4.0000000000000001E-3</c:v>
                </c:pt>
                <c:pt idx="327">
                  <c:v>2E-3</c:v>
                </c:pt>
                <c:pt idx="328">
                  <c:v>1E-3</c:v>
                </c:pt>
                <c:pt idx="329">
                  <c:v>3.0000000000000001E-3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4.0000000000000001E-3</c:v>
                </c:pt>
                <c:pt idx="336">
                  <c:v>2E-3</c:v>
                </c:pt>
                <c:pt idx="337">
                  <c:v>4.0000000000000001E-3</c:v>
                </c:pt>
                <c:pt idx="338">
                  <c:v>5.0000000000000001E-3</c:v>
                </c:pt>
                <c:pt idx="339">
                  <c:v>6.0000000000000001E-3</c:v>
                </c:pt>
                <c:pt idx="340">
                  <c:v>3.0000000000000001E-3</c:v>
                </c:pt>
                <c:pt idx="341">
                  <c:v>4.0000000000000001E-3</c:v>
                </c:pt>
                <c:pt idx="342">
                  <c:v>0</c:v>
                </c:pt>
                <c:pt idx="343">
                  <c:v>2E-3</c:v>
                </c:pt>
                <c:pt idx="344">
                  <c:v>0</c:v>
                </c:pt>
                <c:pt idx="345">
                  <c:v>0</c:v>
                </c:pt>
                <c:pt idx="346">
                  <c:v>5.0000000000000001E-3</c:v>
                </c:pt>
                <c:pt idx="347">
                  <c:v>2E-3</c:v>
                </c:pt>
                <c:pt idx="348">
                  <c:v>2E-3</c:v>
                </c:pt>
                <c:pt idx="349">
                  <c:v>7.0000000000000001E-3</c:v>
                </c:pt>
                <c:pt idx="350">
                  <c:v>1E-3</c:v>
                </c:pt>
                <c:pt idx="351">
                  <c:v>1E-3</c:v>
                </c:pt>
                <c:pt idx="352">
                  <c:v>1E-3</c:v>
                </c:pt>
                <c:pt idx="353">
                  <c:v>0</c:v>
                </c:pt>
                <c:pt idx="354">
                  <c:v>2E-3</c:v>
                </c:pt>
                <c:pt idx="355">
                  <c:v>0</c:v>
                </c:pt>
                <c:pt idx="356">
                  <c:v>2E-3</c:v>
                </c:pt>
                <c:pt idx="357">
                  <c:v>4.0000000000000001E-3</c:v>
                </c:pt>
                <c:pt idx="358">
                  <c:v>2E-3</c:v>
                </c:pt>
                <c:pt idx="359">
                  <c:v>4.0000000000000001E-3</c:v>
                </c:pt>
                <c:pt idx="360">
                  <c:v>3.0000000000000001E-3</c:v>
                </c:pt>
                <c:pt idx="361">
                  <c:v>1E-3</c:v>
                </c:pt>
                <c:pt idx="362">
                  <c:v>2E-3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2E-3</c:v>
                </c:pt>
                <c:pt idx="369">
                  <c:v>0</c:v>
                </c:pt>
                <c:pt idx="370">
                  <c:v>2E-3</c:v>
                </c:pt>
                <c:pt idx="371">
                  <c:v>2E-3</c:v>
                </c:pt>
                <c:pt idx="372">
                  <c:v>3.0000000000000001E-3</c:v>
                </c:pt>
                <c:pt idx="373">
                  <c:v>8.0000000000000002E-3</c:v>
                </c:pt>
                <c:pt idx="374">
                  <c:v>4.0000000000000001E-3</c:v>
                </c:pt>
                <c:pt idx="375">
                  <c:v>0.01</c:v>
                </c:pt>
                <c:pt idx="376">
                  <c:v>1.2E-2</c:v>
                </c:pt>
                <c:pt idx="377">
                  <c:v>1.4E-2</c:v>
                </c:pt>
                <c:pt idx="378">
                  <c:v>0.02</c:v>
                </c:pt>
                <c:pt idx="379">
                  <c:v>2.9000000000000001E-2</c:v>
                </c:pt>
                <c:pt idx="380">
                  <c:v>1.7999999999999999E-2</c:v>
                </c:pt>
                <c:pt idx="381">
                  <c:v>8.9999999999999993E-3</c:v>
                </c:pt>
                <c:pt idx="382">
                  <c:v>8.9999999999999993E-3</c:v>
                </c:pt>
                <c:pt idx="383">
                  <c:v>3.0000000000000001E-3</c:v>
                </c:pt>
                <c:pt idx="384">
                  <c:v>3.0000000000000001E-3</c:v>
                </c:pt>
                <c:pt idx="385">
                  <c:v>2E-3</c:v>
                </c:pt>
                <c:pt idx="386">
                  <c:v>4.0000000000000001E-3</c:v>
                </c:pt>
                <c:pt idx="387">
                  <c:v>1E-3</c:v>
                </c:pt>
                <c:pt idx="388">
                  <c:v>5.0000000000000001E-3</c:v>
                </c:pt>
                <c:pt idx="389">
                  <c:v>5.0000000000000001E-3</c:v>
                </c:pt>
                <c:pt idx="390">
                  <c:v>5.0000000000000001E-3</c:v>
                </c:pt>
                <c:pt idx="391">
                  <c:v>5.0000000000000001E-3</c:v>
                </c:pt>
                <c:pt idx="392">
                  <c:v>2E-3</c:v>
                </c:pt>
                <c:pt idx="393">
                  <c:v>4.0000000000000001E-3</c:v>
                </c:pt>
                <c:pt idx="394">
                  <c:v>1E-3</c:v>
                </c:pt>
                <c:pt idx="395">
                  <c:v>2E-3</c:v>
                </c:pt>
                <c:pt idx="396">
                  <c:v>1E-3</c:v>
                </c:pt>
                <c:pt idx="397">
                  <c:v>1E-3</c:v>
                </c:pt>
                <c:pt idx="398">
                  <c:v>2E-3</c:v>
                </c:pt>
                <c:pt idx="399">
                  <c:v>1E-3</c:v>
                </c:pt>
                <c:pt idx="400">
                  <c:v>4.0000000000000001E-3</c:v>
                </c:pt>
                <c:pt idx="401">
                  <c:v>2E-3</c:v>
                </c:pt>
                <c:pt idx="402">
                  <c:v>2E-3</c:v>
                </c:pt>
                <c:pt idx="403">
                  <c:v>1E-3</c:v>
                </c:pt>
                <c:pt idx="404">
                  <c:v>2E-3</c:v>
                </c:pt>
                <c:pt idx="405">
                  <c:v>2E-3</c:v>
                </c:pt>
                <c:pt idx="406">
                  <c:v>3.0000000000000001E-3</c:v>
                </c:pt>
                <c:pt idx="407">
                  <c:v>4.0000000000000001E-3</c:v>
                </c:pt>
                <c:pt idx="408">
                  <c:v>2E-3</c:v>
                </c:pt>
                <c:pt idx="409">
                  <c:v>3.0000000000000001E-3</c:v>
                </c:pt>
                <c:pt idx="410">
                  <c:v>2E-3</c:v>
                </c:pt>
                <c:pt idx="411">
                  <c:v>4.0000000000000001E-3</c:v>
                </c:pt>
                <c:pt idx="412">
                  <c:v>2E-3</c:v>
                </c:pt>
                <c:pt idx="413">
                  <c:v>2E-3</c:v>
                </c:pt>
                <c:pt idx="414">
                  <c:v>1E-3</c:v>
                </c:pt>
                <c:pt idx="415">
                  <c:v>1E-3</c:v>
                </c:pt>
                <c:pt idx="416">
                  <c:v>2E-3</c:v>
                </c:pt>
                <c:pt idx="417">
                  <c:v>5.0000000000000001E-3</c:v>
                </c:pt>
                <c:pt idx="418">
                  <c:v>2E-3</c:v>
                </c:pt>
                <c:pt idx="419">
                  <c:v>5.0000000000000001E-3</c:v>
                </c:pt>
                <c:pt idx="420">
                  <c:v>5.0000000000000001E-3</c:v>
                </c:pt>
                <c:pt idx="421">
                  <c:v>4.0000000000000001E-3</c:v>
                </c:pt>
                <c:pt idx="422">
                  <c:v>4.0000000000000001E-3</c:v>
                </c:pt>
                <c:pt idx="423">
                  <c:v>2E-3</c:v>
                </c:pt>
                <c:pt idx="424">
                  <c:v>4.0000000000000001E-3</c:v>
                </c:pt>
                <c:pt idx="425">
                  <c:v>3.0000000000000001E-3</c:v>
                </c:pt>
                <c:pt idx="426">
                  <c:v>1E-3</c:v>
                </c:pt>
                <c:pt idx="427">
                  <c:v>2E-3</c:v>
                </c:pt>
                <c:pt idx="428">
                  <c:v>2E-3</c:v>
                </c:pt>
                <c:pt idx="429">
                  <c:v>4.0000000000000001E-3</c:v>
                </c:pt>
                <c:pt idx="430">
                  <c:v>4.0000000000000001E-3</c:v>
                </c:pt>
                <c:pt idx="431">
                  <c:v>3.0000000000000001E-3</c:v>
                </c:pt>
                <c:pt idx="432">
                  <c:v>2E-3</c:v>
                </c:pt>
                <c:pt idx="433">
                  <c:v>5.0000000000000001E-3</c:v>
                </c:pt>
                <c:pt idx="434">
                  <c:v>4.0000000000000001E-3</c:v>
                </c:pt>
                <c:pt idx="435">
                  <c:v>5.0000000000000001E-3</c:v>
                </c:pt>
                <c:pt idx="436">
                  <c:v>5.0000000000000001E-3</c:v>
                </c:pt>
                <c:pt idx="437">
                  <c:v>2E-3</c:v>
                </c:pt>
                <c:pt idx="438">
                  <c:v>0</c:v>
                </c:pt>
                <c:pt idx="439">
                  <c:v>1E-3</c:v>
                </c:pt>
                <c:pt idx="440">
                  <c:v>1E-3</c:v>
                </c:pt>
                <c:pt idx="441">
                  <c:v>4.0000000000000001E-3</c:v>
                </c:pt>
                <c:pt idx="442">
                  <c:v>2E-3</c:v>
                </c:pt>
                <c:pt idx="443">
                  <c:v>2E-3</c:v>
                </c:pt>
                <c:pt idx="444">
                  <c:v>1E-3</c:v>
                </c:pt>
                <c:pt idx="445">
                  <c:v>3.0000000000000001E-3</c:v>
                </c:pt>
                <c:pt idx="446">
                  <c:v>3.0000000000000001E-3</c:v>
                </c:pt>
                <c:pt idx="447">
                  <c:v>1E-3</c:v>
                </c:pt>
                <c:pt idx="448">
                  <c:v>2E-3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1E-3</c:v>
                </c:pt>
                <c:pt idx="453">
                  <c:v>1E-3</c:v>
                </c:pt>
                <c:pt idx="454">
                  <c:v>3.0000000000000001E-3</c:v>
                </c:pt>
                <c:pt idx="455">
                  <c:v>2E-3</c:v>
                </c:pt>
                <c:pt idx="456">
                  <c:v>3.0000000000000001E-3</c:v>
                </c:pt>
                <c:pt idx="457">
                  <c:v>2E-3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1E-3</c:v>
                </c:pt>
                <c:pt idx="463">
                  <c:v>3.0000000000000001E-3</c:v>
                </c:pt>
                <c:pt idx="464">
                  <c:v>2E-3</c:v>
                </c:pt>
                <c:pt idx="465">
                  <c:v>3.0000000000000001E-3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2E-3</c:v>
                </c:pt>
                <c:pt idx="471">
                  <c:v>1E-3</c:v>
                </c:pt>
                <c:pt idx="472">
                  <c:v>1E-3</c:v>
                </c:pt>
                <c:pt idx="473">
                  <c:v>1E-3</c:v>
                </c:pt>
                <c:pt idx="474">
                  <c:v>1E-3</c:v>
                </c:pt>
                <c:pt idx="475">
                  <c:v>1E-3</c:v>
                </c:pt>
                <c:pt idx="476">
                  <c:v>1E-3</c:v>
                </c:pt>
                <c:pt idx="477">
                  <c:v>4.0000000000000001E-3</c:v>
                </c:pt>
                <c:pt idx="478">
                  <c:v>3.0000000000000001E-3</c:v>
                </c:pt>
                <c:pt idx="479">
                  <c:v>2E-3</c:v>
                </c:pt>
                <c:pt idx="480">
                  <c:v>4.0000000000000001E-3</c:v>
                </c:pt>
                <c:pt idx="481">
                  <c:v>5.0000000000000001E-3</c:v>
                </c:pt>
                <c:pt idx="482">
                  <c:v>2E-3</c:v>
                </c:pt>
                <c:pt idx="483">
                  <c:v>4.0000000000000001E-3</c:v>
                </c:pt>
                <c:pt idx="484">
                  <c:v>2E-3</c:v>
                </c:pt>
                <c:pt idx="485">
                  <c:v>1E-3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2E-3</c:v>
                </c:pt>
                <c:pt idx="492">
                  <c:v>1E-3</c:v>
                </c:pt>
                <c:pt idx="493">
                  <c:v>2E-3</c:v>
                </c:pt>
                <c:pt idx="494">
                  <c:v>5.0000000000000001E-3</c:v>
                </c:pt>
                <c:pt idx="495">
                  <c:v>4.0000000000000001E-3</c:v>
                </c:pt>
                <c:pt idx="496">
                  <c:v>2E-3</c:v>
                </c:pt>
                <c:pt idx="497">
                  <c:v>5.0000000000000001E-3</c:v>
                </c:pt>
                <c:pt idx="498">
                  <c:v>2E-3</c:v>
                </c:pt>
                <c:pt idx="499">
                  <c:v>7.0000000000000001E-3</c:v>
                </c:pt>
                <c:pt idx="500">
                  <c:v>6.0000000000000001E-3</c:v>
                </c:pt>
                <c:pt idx="501">
                  <c:v>7.0000000000000001E-3</c:v>
                </c:pt>
                <c:pt idx="502">
                  <c:v>4.0000000000000001E-3</c:v>
                </c:pt>
                <c:pt idx="503">
                  <c:v>7.0000000000000001E-3</c:v>
                </c:pt>
                <c:pt idx="504">
                  <c:v>3.0000000000000001E-3</c:v>
                </c:pt>
                <c:pt idx="505">
                  <c:v>6.0000000000000001E-3</c:v>
                </c:pt>
                <c:pt idx="506">
                  <c:v>5.0000000000000001E-3</c:v>
                </c:pt>
                <c:pt idx="507">
                  <c:v>3.0000000000000001E-3</c:v>
                </c:pt>
                <c:pt idx="508">
                  <c:v>4.0000000000000001E-3</c:v>
                </c:pt>
                <c:pt idx="509">
                  <c:v>6.0000000000000001E-3</c:v>
                </c:pt>
                <c:pt idx="510">
                  <c:v>5.0000000000000001E-3</c:v>
                </c:pt>
                <c:pt idx="511">
                  <c:v>8.0000000000000002E-3</c:v>
                </c:pt>
                <c:pt idx="512">
                  <c:v>0.01</c:v>
                </c:pt>
                <c:pt idx="513">
                  <c:v>0.01</c:v>
                </c:pt>
                <c:pt idx="514">
                  <c:v>7.0000000000000001E-3</c:v>
                </c:pt>
                <c:pt idx="515">
                  <c:v>7.0000000000000001E-3</c:v>
                </c:pt>
                <c:pt idx="516">
                  <c:v>1.2E-2</c:v>
                </c:pt>
                <c:pt idx="517">
                  <c:v>1.7999999999999999E-2</c:v>
                </c:pt>
                <c:pt idx="518">
                  <c:v>1.6E-2</c:v>
                </c:pt>
                <c:pt idx="519">
                  <c:v>1.9E-2</c:v>
                </c:pt>
                <c:pt idx="520">
                  <c:v>1.2999999999999999E-2</c:v>
                </c:pt>
                <c:pt idx="521">
                  <c:v>0.01</c:v>
                </c:pt>
                <c:pt idx="522">
                  <c:v>6.0000000000000001E-3</c:v>
                </c:pt>
                <c:pt idx="523">
                  <c:v>7.0000000000000001E-3</c:v>
                </c:pt>
                <c:pt idx="524">
                  <c:v>5.0000000000000001E-3</c:v>
                </c:pt>
                <c:pt idx="525">
                  <c:v>7.0000000000000001E-3</c:v>
                </c:pt>
                <c:pt idx="526">
                  <c:v>7.0000000000000001E-3</c:v>
                </c:pt>
                <c:pt idx="527">
                  <c:v>8.9999999999999993E-3</c:v>
                </c:pt>
                <c:pt idx="528">
                  <c:v>3.0000000000000001E-3</c:v>
                </c:pt>
                <c:pt idx="529">
                  <c:v>8.0000000000000002E-3</c:v>
                </c:pt>
                <c:pt idx="530">
                  <c:v>3.0000000000000001E-3</c:v>
                </c:pt>
                <c:pt idx="531">
                  <c:v>5.0000000000000001E-3</c:v>
                </c:pt>
                <c:pt idx="532">
                  <c:v>5.0000000000000001E-3</c:v>
                </c:pt>
                <c:pt idx="533">
                  <c:v>3.0000000000000001E-3</c:v>
                </c:pt>
                <c:pt idx="534">
                  <c:v>3.0000000000000001E-3</c:v>
                </c:pt>
                <c:pt idx="535">
                  <c:v>2E-3</c:v>
                </c:pt>
                <c:pt idx="536">
                  <c:v>1E-3</c:v>
                </c:pt>
                <c:pt idx="537">
                  <c:v>2E-3</c:v>
                </c:pt>
                <c:pt idx="538">
                  <c:v>3.0000000000000001E-3</c:v>
                </c:pt>
                <c:pt idx="539">
                  <c:v>1E-3</c:v>
                </c:pt>
                <c:pt idx="540">
                  <c:v>3.0000000000000001E-3</c:v>
                </c:pt>
                <c:pt idx="541">
                  <c:v>0</c:v>
                </c:pt>
                <c:pt idx="542">
                  <c:v>0</c:v>
                </c:pt>
                <c:pt idx="543">
                  <c:v>1E-3</c:v>
                </c:pt>
                <c:pt idx="544">
                  <c:v>0</c:v>
                </c:pt>
                <c:pt idx="545">
                  <c:v>0</c:v>
                </c:pt>
                <c:pt idx="546">
                  <c:v>3.0000000000000001E-3</c:v>
                </c:pt>
                <c:pt idx="547">
                  <c:v>1E-3</c:v>
                </c:pt>
                <c:pt idx="548">
                  <c:v>3.0000000000000001E-3</c:v>
                </c:pt>
                <c:pt idx="549">
                  <c:v>2E-3</c:v>
                </c:pt>
                <c:pt idx="550">
                  <c:v>2E-3</c:v>
                </c:pt>
                <c:pt idx="551">
                  <c:v>1E-3</c:v>
                </c:pt>
                <c:pt idx="552">
                  <c:v>2E-3</c:v>
                </c:pt>
                <c:pt idx="553">
                  <c:v>1E-3</c:v>
                </c:pt>
                <c:pt idx="554">
                  <c:v>1E-3</c:v>
                </c:pt>
                <c:pt idx="555">
                  <c:v>2E-3</c:v>
                </c:pt>
                <c:pt idx="556">
                  <c:v>2E-3</c:v>
                </c:pt>
                <c:pt idx="557">
                  <c:v>3.0000000000000001E-3</c:v>
                </c:pt>
                <c:pt idx="558">
                  <c:v>1E-3</c:v>
                </c:pt>
                <c:pt idx="559">
                  <c:v>0</c:v>
                </c:pt>
                <c:pt idx="560">
                  <c:v>3.0000000000000001E-3</c:v>
                </c:pt>
                <c:pt idx="561">
                  <c:v>2E-3</c:v>
                </c:pt>
                <c:pt idx="562">
                  <c:v>2E-3</c:v>
                </c:pt>
                <c:pt idx="563">
                  <c:v>8.0000000000000002E-3</c:v>
                </c:pt>
                <c:pt idx="564">
                  <c:v>0</c:v>
                </c:pt>
                <c:pt idx="565">
                  <c:v>2E-3</c:v>
                </c:pt>
                <c:pt idx="566">
                  <c:v>1E-3</c:v>
                </c:pt>
                <c:pt idx="567">
                  <c:v>0</c:v>
                </c:pt>
                <c:pt idx="568">
                  <c:v>1E-3</c:v>
                </c:pt>
                <c:pt idx="569">
                  <c:v>0</c:v>
                </c:pt>
                <c:pt idx="570">
                  <c:v>0</c:v>
                </c:pt>
                <c:pt idx="571">
                  <c:v>2E-3</c:v>
                </c:pt>
                <c:pt idx="572">
                  <c:v>1E-3</c:v>
                </c:pt>
                <c:pt idx="573">
                  <c:v>0</c:v>
                </c:pt>
                <c:pt idx="574">
                  <c:v>1E-3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2E-3</c:v>
                </c:pt>
                <c:pt idx="581">
                  <c:v>3.0000000000000001E-3</c:v>
                </c:pt>
                <c:pt idx="582">
                  <c:v>7.0000000000000001E-3</c:v>
                </c:pt>
                <c:pt idx="583">
                  <c:v>1.0999999999999999E-2</c:v>
                </c:pt>
                <c:pt idx="584">
                  <c:v>8.0000000000000002E-3</c:v>
                </c:pt>
                <c:pt idx="585">
                  <c:v>1.2999999999999999E-2</c:v>
                </c:pt>
                <c:pt idx="586">
                  <c:v>1.4E-2</c:v>
                </c:pt>
                <c:pt idx="587">
                  <c:v>1.4E-2</c:v>
                </c:pt>
                <c:pt idx="588">
                  <c:v>7.0000000000000001E-3</c:v>
                </c:pt>
                <c:pt idx="589">
                  <c:v>8.0000000000000002E-3</c:v>
                </c:pt>
                <c:pt idx="590">
                  <c:v>5.0000000000000001E-3</c:v>
                </c:pt>
                <c:pt idx="591">
                  <c:v>6.0000000000000001E-3</c:v>
                </c:pt>
                <c:pt idx="592">
                  <c:v>4.0000000000000001E-3</c:v>
                </c:pt>
                <c:pt idx="593">
                  <c:v>5.0000000000000001E-3</c:v>
                </c:pt>
                <c:pt idx="594">
                  <c:v>2E-3</c:v>
                </c:pt>
                <c:pt idx="595">
                  <c:v>3.0000000000000001E-3</c:v>
                </c:pt>
                <c:pt idx="596">
                  <c:v>5.0000000000000001E-3</c:v>
                </c:pt>
                <c:pt idx="597">
                  <c:v>2E-3</c:v>
                </c:pt>
                <c:pt idx="598">
                  <c:v>3.0000000000000001E-3</c:v>
                </c:pt>
                <c:pt idx="599">
                  <c:v>7.0000000000000001E-3</c:v>
                </c:pt>
                <c:pt idx="600">
                  <c:v>1E-3</c:v>
                </c:pt>
                <c:pt idx="601">
                  <c:v>4.0000000000000001E-3</c:v>
                </c:pt>
                <c:pt idx="602">
                  <c:v>4.0000000000000001E-3</c:v>
                </c:pt>
                <c:pt idx="603">
                  <c:v>3.0000000000000001E-3</c:v>
                </c:pt>
                <c:pt idx="604">
                  <c:v>3.0000000000000001E-3</c:v>
                </c:pt>
                <c:pt idx="605">
                  <c:v>0</c:v>
                </c:pt>
                <c:pt idx="606">
                  <c:v>2E-3</c:v>
                </c:pt>
                <c:pt idx="607">
                  <c:v>1E-3</c:v>
                </c:pt>
                <c:pt idx="608">
                  <c:v>0</c:v>
                </c:pt>
                <c:pt idx="609">
                  <c:v>5.0000000000000001E-3</c:v>
                </c:pt>
                <c:pt idx="610">
                  <c:v>5.0000000000000001E-3</c:v>
                </c:pt>
                <c:pt idx="611">
                  <c:v>6.0000000000000001E-3</c:v>
                </c:pt>
                <c:pt idx="612">
                  <c:v>1.6E-2</c:v>
                </c:pt>
                <c:pt idx="613">
                  <c:v>4.0000000000000001E-3</c:v>
                </c:pt>
                <c:pt idx="614">
                  <c:v>8.0000000000000002E-3</c:v>
                </c:pt>
                <c:pt idx="615">
                  <c:v>1.0999999999999999E-2</c:v>
                </c:pt>
                <c:pt idx="616">
                  <c:v>4.0000000000000001E-3</c:v>
                </c:pt>
                <c:pt idx="617">
                  <c:v>5.0000000000000001E-3</c:v>
                </c:pt>
                <c:pt idx="618">
                  <c:v>7.0000000000000001E-3</c:v>
                </c:pt>
                <c:pt idx="619">
                  <c:v>4.0000000000000001E-3</c:v>
                </c:pt>
                <c:pt idx="620">
                  <c:v>0.01</c:v>
                </c:pt>
                <c:pt idx="621">
                  <c:v>3.0000000000000001E-3</c:v>
                </c:pt>
                <c:pt idx="622">
                  <c:v>6.0000000000000001E-3</c:v>
                </c:pt>
                <c:pt idx="623">
                  <c:v>8.0000000000000002E-3</c:v>
                </c:pt>
                <c:pt idx="624">
                  <c:v>8.0000000000000002E-3</c:v>
                </c:pt>
                <c:pt idx="625">
                  <c:v>8.0000000000000002E-3</c:v>
                </c:pt>
                <c:pt idx="626">
                  <c:v>8.9999999999999993E-3</c:v>
                </c:pt>
                <c:pt idx="627">
                  <c:v>0.01</c:v>
                </c:pt>
                <c:pt idx="628">
                  <c:v>1.0999999999999999E-2</c:v>
                </c:pt>
                <c:pt idx="629">
                  <c:v>0.01</c:v>
                </c:pt>
                <c:pt idx="630">
                  <c:v>8.0000000000000002E-3</c:v>
                </c:pt>
                <c:pt idx="631">
                  <c:v>1.4E-2</c:v>
                </c:pt>
                <c:pt idx="632">
                  <c:v>0.01</c:v>
                </c:pt>
                <c:pt idx="633">
                  <c:v>1.4999999999999999E-2</c:v>
                </c:pt>
                <c:pt idx="634">
                  <c:v>8.0000000000000002E-3</c:v>
                </c:pt>
                <c:pt idx="635">
                  <c:v>7.0000000000000001E-3</c:v>
                </c:pt>
                <c:pt idx="636">
                  <c:v>7.0000000000000001E-3</c:v>
                </c:pt>
                <c:pt idx="637">
                  <c:v>1E-3</c:v>
                </c:pt>
                <c:pt idx="638">
                  <c:v>4.0000000000000001E-3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2E-3</c:v>
                </c:pt>
                <c:pt idx="645">
                  <c:v>0</c:v>
                </c:pt>
                <c:pt idx="646">
                  <c:v>1E-3</c:v>
                </c:pt>
                <c:pt idx="647">
                  <c:v>2E-3</c:v>
                </c:pt>
                <c:pt idx="648">
                  <c:v>1E-3</c:v>
                </c:pt>
                <c:pt idx="649">
                  <c:v>5.0000000000000001E-3</c:v>
                </c:pt>
                <c:pt idx="650">
                  <c:v>2E-3</c:v>
                </c:pt>
                <c:pt idx="651">
                  <c:v>0</c:v>
                </c:pt>
                <c:pt idx="652">
                  <c:v>2E-3</c:v>
                </c:pt>
                <c:pt idx="653">
                  <c:v>0</c:v>
                </c:pt>
                <c:pt idx="654">
                  <c:v>2E-3</c:v>
                </c:pt>
                <c:pt idx="655">
                  <c:v>8.0000000000000002E-3</c:v>
                </c:pt>
                <c:pt idx="656">
                  <c:v>3.0000000000000001E-3</c:v>
                </c:pt>
                <c:pt idx="657">
                  <c:v>1.4E-2</c:v>
                </c:pt>
                <c:pt idx="658">
                  <c:v>6.0000000000000001E-3</c:v>
                </c:pt>
                <c:pt idx="659">
                  <c:v>1E-3</c:v>
                </c:pt>
                <c:pt idx="660">
                  <c:v>4.0000000000000001E-3</c:v>
                </c:pt>
                <c:pt idx="661">
                  <c:v>1E-3</c:v>
                </c:pt>
                <c:pt idx="662">
                  <c:v>1E-3</c:v>
                </c:pt>
                <c:pt idx="663">
                  <c:v>0</c:v>
                </c:pt>
                <c:pt idx="664">
                  <c:v>1E-3</c:v>
                </c:pt>
                <c:pt idx="665">
                  <c:v>1E-3</c:v>
                </c:pt>
                <c:pt idx="666">
                  <c:v>0</c:v>
                </c:pt>
                <c:pt idx="667">
                  <c:v>2E-3</c:v>
                </c:pt>
                <c:pt idx="668">
                  <c:v>1E-3</c:v>
                </c:pt>
                <c:pt idx="669">
                  <c:v>0</c:v>
                </c:pt>
                <c:pt idx="670">
                  <c:v>8.0000000000000002E-3</c:v>
                </c:pt>
                <c:pt idx="671">
                  <c:v>1E-3</c:v>
                </c:pt>
                <c:pt idx="672">
                  <c:v>2E-3</c:v>
                </c:pt>
                <c:pt idx="673">
                  <c:v>7.0000000000000001E-3</c:v>
                </c:pt>
                <c:pt idx="674">
                  <c:v>4.0000000000000001E-3</c:v>
                </c:pt>
                <c:pt idx="675">
                  <c:v>2E-3</c:v>
                </c:pt>
                <c:pt idx="676">
                  <c:v>1E-3</c:v>
                </c:pt>
                <c:pt idx="677">
                  <c:v>4.0000000000000001E-3</c:v>
                </c:pt>
                <c:pt idx="678">
                  <c:v>1E-3</c:v>
                </c:pt>
                <c:pt idx="679">
                  <c:v>2E-3</c:v>
                </c:pt>
                <c:pt idx="680">
                  <c:v>1E-3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2E-3</c:v>
                </c:pt>
                <c:pt idx="686">
                  <c:v>1E-3</c:v>
                </c:pt>
                <c:pt idx="687">
                  <c:v>1E-3</c:v>
                </c:pt>
                <c:pt idx="688">
                  <c:v>1E-3</c:v>
                </c:pt>
                <c:pt idx="689">
                  <c:v>1E-3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2E-3</c:v>
                </c:pt>
                <c:pt idx="696">
                  <c:v>3.0000000000000001E-3</c:v>
                </c:pt>
                <c:pt idx="697">
                  <c:v>2E-3</c:v>
                </c:pt>
                <c:pt idx="698">
                  <c:v>5.0000000000000001E-3</c:v>
                </c:pt>
                <c:pt idx="699">
                  <c:v>1E-3</c:v>
                </c:pt>
                <c:pt idx="700">
                  <c:v>4.0000000000000001E-3</c:v>
                </c:pt>
                <c:pt idx="701">
                  <c:v>3.0000000000000001E-3</c:v>
                </c:pt>
                <c:pt idx="702">
                  <c:v>3.0000000000000001E-3</c:v>
                </c:pt>
                <c:pt idx="703">
                  <c:v>3.0000000000000001E-3</c:v>
                </c:pt>
                <c:pt idx="704">
                  <c:v>2E-3</c:v>
                </c:pt>
                <c:pt idx="705">
                  <c:v>6.0000000000000001E-3</c:v>
                </c:pt>
                <c:pt idx="706">
                  <c:v>5.0000000000000001E-3</c:v>
                </c:pt>
                <c:pt idx="707">
                  <c:v>1.4999999999999999E-2</c:v>
                </c:pt>
                <c:pt idx="708">
                  <c:v>1.2999999999999999E-2</c:v>
                </c:pt>
                <c:pt idx="709">
                  <c:v>2.4E-2</c:v>
                </c:pt>
                <c:pt idx="710">
                  <c:v>1.2E-2</c:v>
                </c:pt>
                <c:pt idx="711">
                  <c:v>4.0000000000000001E-3</c:v>
                </c:pt>
                <c:pt idx="712">
                  <c:v>6.0000000000000001E-3</c:v>
                </c:pt>
                <c:pt idx="713">
                  <c:v>0</c:v>
                </c:pt>
                <c:pt idx="714">
                  <c:v>2E-3</c:v>
                </c:pt>
                <c:pt idx="715">
                  <c:v>2E-3</c:v>
                </c:pt>
                <c:pt idx="716">
                  <c:v>0</c:v>
                </c:pt>
                <c:pt idx="717">
                  <c:v>8.9999999999999993E-3</c:v>
                </c:pt>
                <c:pt idx="718">
                  <c:v>6.0000000000000001E-3</c:v>
                </c:pt>
                <c:pt idx="719">
                  <c:v>8.9999999999999993E-3</c:v>
                </c:pt>
                <c:pt idx="720">
                  <c:v>2.1000000000000001E-2</c:v>
                </c:pt>
                <c:pt idx="721">
                  <c:v>8.9999999999999993E-3</c:v>
                </c:pt>
                <c:pt idx="722">
                  <c:v>1.4999999999999999E-2</c:v>
                </c:pt>
                <c:pt idx="723">
                  <c:v>1.4999999999999999E-2</c:v>
                </c:pt>
                <c:pt idx="724">
                  <c:v>5.0000000000000001E-3</c:v>
                </c:pt>
                <c:pt idx="725">
                  <c:v>6.0000000000000001E-3</c:v>
                </c:pt>
                <c:pt idx="726">
                  <c:v>2E-3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2E-3</c:v>
                </c:pt>
                <c:pt idx="732">
                  <c:v>1E-3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4.0000000000000001E-3</c:v>
                </c:pt>
                <c:pt idx="738">
                  <c:v>7.0000000000000001E-3</c:v>
                </c:pt>
                <c:pt idx="739">
                  <c:v>8.0000000000000002E-3</c:v>
                </c:pt>
                <c:pt idx="740">
                  <c:v>1.7000000000000001E-2</c:v>
                </c:pt>
                <c:pt idx="741">
                  <c:v>1.2999999999999999E-2</c:v>
                </c:pt>
                <c:pt idx="742">
                  <c:v>1.7000000000000001E-2</c:v>
                </c:pt>
                <c:pt idx="743">
                  <c:v>1.2E-2</c:v>
                </c:pt>
                <c:pt idx="744">
                  <c:v>3.0000000000000001E-3</c:v>
                </c:pt>
                <c:pt idx="745">
                  <c:v>6.0000000000000001E-3</c:v>
                </c:pt>
                <c:pt idx="746">
                  <c:v>3.0000000000000001E-3</c:v>
                </c:pt>
                <c:pt idx="747">
                  <c:v>2E-3</c:v>
                </c:pt>
                <c:pt idx="748">
                  <c:v>3.0000000000000001E-3</c:v>
                </c:pt>
                <c:pt idx="749">
                  <c:v>1E-3</c:v>
                </c:pt>
                <c:pt idx="750">
                  <c:v>2E-3</c:v>
                </c:pt>
                <c:pt idx="751">
                  <c:v>1E-3</c:v>
                </c:pt>
                <c:pt idx="752">
                  <c:v>1E-3</c:v>
                </c:pt>
                <c:pt idx="753">
                  <c:v>4.0000000000000001E-3</c:v>
                </c:pt>
                <c:pt idx="754">
                  <c:v>2E-3</c:v>
                </c:pt>
                <c:pt idx="755">
                  <c:v>2E-3</c:v>
                </c:pt>
                <c:pt idx="756">
                  <c:v>1E-3</c:v>
                </c:pt>
                <c:pt idx="757">
                  <c:v>2E-3</c:v>
                </c:pt>
                <c:pt idx="758">
                  <c:v>1E-3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3.0000000000000001E-3</c:v>
                </c:pt>
                <c:pt idx="764">
                  <c:v>0</c:v>
                </c:pt>
                <c:pt idx="765">
                  <c:v>0</c:v>
                </c:pt>
                <c:pt idx="766">
                  <c:v>1E-3</c:v>
                </c:pt>
                <c:pt idx="767">
                  <c:v>0</c:v>
                </c:pt>
                <c:pt idx="768">
                  <c:v>0</c:v>
                </c:pt>
                <c:pt idx="769">
                  <c:v>1E-3</c:v>
                </c:pt>
                <c:pt idx="770">
                  <c:v>0</c:v>
                </c:pt>
                <c:pt idx="771">
                  <c:v>1E-3</c:v>
                </c:pt>
                <c:pt idx="772">
                  <c:v>0</c:v>
                </c:pt>
                <c:pt idx="773">
                  <c:v>0</c:v>
                </c:pt>
                <c:pt idx="774">
                  <c:v>1E-3</c:v>
                </c:pt>
                <c:pt idx="775">
                  <c:v>1E-3</c:v>
                </c:pt>
                <c:pt idx="776">
                  <c:v>1E-3</c:v>
                </c:pt>
                <c:pt idx="777">
                  <c:v>3.0000000000000001E-3</c:v>
                </c:pt>
                <c:pt idx="778">
                  <c:v>3.0000000000000001E-3</c:v>
                </c:pt>
                <c:pt idx="779">
                  <c:v>1E-3</c:v>
                </c:pt>
                <c:pt idx="780">
                  <c:v>1E-3</c:v>
                </c:pt>
                <c:pt idx="781">
                  <c:v>0</c:v>
                </c:pt>
                <c:pt idx="782">
                  <c:v>1E-3</c:v>
                </c:pt>
                <c:pt idx="783">
                  <c:v>1E-3</c:v>
                </c:pt>
                <c:pt idx="784">
                  <c:v>0</c:v>
                </c:pt>
                <c:pt idx="785">
                  <c:v>1E-3</c:v>
                </c:pt>
                <c:pt idx="786">
                  <c:v>1E-3</c:v>
                </c:pt>
                <c:pt idx="787">
                  <c:v>2E-3</c:v>
                </c:pt>
                <c:pt idx="788">
                  <c:v>1E-3</c:v>
                </c:pt>
                <c:pt idx="789">
                  <c:v>1E-3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2E-3</c:v>
                </c:pt>
                <c:pt idx="795">
                  <c:v>1E-3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2E-3</c:v>
                </c:pt>
                <c:pt idx="801">
                  <c:v>1E-3</c:v>
                </c:pt>
                <c:pt idx="802">
                  <c:v>0</c:v>
                </c:pt>
                <c:pt idx="803">
                  <c:v>3.0000000000000001E-3</c:v>
                </c:pt>
                <c:pt idx="804">
                  <c:v>1E-3</c:v>
                </c:pt>
                <c:pt idx="805">
                  <c:v>0</c:v>
                </c:pt>
                <c:pt idx="806">
                  <c:v>2E-3</c:v>
                </c:pt>
                <c:pt idx="807">
                  <c:v>2E-3</c:v>
                </c:pt>
                <c:pt idx="808">
                  <c:v>1E-3</c:v>
                </c:pt>
                <c:pt idx="809">
                  <c:v>8.9999999999999993E-3</c:v>
                </c:pt>
                <c:pt idx="810">
                  <c:v>2E-3</c:v>
                </c:pt>
                <c:pt idx="811">
                  <c:v>2E-3</c:v>
                </c:pt>
                <c:pt idx="812">
                  <c:v>2E-3</c:v>
                </c:pt>
                <c:pt idx="813">
                  <c:v>1E-3</c:v>
                </c:pt>
                <c:pt idx="814">
                  <c:v>3.0000000000000001E-3</c:v>
                </c:pt>
                <c:pt idx="815">
                  <c:v>2E-3</c:v>
                </c:pt>
                <c:pt idx="816">
                  <c:v>4.0000000000000001E-3</c:v>
                </c:pt>
                <c:pt idx="817">
                  <c:v>3.0000000000000001E-3</c:v>
                </c:pt>
                <c:pt idx="818">
                  <c:v>5.0000000000000001E-3</c:v>
                </c:pt>
                <c:pt idx="819">
                  <c:v>3.0000000000000001E-3</c:v>
                </c:pt>
                <c:pt idx="820">
                  <c:v>1E-3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2E-3</c:v>
                </c:pt>
                <c:pt idx="827">
                  <c:v>1E-3</c:v>
                </c:pt>
                <c:pt idx="828">
                  <c:v>2E-3</c:v>
                </c:pt>
                <c:pt idx="829">
                  <c:v>3.0000000000000001E-3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2E-3</c:v>
                </c:pt>
                <c:pt idx="836">
                  <c:v>1E-3</c:v>
                </c:pt>
                <c:pt idx="837">
                  <c:v>3.0000000000000001E-3</c:v>
                </c:pt>
                <c:pt idx="838">
                  <c:v>5.0000000000000001E-3</c:v>
                </c:pt>
                <c:pt idx="839">
                  <c:v>4.0000000000000001E-3</c:v>
                </c:pt>
                <c:pt idx="840">
                  <c:v>4.0000000000000001E-3</c:v>
                </c:pt>
                <c:pt idx="841">
                  <c:v>5.0000000000000001E-3</c:v>
                </c:pt>
                <c:pt idx="842">
                  <c:v>3.0000000000000001E-3</c:v>
                </c:pt>
                <c:pt idx="843">
                  <c:v>4.0000000000000001E-3</c:v>
                </c:pt>
                <c:pt idx="844">
                  <c:v>0</c:v>
                </c:pt>
                <c:pt idx="845">
                  <c:v>2E-3</c:v>
                </c:pt>
                <c:pt idx="846">
                  <c:v>0</c:v>
                </c:pt>
                <c:pt idx="847">
                  <c:v>1E-3</c:v>
                </c:pt>
                <c:pt idx="848">
                  <c:v>1E-3</c:v>
                </c:pt>
                <c:pt idx="849">
                  <c:v>1E-3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1E-3</c:v>
                </c:pt>
                <c:pt idx="856">
                  <c:v>0</c:v>
                </c:pt>
                <c:pt idx="857">
                  <c:v>2E-3</c:v>
                </c:pt>
                <c:pt idx="858">
                  <c:v>3.0000000000000001E-3</c:v>
                </c:pt>
                <c:pt idx="859">
                  <c:v>3.0000000000000001E-3</c:v>
                </c:pt>
                <c:pt idx="860">
                  <c:v>6.0000000000000001E-3</c:v>
                </c:pt>
                <c:pt idx="861">
                  <c:v>6.0000000000000001E-3</c:v>
                </c:pt>
                <c:pt idx="862">
                  <c:v>4.0000000000000001E-3</c:v>
                </c:pt>
                <c:pt idx="863">
                  <c:v>6.0000000000000001E-3</c:v>
                </c:pt>
                <c:pt idx="864">
                  <c:v>2E-3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1E-3</c:v>
                </c:pt>
                <c:pt idx="870">
                  <c:v>1E-3</c:v>
                </c:pt>
                <c:pt idx="871">
                  <c:v>1E-3</c:v>
                </c:pt>
                <c:pt idx="872">
                  <c:v>2E-3</c:v>
                </c:pt>
                <c:pt idx="873">
                  <c:v>0</c:v>
                </c:pt>
                <c:pt idx="874">
                  <c:v>1E-3</c:v>
                </c:pt>
                <c:pt idx="875">
                  <c:v>1E-3</c:v>
                </c:pt>
                <c:pt idx="876">
                  <c:v>0</c:v>
                </c:pt>
                <c:pt idx="877">
                  <c:v>2E-3</c:v>
                </c:pt>
                <c:pt idx="878">
                  <c:v>1E-3</c:v>
                </c:pt>
                <c:pt idx="879">
                  <c:v>1E-3</c:v>
                </c:pt>
                <c:pt idx="880">
                  <c:v>1E-3</c:v>
                </c:pt>
                <c:pt idx="881">
                  <c:v>2E-3</c:v>
                </c:pt>
                <c:pt idx="882">
                  <c:v>2E-3</c:v>
                </c:pt>
                <c:pt idx="883">
                  <c:v>1E-3</c:v>
                </c:pt>
                <c:pt idx="884">
                  <c:v>1E-3</c:v>
                </c:pt>
                <c:pt idx="885">
                  <c:v>1E-3</c:v>
                </c:pt>
                <c:pt idx="886">
                  <c:v>1E-3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2E-3</c:v>
                </c:pt>
                <c:pt idx="893">
                  <c:v>5.0000000000000001E-3</c:v>
                </c:pt>
                <c:pt idx="894">
                  <c:v>3.0000000000000001E-3</c:v>
                </c:pt>
                <c:pt idx="895">
                  <c:v>5.0000000000000001E-3</c:v>
                </c:pt>
                <c:pt idx="896">
                  <c:v>5.0000000000000001E-3</c:v>
                </c:pt>
                <c:pt idx="897">
                  <c:v>2E-3</c:v>
                </c:pt>
                <c:pt idx="898">
                  <c:v>4.0000000000000001E-3</c:v>
                </c:pt>
                <c:pt idx="899">
                  <c:v>2E-3</c:v>
                </c:pt>
                <c:pt idx="900">
                  <c:v>4.0000000000000001E-3</c:v>
                </c:pt>
                <c:pt idx="901">
                  <c:v>4.0000000000000001E-3</c:v>
                </c:pt>
                <c:pt idx="902">
                  <c:v>5.0000000000000001E-3</c:v>
                </c:pt>
                <c:pt idx="903">
                  <c:v>7.0000000000000001E-3</c:v>
                </c:pt>
                <c:pt idx="904">
                  <c:v>5.0000000000000001E-3</c:v>
                </c:pt>
                <c:pt idx="905">
                  <c:v>0.01</c:v>
                </c:pt>
                <c:pt idx="906">
                  <c:v>3.0000000000000001E-3</c:v>
                </c:pt>
                <c:pt idx="907">
                  <c:v>8.0000000000000002E-3</c:v>
                </c:pt>
                <c:pt idx="908">
                  <c:v>8.0000000000000002E-3</c:v>
                </c:pt>
                <c:pt idx="909">
                  <c:v>1.7000000000000001E-2</c:v>
                </c:pt>
                <c:pt idx="910">
                  <c:v>1.7000000000000001E-2</c:v>
                </c:pt>
                <c:pt idx="911">
                  <c:v>1.2999999999999999E-2</c:v>
                </c:pt>
                <c:pt idx="912">
                  <c:v>0.01</c:v>
                </c:pt>
                <c:pt idx="913">
                  <c:v>7.0000000000000001E-3</c:v>
                </c:pt>
                <c:pt idx="914">
                  <c:v>7.0000000000000001E-3</c:v>
                </c:pt>
                <c:pt idx="915">
                  <c:v>5.0000000000000001E-3</c:v>
                </c:pt>
                <c:pt idx="916">
                  <c:v>1.0999999999999999E-2</c:v>
                </c:pt>
                <c:pt idx="917">
                  <c:v>7.0000000000000001E-3</c:v>
                </c:pt>
                <c:pt idx="918">
                  <c:v>1.2E-2</c:v>
                </c:pt>
                <c:pt idx="919">
                  <c:v>5.0000000000000001E-3</c:v>
                </c:pt>
                <c:pt idx="920">
                  <c:v>8.0000000000000002E-3</c:v>
                </c:pt>
                <c:pt idx="921">
                  <c:v>8.0000000000000002E-3</c:v>
                </c:pt>
                <c:pt idx="922">
                  <c:v>3.0000000000000001E-3</c:v>
                </c:pt>
                <c:pt idx="923">
                  <c:v>2E-3</c:v>
                </c:pt>
                <c:pt idx="924">
                  <c:v>7.0000000000000001E-3</c:v>
                </c:pt>
                <c:pt idx="925">
                  <c:v>3.0000000000000001E-3</c:v>
                </c:pt>
                <c:pt idx="926">
                  <c:v>7.0000000000000001E-3</c:v>
                </c:pt>
                <c:pt idx="927">
                  <c:v>8.0000000000000002E-3</c:v>
                </c:pt>
                <c:pt idx="928">
                  <c:v>5.0000000000000001E-3</c:v>
                </c:pt>
                <c:pt idx="929">
                  <c:v>6.0000000000000001E-3</c:v>
                </c:pt>
                <c:pt idx="930">
                  <c:v>6.0000000000000001E-3</c:v>
                </c:pt>
                <c:pt idx="931">
                  <c:v>6.0000000000000001E-3</c:v>
                </c:pt>
                <c:pt idx="932">
                  <c:v>1E-3</c:v>
                </c:pt>
                <c:pt idx="933">
                  <c:v>4.0000000000000001E-3</c:v>
                </c:pt>
                <c:pt idx="934">
                  <c:v>1E-3</c:v>
                </c:pt>
                <c:pt idx="935">
                  <c:v>2E-3</c:v>
                </c:pt>
                <c:pt idx="936">
                  <c:v>2E-3</c:v>
                </c:pt>
                <c:pt idx="937">
                  <c:v>1E-3</c:v>
                </c:pt>
                <c:pt idx="938">
                  <c:v>1E-3</c:v>
                </c:pt>
                <c:pt idx="939">
                  <c:v>1E-3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2E-3</c:v>
                </c:pt>
                <c:pt idx="945">
                  <c:v>0</c:v>
                </c:pt>
                <c:pt idx="946">
                  <c:v>2E-3</c:v>
                </c:pt>
                <c:pt idx="947">
                  <c:v>3.0000000000000001E-3</c:v>
                </c:pt>
                <c:pt idx="948">
                  <c:v>1E-3</c:v>
                </c:pt>
                <c:pt idx="949">
                  <c:v>7.0000000000000001E-3</c:v>
                </c:pt>
                <c:pt idx="950">
                  <c:v>4.0000000000000001E-3</c:v>
                </c:pt>
                <c:pt idx="951">
                  <c:v>5.0000000000000001E-3</c:v>
                </c:pt>
                <c:pt idx="952">
                  <c:v>4.0000000000000001E-3</c:v>
                </c:pt>
                <c:pt idx="953">
                  <c:v>5.0000000000000001E-3</c:v>
                </c:pt>
                <c:pt idx="954">
                  <c:v>4.0000000000000001E-3</c:v>
                </c:pt>
                <c:pt idx="955">
                  <c:v>4.0000000000000001E-3</c:v>
                </c:pt>
                <c:pt idx="956">
                  <c:v>3.0000000000000001E-3</c:v>
                </c:pt>
                <c:pt idx="957">
                  <c:v>2E-3</c:v>
                </c:pt>
                <c:pt idx="958">
                  <c:v>2E-3</c:v>
                </c:pt>
                <c:pt idx="959">
                  <c:v>3.0000000000000001E-3</c:v>
                </c:pt>
                <c:pt idx="960">
                  <c:v>0</c:v>
                </c:pt>
                <c:pt idx="961">
                  <c:v>2E-3</c:v>
                </c:pt>
                <c:pt idx="962">
                  <c:v>0</c:v>
                </c:pt>
                <c:pt idx="963">
                  <c:v>1E-3</c:v>
                </c:pt>
                <c:pt idx="964">
                  <c:v>2E-3</c:v>
                </c:pt>
                <c:pt idx="965">
                  <c:v>1E-3</c:v>
                </c:pt>
                <c:pt idx="966">
                  <c:v>0</c:v>
                </c:pt>
                <c:pt idx="967">
                  <c:v>2E-3</c:v>
                </c:pt>
                <c:pt idx="968">
                  <c:v>1E-3</c:v>
                </c:pt>
                <c:pt idx="969">
                  <c:v>2E-3</c:v>
                </c:pt>
                <c:pt idx="970">
                  <c:v>4.0000000000000001E-3</c:v>
                </c:pt>
                <c:pt idx="971">
                  <c:v>0</c:v>
                </c:pt>
                <c:pt idx="972">
                  <c:v>2E-3</c:v>
                </c:pt>
                <c:pt idx="973">
                  <c:v>1E-3</c:v>
                </c:pt>
                <c:pt idx="974">
                  <c:v>1E-3</c:v>
                </c:pt>
                <c:pt idx="975">
                  <c:v>1E-3</c:v>
                </c:pt>
                <c:pt idx="976">
                  <c:v>1E-3</c:v>
                </c:pt>
                <c:pt idx="977">
                  <c:v>1E-3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1E-3</c:v>
                </c:pt>
                <c:pt idx="983">
                  <c:v>0</c:v>
                </c:pt>
                <c:pt idx="984">
                  <c:v>0</c:v>
                </c:pt>
              </c:numCache>
            </c:numRef>
          </c:xVal>
          <c:yVal>
            <c:numRef>
              <c:f>'Mobility Curve FF'!$AI$3:$AI$987</c:f>
              <c:numCache>
                <c:formatCode>General</c:formatCode>
                <c:ptCount val="985"/>
                <c:pt idx="0">
                  <c:v>0.10699999999999998</c:v>
                </c:pt>
                <c:pt idx="1">
                  <c:v>0.10599999999999998</c:v>
                </c:pt>
                <c:pt idx="2">
                  <c:v>0.10799999999999998</c:v>
                </c:pt>
                <c:pt idx="3">
                  <c:v>-4.0069077547161158E-2</c:v>
                </c:pt>
                <c:pt idx="4">
                  <c:v>-1.8629957480254089E-2</c:v>
                </c:pt>
                <c:pt idx="5">
                  <c:v>8.9823306179156903E-2</c:v>
                </c:pt>
                <c:pt idx="6">
                  <c:v>1.2345566836858834E-2</c:v>
                </c:pt>
                <c:pt idx="7">
                  <c:v>-7.4930384497401137E-2</c:v>
                </c:pt>
                <c:pt idx="8">
                  <c:v>-0.14108781615364402</c:v>
                </c:pt>
                <c:pt idx="9">
                  <c:v>0.11272432053755055</c:v>
                </c:pt>
                <c:pt idx="10">
                  <c:v>-2.0867168421119131E-2</c:v>
                </c:pt>
                <c:pt idx="11">
                  <c:v>-8.8930384497401149E-2</c:v>
                </c:pt>
                <c:pt idx="12">
                  <c:v>-0.19354138131245413</c:v>
                </c:pt>
                <c:pt idx="13">
                  <c:v>-0.18154138131245412</c:v>
                </c:pt>
                <c:pt idx="14">
                  <c:v>7.5291040861497072E-3</c:v>
                </c:pt>
                <c:pt idx="15">
                  <c:v>1.8207104657387285E-2</c:v>
                </c:pt>
                <c:pt idx="16">
                  <c:v>6.5821165779501811E-2</c:v>
                </c:pt>
                <c:pt idx="17">
                  <c:v>1.9345566836858841E-2</c:v>
                </c:pt>
                <c:pt idx="18">
                  <c:v>9.2823306179156906E-2</c:v>
                </c:pt>
                <c:pt idx="19">
                  <c:v>0.25229568542687009</c:v>
                </c:pt>
                <c:pt idx="20">
                  <c:v>8.3814855533144161E-3</c:v>
                </c:pt>
                <c:pt idx="21">
                  <c:v>4.6821165779501794E-2</c:v>
                </c:pt>
                <c:pt idx="22">
                  <c:v>-0.13008781615364401</c:v>
                </c:pt>
                <c:pt idx="23">
                  <c:v>-0.12808781615364401</c:v>
                </c:pt>
                <c:pt idx="24">
                  <c:v>1.0345566836858833E-2</c:v>
                </c:pt>
                <c:pt idx="25">
                  <c:v>2.0710465738726924E-4</c:v>
                </c:pt>
                <c:pt idx="26">
                  <c:v>-6.1840842735680912E-2</c:v>
                </c:pt>
                <c:pt idx="27">
                  <c:v>0.10399999999999998</c:v>
                </c:pt>
                <c:pt idx="28">
                  <c:v>-4.0069077547161158E-2</c:v>
                </c:pt>
                <c:pt idx="29">
                  <c:v>0.10699999999999998</c:v>
                </c:pt>
                <c:pt idx="30">
                  <c:v>-5.5840842735680907E-2</c:v>
                </c:pt>
                <c:pt idx="31">
                  <c:v>-0.16954138131245411</c:v>
                </c:pt>
                <c:pt idx="32">
                  <c:v>2.320710465738729E-2</c:v>
                </c:pt>
                <c:pt idx="33">
                  <c:v>7.3821165779501818E-2</c:v>
                </c:pt>
                <c:pt idx="34">
                  <c:v>-2.6629957480254096E-2</c:v>
                </c:pt>
                <c:pt idx="35">
                  <c:v>-3.5069077547161154E-2</c:v>
                </c:pt>
                <c:pt idx="36">
                  <c:v>2.9529104086149727E-2</c:v>
                </c:pt>
                <c:pt idx="37">
                  <c:v>-4.206907754716116E-2</c:v>
                </c:pt>
                <c:pt idx="38">
                  <c:v>-4.5069077547161163E-2</c:v>
                </c:pt>
                <c:pt idx="39">
                  <c:v>2.8529104086149726E-2</c:v>
                </c:pt>
                <c:pt idx="40">
                  <c:v>-5.1840842735680903E-2</c:v>
                </c:pt>
                <c:pt idx="41">
                  <c:v>-2.6629957480254096E-2</c:v>
                </c:pt>
                <c:pt idx="42">
                  <c:v>-2.2629957480254093E-2</c:v>
                </c:pt>
                <c:pt idx="43">
                  <c:v>1.9529104086149718E-2</c:v>
                </c:pt>
                <c:pt idx="44">
                  <c:v>-4.206907754716116E-2</c:v>
                </c:pt>
                <c:pt idx="45">
                  <c:v>-5.4840842735680906E-2</c:v>
                </c:pt>
                <c:pt idx="46">
                  <c:v>0.10699999999999998</c:v>
                </c:pt>
                <c:pt idx="47">
                  <c:v>0.10799999999999998</c:v>
                </c:pt>
                <c:pt idx="48">
                  <c:v>0.10799999999999998</c:v>
                </c:pt>
                <c:pt idx="49">
                  <c:v>-5.0840842735680902E-2</c:v>
                </c:pt>
                <c:pt idx="50">
                  <c:v>-5.1069077547161168E-2</c:v>
                </c:pt>
                <c:pt idx="51">
                  <c:v>2.0207104657387287E-2</c:v>
                </c:pt>
                <c:pt idx="52">
                  <c:v>1.220710465738728E-2</c:v>
                </c:pt>
                <c:pt idx="53">
                  <c:v>-0.17954138131245412</c:v>
                </c:pt>
                <c:pt idx="54">
                  <c:v>1.8207104657387285E-2</c:v>
                </c:pt>
                <c:pt idx="55">
                  <c:v>-0.18254138131245412</c:v>
                </c:pt>
                <c:pt idx="56">
                  <c:v>7.3821165779501818E-2</c:v>
                </c:pt>
                <c:pt idx="57">
                  <c:v>-6.5840842735680916E-2</c:v>
                </c:pt>
                <c:pt idx="58">
                  <c:v>1.8529104086149717E-2</c:v>
                </c:pt>
                <c:pt idx="59">
                  <c:v>0.10399999999999998</c:v>
                </c:pt>
                <c:pt idx="60">
                  <c:v>-4.4069077547161162E-2</c:v>
                </c:pt>
                <c:pt idx="61">
                  <c:v>-3.7069077547161156E-2</c:v>
                </c:pt>
                <c:pt idx="62">
                  <c:v>-5.2840842735680904E-2</c:v>
                </c:pt>
                <c:pt idx="63">
                  <c:v>1.6207104657387283E-2</c:v>
                </c:pt>
                <c:pt idx="64">
                  <c:v>-5.5069077547161172E-2</c:v>
                </c:pt>
                <c:pt idx="65">
                  <c:v>-3.6069077547161155E-2</c:v>
                </c:pt>
                <c:pt idx="66">
                  <c:v>-4.5069077547161163E-2</c:v>
                </c:pt>
                <c:pt idx="67">
                  <c:v>-3.2629957480254101E-2</c:v>
                </c:pt>
                <c:pt idx="68">
                  <c:v>-0.16154138131245421</c:v>
                </c:pt>
                <c:pt idx="69">
                  <c:v>3.0529104086149728E-2</c:v>
                </c:pt>
                <c:pt idx="70">
                  <c:v>-5.2840842735680904E-2</c:v>
                </c:pt>
                <c:pt idx="71">
                  <c:v>-4.3069077547161161E-2</c:v>
                </c:pt>
                <c:pt idx="72">
                  <c:v>-4.3840842735680896E-2</c:v>
                </c:pt>
                <c:pt idx="73">
                  <c:v>0.10399999999999998</c:v>
                </c:pt>
                <c:pt idx="74">
                  <c:v>0.10799999999999998</c:v>
                </c:pt>
                <c:pt idx="75">
                  <c:v>0.10799999999999998</c:v>
                </c:pt>
                <c:pt idx="76">
                  <c:v>0.10499999999999998</c:v>
                </c:pt>
                <c:pt idx="77">
                  <c:v>0.10499999999999998</c:v>
                </c:pt>
                <c:pt idx="78">
                  <c:v>0.10699999999999998</c:v>
                </c:pt>
                <c:pt idx="79">
                  <c:v>-2.6069077547161146E-2</c:v>
                </c:pt>
                <c:pt idx="80">
                  <c:v>-4.8840842735680901E-2</c:v>
                </c:pt>
                <c:pt idx="81">
                  <c:v>3.6529104086149733E-2</c:v>
                </c:pt>
                <c:pt idx="82">
                  <c:v>0.24629568542687008</c:v>
                </c:pt>
                <c:pt idx="83">
                  <c:v>-9.8671684211191213E-3</c:v>
                </c:pt>
                <c:pt idx="84">
                  <c:v>-0.10508781615364399</c:v>
                </c:pt>
                <c:pt idx="85">
                  <c:v>9.8328696342815158E-2</c:v>
                </c:pt>
                <c:pt idx="86">
                  <c:v>-2.8806387065739514E-2</c:v>
                </c:pt>
                <c:pt idx="87">
                  <c:v>6.8821165779501814E-2</c:v>
                </c:pt>
                <c:pt idx="88">
                  <c:v>1.7529104086149716E-2</c:v>
                </c:pt>
                <c:pt idx="89">
                  <c:v>3.9529104086149736E-2</c:v>
                </c:pt>
                <c:pt idx="90">
                  <c:v>-3.9069077547161157E-2</c:v>
                </c:pt>
                <c:pt idx="91">
                  <c:v>-2.5069077547161145E-2</c:v>
                </c:pt>
                <c:pt idx="92">
                  <c:v>5.8207104657387321E-2</c:v>
                </c:pt>
                <c:pt idx="93">
                  <c:v>-0.16054138131245421</c:v>
                </c:pt>
                <c:pt idx="94">
                  <c:v>-0.15854138131245421</c:v>
                </c:pt>
                <c:pt idx="95">
                  <c:v>8.8823306179156902E-2</c:v>
                </c:pt>
                <c:pt idx="96">
                  <c:v>8.58233061791569E-2</c:v>
                </c:pt>
                <c:pt idx="97">
                  <c:v>5.9345566836858765E-2</c:v>
                </c:pt>
                <c:pt idx="98">
                  <c:v>-0.16354138131245421</c:v>
                </c:pt>
                <c:pt idx="99">
                  <c:v>4.1207104657387306E-2</c:v>
                </c:pt>
                <c:pt idx="100">
                  <c:v>4.8529104086149744E-2</c:v>
                </c:pt>
                <c:pt idx="101">
                  <c:v>-1.5629957480254086E-2</c:v>
                </c:pt>
                <c:pt idx="102">
                  <c:v>-3.6069077547161155E-2</c:v>
                </c:pt>
                <c:pt idx="103">
                  <c:v>4.2529104086149738E-2</c:v>
                </c:pt>
                <c:pt idx="104">
                  <c:v>3.8207104657387303E-2</c:v>
                </c:pt>
                <c:pt idx="105">
                  <c:v>4.5345566836858753E-2</c:v>
                </c:pt>
                <c:pt idx="106">
                  <c:v>8.8802376424748974E-2</c:v>
                </c:pt>
                <c:pt idx="107">
                  <c:v>-6.3930384497401127E-2</c:v>
                </c:pt>
                <c:pt idx="108">
                  <c:v>5.3814855533144135E-3</c:v>
                </c:pt>
                <c:pt idx="109">
                  <c:v>2.5207104657387291E-2</c:v>
                </c:pt>
                <c:pt idx="110">
                  <c:v>2.9529104086149727E-2</c:v>
                </c:pt>
                <c:pt idx="111">
                  <c:v>-3.6069077547161155E-2</c:v>
                </c:pt>
                <c:pt idx="112">
                  <c:v>4.6529104086149742E-2</c:v>
                </c:pt>
                <c:pt idx="113">
                  <c:v>-4.5069077547161163E-2</c:v>
                </c:pt>
                <c:pt idx="114">
                  <c:v>4.9207104657387313E-2</c:v>
                </c:pt>
                <c:pt idx="115">
                  <c:v>4.5529104086149741E-2</c:v>
                </c:pt>
                <c:pt idx="116">
                  <c:v>-3.6069077547161155E-2</c:v>
                </c:pt>
                <c:pt idx="117">
                  <c:v>3.8207104657387303E-2</c:v>
                </c:pt>
                <c:pt idx="118">
                  <c:v>6.0345566836858766E-2</c:v>
                </c:pt>
                <c:pt idx="119">
                  <c:v>4.7345566836858755E-2</c:v>
                </c:pt>
                <c:pt idx="120">
                  <c:v>8.4823306179156899E-2</c:v>
                </c:pt>
                <c:pt idx="121">
                  <c:v>9.8802376424748983E-2</c:v>
                </c:pt>
                <c:pt idx="122">
                  <c:v>5.1345566836858758E-2</c:v>
                </c:pt>
                <c:pt idx="123">
                  <c:v>4.9345566836858756E-2</c:v>
                </c:pt>
                <c:pt idx="124">
                  <c:v>3.8207104657387303E-2</c:v>
                </c:pt>
                <c:pt idx="125">
                  <c:v>8.9823306179156903E-2</c:v>
                </c:pt>
                <c:pt idx="126">
                  <c:v>-0.15254138131245421</c:v>
                </c:pt>
                <c:pt idx="127">
                  <c:v>4.7345566836858755E-2</c:v>
                </c:pt>
                <c:pt idx="128">
                  <c:v>0.10482116577950185</c:v>
                </c:pt>
                <c:pt idx="129">
                  <c:v>-5.3840842735680905E-2</c:v>
                </c:pt>
                <c:pt idx="130">
                  <c:v>-2.9069077547161148E-2</c:v>
                </c:pt>
                <c:pt idx="131">
                  <c:v>-4.78408427356809E-2</c:v>
                </c:pt>
                <c:pt idx="132">
                  <c:v>-3.0069077547161149E-2</c:v>
                </c:pt>
                <c:pt idx="133">
                  <c:v>0.10782116577950185</c:v>
                </c:pt>
                <c:pt idx="134">
                  <c:v>4.6529104086149742E-2</c:v>
                </c:pt>
                <c:pt idx="135">
                  <c:v>-0.15454138131245421</c:v>
                </c:pt>
                <c:pt idx="136">
                  <c:v>-0.16254138131245421</c:v>
                </c:pt>
                <c:pt idx="137">
                  <c:v>4.1529104086149737E-2</c:v>
                </c:pt>
                <c:pt idx="138">
                  <c:v>-4.8840842735680901E-2</c:v>
                </c:pt>
                <c:pt idx="139">
                  <c:v>0.10299999999999998</c:v>
                </c:pt>
                <c:pt idx="140">
                  <c:v>0.10699999999999998</c:v>
                </c:pt>
                <c:pt idx="141">
                  <c:v>0.10699999999999998</c:v>
                </c:pt>
                <c:pt idx="142">
                  <c:v>0.10499999999999998</c:v>
                </c:pt>
                <c:pt idx="143">
                  <c:v>-5.3840842735680905E-2</c:v>
                </c:pt>
                <c:pt idx="144">
                  <c:v>-1.962995748025409E-2</c:v>
                </c:pt>
                <c:pt idx="145">
                  <c:v>-1.4629957480254085E-2</c:v>
                </c:pt>
                <c:pt idx="146">
                  <c:v>-5.0840842735680902E-2</c:v>
                </c:pt>
                <c:pt idx="147">
                  <c:v>-5.2840842735680904E-2</c:v>
                </c:pt>
                <c:pt idx="148">
                  <c:v>-4.6840842735680899E-2</c:v>
                </c:pt>
                <c:pt idx="149">
                  <c:v>0.10499999999999998</c:v>
                </c:pt>
                <c:pt idx="150">
                  <c:v>0.10499999999999998</c:v>
                </c:pt>
                <c:pt idx="151">
                  <c:v>0.10399999999999998</c:v>
                </c:pt>
                <c:pt idx="152">
                  <c:v>0.10299999999999998</c:v>
                </c:pt>
                <c:pt idx="153">
                  <c:v>0.10299999999999998</c:v>
                </c:pt>
                <c:pt idx="154">
                  <c:v>-4.7069077547161164E-2</c:v>
                </c:pt>
                <c:pt idx="155">
                  <c:v>2.7529104086149725E-2</c:v>
                </c:pt>
                <c:pt idx="156">
                  <c:v>-0.19654138131245413</c:v>
                </c:pt>
                <c:pt idx="157">
                  <c:v>9.2823306179156906E-2</c:v>
                </c:pt>
                <c:pt idx="158">
                  <c:v>8.682116577950183E-2</c:v>
                </c:pt>
                <c:pt idx="159">
                  <c:v>8.2821165779501826E-2</c:v>
                </c:pt>
                <c:pt idx="160">
                  <c:v>2.2207104657387289E-2</c:v>
                </c:pt>
                <c:pt idx="161">
                  <c:v>-1.3618514446685603E-2</c:v>
                </c:pt>
                <c:pt idx="162">
                  <c:v>7.9802376424748966E-2</c:v>
                </c:pt>
                <c:pt idx="163">
                  <c:v>9.5328696342815156E-2</c:v>
                </c:pt>
                <c:pt idx="164">
                  <c:v>-2.5404973860704061E-2</c:v>
                </c:pt>
                <c:pt idx="165">
                  <c:v>-1.7928953426127325E-3</c:v>
                </c:pt>
                <c:pt idx="166">
                  <c:v>0.23529568542687007</c:v>
                </c:pt>
                <c:pt idx="167">
                  <c:v>5.7345566836858763E-2</c:v>
                </c:pt>
                <c:pt idx="168">
                  <c:v>-4.6629957480254114E-2</c:v>
                </c:pt>
                <c:pt idx="169">
                  <c:v>8.4821165779501828E-2</c:v>
                </c:pt>
                <c:pt idx="170">
                  <c:v>-1.2618514446685603E-2</c:v>
                </c:pt>
                <c:pt idx="171">
                  <c:v>2.0207104657387287E-2</c:v>
                </c:pt>
                <c:pt idx="172">
                  <c:v>5.334556683685876E-2</c:v>
                </c:pt>
                <c:pt idx="173">
                  <c:v>2.2207104657387289E-2</c:v>
                </c:pt>
                <c:pt idx="174">
                  <c:v>-0.19654138131245413</c:v>
                </c:pt>
                <c:pt idx="175">
                  <c:v>1.5529104086149714E-2</c:v>
                </c:pt>
                <c:pt idx="176">
                  <c:v>2.7529104086149725E-2</c:v>
                </c:pt>
                <c:pt idx="177">
                  <c:v>3.1529104086149728E-2</c:v>
                </c:pt>
                <c:pt idx="178">
                  <c:v>-3.1629957480254101E-2</c:v>
                </c:pt>
                <c:pt idx="179">
                  <c:v>-0.19354138131245413</c:v>
                </c:pt>
                <c:pt idx="180">
                  <c:v>2.252910408614972E-2</c:v>
                </c:pt>
                <c:pt idx="181">
                  <c:v>8.7821165779501831E-2</c:v>
                </c:pt>
                <c:pt idx="182">
                  <c:v>-0.19454138131245413</c:v>
                </c:pt>
                <c:pt idx="183">
                  <c:v>-2.8629957480254098E-2</c:v>
                </c:pt>
                <c:pt idx="184">
                  <c:v>-5.9069077547161175E-2</c:v>
                </c:pt>
                <c:pt idx="185">
                  <c:v>-5.1069077547161168E-2</c:v>
                </c:pt>
                <c:pt idx="186">
                  <c:v>0.10199999999999998</c:v>
                </c:pt>
                <c:pt idx="187">
                  <c:v>-4.7069077547161164E-2</c:v>
                </c:pt>
                <c:pt idx="188">
                  <c:v>0.10099999999999998</c:v>
                </c:pt>
                <c:pt idx="189">
                  <c:v>-5.5069077547161172E-2</c:v>
                </c:pt>
                <c:pt idx="190">
                  <c:v>-1.8629957480254089E-2</c:v>
                </c:pt>
                <c:pt idx="191">
                  <c:v>-7.084084273568092E-2</c:v>
                </c:pt>
                <c:pt idx="192">
                  <c:v>2.4529104086149722E-2</c:v>
                </c:pt>
                <c:pt idx="193">
                  <c:v>-5.306907754716117E-2</c:v>
                </c:pt>
                <c:pt idx="194">
                  <c:v>1.7529104086149716E-2</c:v>
                </c:pt>
                <c:pt idx="195">
                  <c:v>-4.5069077547161163E-2</c:v>
                </c:pt>
                <c:pt idx="196">
                  <c:v>-4.6069077547161164E-2</c:v>
                </c:pt>
                <c:pt idx="197">
                  <c:v>9.8999999999999977E-2</c:v>
                </c:pt>
                <c:pt idx="198">
                  <c:v>-7.1840842735680921E-2</c:v>
                </c:pt>
                <c:pt idx="199">
                  <c:v>0.10199999999999998</c:v>
                </c:pt>
                <c:pt idx="200">
                  <c:v>0.10199999999999998</c:v>
                </c:pt>
                <c:pt idx="201">
                  <c:v>-6.2840842735680913E-2</c:v>
                </c:pt>
                <c:pt idx="202">
                  <c:v>0.10299999999999998</c:v>
                </c:pt>
                <c:pt idx="203">
                  <c:v>0.10199999999999998</c:v>
                </c:pt>
                <c:pt idx="204">
                  <c:v>0.10699999999999998</c:v>
                </c:pt>
                <c:pt idx="205">
                  <c:v>0.10799999999999998</c:v>
                </c:pt>
                <c:pt idx="206">
                  <c:v>0.10799999999999998</c:v>
                </c:pt>
                <c:pt idx="207">
                  <c:v>-3.106907754716115E-2</c:v>
                </c:pt>
                <c:pt idx="208">
                  <c:v>0.10399999999999998</c:v>
                </c:pt>
                <c:pt idx="209">
                  <c:v>-2.3629957480254093E-2</c:v>
                </c:pt>
                <c:pt idx="210">
                  <c:v>4.134556683685886E-2</c:v>
                </c:pt>
                <c:pt idx="211">
                  <c:v>7.2821165779501817E-2</c:v>
                </c:pt>
                <c:pt idx="212">
                  <c:v>6.9362590003619329E-2</c:v>
                </c:pt>
                <c:pt idx="213">
                  <c:v>-0.14208781615364402</c:v>
                </c:pt>
                <c:pt idx="214">
                  <c:v>-0.15208781615364397</c:v>
                </c:pt>
                <c:pt idx="215">
                  <c:v>0.10572432053755054</c:v>
                </c:pt>
                <c:pt idx="216">
                  <c:v>-6.709807539172602E-2</c:v>
                </c:pt>
                <c:pt idx="217">
                  <c:v>-7.9289534261273165E-4</c:v>
                </c:pt>
                <c:pt idx="218">
                  <c:v>-4.5629957480254113E-2</c:v>
                </c:pt>
                <c:pt idx="219">
                  <c:v>-3.8069077547161156E-2</c:v>
                </c:pt>
                <c:pt idx="220">
                  <c:v>4.5529104086149741E-2</c:v>
                </c:pt>
                <c:pt idx="221">
                  <c:v>-4.206907754716116E-2</c:v>
                </c:pt>
                <c:pt idx="222">
                  <c:v>-3.1629957480254101E-2</c:v>
                </c:pt>
                <c:pt idx="223">
                  <c:v>2.2207104657387289E-2</c:v>
                </c:pt>
                <c:pt idx="224">
                  <c:v>7.8821165779501823E-2</c:v>
                </c:pt>
                <c:pt idx="225">
                  <c:v>8.8823306179156902E-2</c:v>
                </c:pt>
                <c:pt idx="226">
                  <c:v>8.1823306179156896E-2</c:v>
                </c:pt>
                <c:pt idx="227">
                  <c:v>8.1823306179156896E-2</c:v>
                </c:pt>
                <c:pt idx="228">
                  <c:v>2.207104657387271E-3</c:v>
                </c:pt>
                <c:pt idx="229">
                  <c:v>0.24929568542687008</c:v>
                </c:pt>
                <c:pt idx="230">
                  <c:v>7.8821165779501823E-2</c:v>
                </c:pt>
                <c:pt idx="231">
                  <c:v>9.2802376424748978E-2</c:v>
                </c:pt>
                <c:pt idx="232">
                  <c:v>7.582116577950182E-2</c:v>
                </c:pt>
                <c:pt idx="233">
                  <c:v>-1.5618514446685605E-2</c:v>
                </c:pt>
                <c:pt idx="234">
                  <c:v>-9.6185144466855999E-3</c:v>
                </c:pt>
                <c:pt idx="235">
                  <c:v>6.3823306179156991E-2</c:v>
                </c:pt>
                <c:pt idx="236">
                  <c:v>-2.2404973860704058E-2</c:v>
                </c:pt>
                <c:pt idx="237">
                  <c:v>0.23529568542687007</c:v>
                </c:pt>
                <c:pt idx="238">
                  <c:v>1.6345566836858838E-2</c:v>
                </c:pt>
                <c:pt idx="239">
                  <c:v>7.6821165779501821E-2</c:v>
                </c:pt>
                <c:pt idx="240">
                  <c:v>-0.21054138131245415</c:v>
                </c:pt>
                <c:pt idx="241">
                  <c:v>9.2823306179156906E-2</c:v>
                </c:pt>
                <c:pt idx="242">
                  <c:v>-0.20754138131245414</c:v>
                </c:pt>
                <c:pt idx="243">
                  <c:v>2.7529104086149725E-2</c:v>
                </c:pt>
                <c:pt idx="244">
                  <c:v>0.10199999999999998</c:v>
                </c:pt>
                <c:pt idx="245">
                  <c:v>-6.0840842735680911E-2</c:v>
                </c:pt>
                <c:pt idx="246">
                  <c:v>0.10499999999999998</c:v>
                </c:pt>
                <c:pt idx="247">
                  <c:v>-3.7069077547161156E-2</c:v>
                </c:pt>
                <c:pt idx="248">
                  <c:v>3.4529104086149731E-2</c:v>
                </c:pt>
                <c:pt idx="249">
                  <c:v>-2.6629957480254096E-2</c:v>
                </c:pt>
                <c:pt idx="250">
                  <c:v>-0.18454138131245412</c:v>
                </c:pt>
                <c:pt idx="251">
                  <c:v>-4.6069077547161164E-2</c:v>
                </c:pt>
                <c:pt idx="252">
                  <c:v>2.1207104657387288E-2</c:v>
                </c:pt>
                <c:pt idx="253">
                  <c:v>-3.8069077547161156E-2</c:v>
                </c:pt>
                <c:pt idx="254">
                  <c:v>-7.4840842735680924E-2</c:v>
                </c:pt>
                <c:pt idx="255">
                  <c:v>0.10499999999999998</c:v>
                </c:pt>
                <c:pt idx="256">
                  <c:v>-5.984084273568091E-2</c:v>
                </c:pt>
                <c:pt idx="257">
                  <c:v>-6.3840842735680914E-2</c:v>
                </c:pt>
                <c:pt idx="258">
                  <c:v>0.10799999999999998</c:v>
                </c:pt>
                <c:pt idx="259">
                  <c:v>-3.2069077547161151E-2</c:v>
                </c:pt>
                <c:pt idx="260">
                  <c:v>-2.7069077547161147E-2</c:v>
                </c:pt>
                <c:pt idx="261">
                  <c:v>-3.8069077547161156E-2</c:v>
                </c:pt>
                <c:pt idx="262">
                  <c:v>-0.18954138131245413</c:v>
                </c:pt>
                <c:pt idx="263">
                  <c:v>2.9529104086149727E-2</c:v>
                </c:pt>
                <c:pt idx="264">
                  <c:v>-0.20054138131245414</c:v>
                </c:pt>
                <c:pt idx="265">
                  <c:v>3.5345566836858855E-2</c:v>
                </c:pt>
                <c:pt idx="266">
                  <c:v>-0.20954138131245414</c:v>
                </c:pt>
                <c:pt idx="267">
                  <c:v>-0.19754138131245413</c:v>
                </c:pt>
                <c:pt idx="268">
                  <c:v>-7.084084273568092E-2</c:v>
                </c:pt>
                <c:pt idx="269">
                  <c:v>-3.9069077547161157E-2</c:v>
                </c:pt>
                <c:pt idx="270">
                  <c:v>0.10599999999999998</c:v>
                </c:pt>
                <c:pt idx="271">
                  <c:v>-5.7840842735680909E-2</c:v>
                </c:pt>
                <c:pt idx="272">
                  <c:v>-6.5840842735680916E-2</c:v>
                </c:pt>
                <c:pt idx="273">
                  <c:v>0.10699999999999998</c:v>
                </c:pt>
                <c:pt idx="274">
                  <c:v>-5.2840842735680904E-2</c:v>
                </c:pt>
                <c:pt idx="275">
                  <c:v>-5.8840842735680909E-2</c:v>
                </c:pt>
                <c:pt idx="276">
                  <c:v>-4.8840842735680901E-2</c:v>
                </c:pt>
                <c:pt idx="277">
                  <c:v>-5.984084273568091E-2</c:v>
                </c:pt>
                <c:pt idx="278">
                  <c:v>0.10499999999999998</c:v>
                </c:pt>
                <c:pt idx="279">
                  <c:v>0.10699999999999998</c:v>
                </c:pt>
                <c:pt idx="280">
                  <c:v>0.10599999999999998</c:v>
                </c:pt>
                <c:pt idx="281">
                  <c:v>0.10699999999999998</c:v>
                </c:pt>
                <c:pt idx="282">
                  <c:v>0.10499999999999998</c:v>
                </c:pt>
                <c:pt idx="283">
                  <c:v>-3.5069077547161154E-2</c:v>
                </c:pt>
                <c:pt idx="284">
                  <c:v>-2.8069077547161148E-2</c:v>
                </c:pt>
                <c:pt idx="285">
                  <c:v>-0.19554138131245413</c:v>
                </c:pt>
                <c:pt idx="286">
                  <c:v>4.8207104657387312E-2</c:v>
                </c:pt>
                <c:pt idx="287">
                  <c:v>3.9345566836858858E-2</c:v>
                </c:pt>
                <c:pt idx="288">
                  <c:v>0.24529568542687008</c:v>
                </c:pt>
                <c:pt idx="289">
                  <c:v>0.25129568542687009</c:v>
                </c:pt>
                <c:pt idx="290">
                  <c:v>6.5823306179156993E-2</c:v>
                </c:pt>
                <c:pt idx="291">
                  <c:v>-0.121087816153644</c:v>
                </c:pt>
                <c:pt idx="292">
                  <c:v>-3.4049738607040414E-3</c:v>
                </c:pt>
                <c:pt idx="293">
                  <c:v>-2.9672088137755459E-2</c:v>
                </c:pt>
                <c:pt idx="294">
                  <c:v>-2.146294267053428E-2</c:v>
                </c:pt>
                <c:pt idx="295">
                  <c:v>4.9821165779501797E-2</c:v>
                </c:pt>
                <c:pt idx="296">
                  <c:v>2.4345566836858845E-2</c:v>
                </c:pt>
                <c:pt idx="297">
                  <c:v>-8.5840842735680933E-2</c:v>
                </c:pt>
                <c:pt idx="298">
                  <c:v>2.0529104086149719E-2</c:v>
                </c:pt>
                <c:pt idx="299">
                  <c:v>-4.5069077547161163E-2</c:v>
                </c:pt>
                <c:pt idx="300">
                  <c:v>-4.1069077547161159E-2</c:v>
                </c:pt>
                <c:pt idx="301">
                  <c:v>-0.19154138131245413</c:v>
                </c:pt>
                <c:pt idx="302">
                  <c:v>7.9823306179156894E-2</c:v>
                </c:pt>
                <c:pt idx="303">
                  <c:v>0.11980237642474889</c:v>
                </c:pt>
                <c:pt idx="304">
                  <c:v>0.25929568542687009</c:v>
                </c:pt>
                <c:pt idx="305">
                  <c:v>-0.21454138131245415</c:v>
                </c:pt>
                <c:pt idx="306">
                  <c:v>8.2823306179156897E-2</c:v>
                </c:pt>
                <c:pt idx="307">
                  <c:v>1.2529104086149712E-2</c:v>
                </c:pt>
                <c:pt idx="308">
                  <c:v>-5.0930384497401171E-2</c:v>
                </c:pt>
                <c:pt idx="309">
                  <c:v>2.152910408614972E-2</c:v>
                </c:pt>
                <c:pt idx="310">
                  <c:v>3.3345566836858853E-2</c:v>
                </c:pt>
                <c:pt idx="311">
                  <c:v>-2.6629957480254096E-2</c:v>
                </c:pt>
                <c:pt idx="312">
                  <c:v>0.10399999999999998</c:v>
                </c:pt>
                <c:pt idx="313">
                  <c:v>3.352910408614973E-2</c:v>
                </c:pt>
                <c:pt idx="314">
                  <c:v>-6.4840842735680915E-2</c:v>
                </c:pt>
                <c:pt idx="315">
                  <c:v>-7.7840842735680926E-2</c:v>
                </c:pt>
                <c:pt idx="316">
                  <c:v>0.2682956854268701</c:v>
                </c:pt>
                <c:pt idx="317">
                  <c:v>2.4529104086149722E-2</c:v>
                </c:pt>
                <c:pt idx="318">
                  <c:v>3.5345566836858855E-2</c:v>
                </c:pt>
                <c:pt idx="319">
                  <c:v>8.8821165779501832E-2</c:v>
                </c:pt>
                <c:pt idx="320">
                  <c:v>7.6823306179156892E-2</c:v>
                </c:pt>
                <c:pt idx="321">
                  <c:v>-5.2930384497401173E-2</c:v>
                </c:pt>
                <c:pt idx="322">
                  <c:v>8.5291040861497081E-3</c:v>
                </c:pt>
                <c:pt idx="323">
                  <c:v>2.8381485553314323E-2</c:v>
                </c:pt>
                <c:pt idx="324">
                  <c:v>9.782116577950184E-2</c:v>
                </c:pt>
                <c:pt idx="325">
                  <c:v>1.5529104086149714E-2</c:v>
                </c:pt>
                <c:pt idx="326">
                  <c:v>2.152910408614972E-2</c:v>
                </c:pt>
                <c:pt idx="327">
                  <c:v>-4.5069077547161163E-2</c:v>
                </c:pt>
                <c:pt idx="328">
                  <c:v>-6.0840842735680911E-2</c:v>
                </c:pt>
                <c:pt idx="329">
                  <c:v>-1.6629957480254087E-2</c:v>
                </c:pt>
                <c:pt idx="330">
                  <c:v>0.10399999999999998</c:v>
                </c:pt>
                <c:pt idx="331">
                  <c:v>0.10499999999999998</c:v>
                </c:pt>
                <c:pt idx="332">
                  <c:v>0.10599999999999998</c:v>
                </c:pt>
                <c:pt idx="333">
                  <c:v>0.10499999999999998</c:v>
                </c:pt>
                <c:pt idx="334">
                  <c:v>0.10399999999999998</c:v>
                </c:pt>
                <c:pt idx="335">
                  <c:v>3.4529104086149731E-2</c:v>
                </c:pt>
                <c:pt idx="336">
                  <c:v>-4.4069077547161162E-2</c:v>
                </c:pt>
                <c:pt idx="337">
                  <c:v>1.9529104086149718E-2</c:v>
                </c:pt>
                <c:pt idx="338">
                  <c:v>-0.19654138131245413</c:v>
                </c:pt>
                <c:pt idx="339">
                  <c:v>4.9207104657387313E-2</c:v>
                </c:pt>
                <c:pt idx="340">
                  <c:v>-3.06299574802541E-2</c:v>
                </c:pt>
                <c:pt idx="341">
                  <c:v>2.7529104086149725E-2</c:v>
                </c:pt>
                <c:pt idx="342">
                  <c:v>0.10099999999999998</c:v>
                </c:pt>
                <c:pt idx="343">
                  <c:v>-3.3069077547161152E-2</c:v>
                </c:pt>
                <c:pt idx="344">
                  <c:v>0.10399999999999998</c:v>
                </c:pt>
                <c:pt idx="345">
                  <c:v>0.10399999999999998</c:v>
                </c:pt>
                <c:pt idx="346">
                  <c:v>-0.18354138131245412</c:v>
                </c:pt>
                <c:pt idx="347">
                  <c:v>-4.6069077547161164E-2</c:v>
                </c:pt>
                <c:pt idx="348">
                  <c:v>-4.6069077547161164E-2</c:v>
                </c:pt>
                <c:pt idx="349">
                  <c:v>0.10582116577950185</c:v>
                </c:pt>
                <c:pt idx="350">
                  <c:v>-7.6840842735680925E-2</c:v>
                </c:pt>
                <c:pt idx="351">
                  <c:v>-6.3840842735680914E-2</c:v>
                </c:pt>
                <c:pt idx="352">
                  <c:v>-5.984084273568091E-2</c:v>
                </c:pt>
                <c:pt idx="353">
                  <c:v>0.10599999999999998</c:v>
                </c:pt>
                <c:pt idx="354">
                  <c:v>-3.2069077547161151E-2</c:v>
                </c:pt>
                <c:pt idx="355">
                  <c:v>0.10399999999999998</c:v>
                </c:pt>
                <c:pt idx="356">
                  <c:v>-3.5069077547161154E-2</c:v>
                </c:pt>
                <c:pt idx="357">
                  <c:v>2.7529104086149725E-2</c:v>
                </c:pt>
                <c:pt idx="358">
                  <c:v>-3.9069077547161157E-2</c:v>
                </c:pt>
                <c:pt idx="359">
                  <c:v>2.6529104086149724E-2</c:v>
                </c:pt>
                <c:pt idx="360">
                  <c:v>-2.8629957480254098E-2</c:v>
                </c:pt>
                <c:pt idx="361">
                  <c:v>-5.984084273568091E-2</c:v>
                </c:pt>
                <c:pt idx="362">
                  <c:v>-3.4069077547161153E-2</c:v>
                </c:pt>
                <c:pt idx="363">
                  <c:v>0.10499999999999998</c:v>
                </c:pt>
                <c:pt idx="364">
                  <c:v>0.10399999999999998</c:v>
                </c:pt>
                <c:pt idx="365">
                  <c:v>0.10599999999999998</c:v>
                </c:pt>
                <c:pt idx="366">
                  <c:v>0.10599999999999998</c:v>
                </c:pt>
                <c:pt idx="367">
                  <c:v>0.10599999999999998</c:v>
                </c:pt>
                <c:pt idx="368">
                  <c:v>-2.9069077547161148E-2</c:v>
                </c:pt>
                <c:pt idx="369">
                  <c:v>0.10399999999999998</c:v>
                </c:pt>
                <c:pt idx="370">
                  <c:v>-2.006907754716114E-2</c:v>
                </c:pt>
                <c:pt idx="371">
                  <c:v>-2.8069077547161148E-2</c:v>
                </c:pt>
                <c:pt idx="372">
                  <c:v>-7.6299574802540793E-3</c:v>
                </c:pt>
                <c:pt idx="373">
                  <c:v>5.6345566836858763E-2</c:v>
                </c:pt>
                <c:pt idx="374">
                  <c:v>2.8529104086149726E-2</c:v>
                </c:pt>
                <c:pt idx="375">
                  <c:v>0.23329568542687007</c:v>
                </c:pt>
                <c:pt idx="376">
                  <c:v>3.0381485553314325E-2</c:v>
                </c:pt>
                <c:pt idx="377">
                  <c:v>-3.4098075391726046E-2</c:v>
                </c:pt>
                <c:pt idx="378">
                  <c:v>0.15572432053755059</c:v>
                </c:pt>
                <c:pt idx="379">
                  <c:v>0.11478193701653006</c:v>
                </c:pt>
                <c:pt idx="380">
                  <c:v>0.11332869634281517</c:v>
                </c:pt>
                <c:pt idx="381">
                  <c:v>6.6823306179156994E-2</c:v>
                </c:pt>
                <c:pt idx="382">
                  <c:v>8.0823306179156895E-2</c:v>
                </c:pt>
                <c:pt idx="383">
                  <c:v>-1.7629957480254088E-2</c:v>
                </c:pt>
                <c:pt idx="384">
                  <c:v>-6.6299574802540784E-3</c:v>
                </c:pt>
                <c:pt idx="385">
                  <c:v>-2.5069077547161145E-2</c:v>
                </c:pt>
                <c:pt idx="386">
                  <c:v>4.1529104086149737E-2</c:v>
                </c:pt>
                <c:pt idx="387">
                  <c:v>-6.0840842735680911E-2</c:v>
                </c:pt>
                <c:pt idx="388">
                  <c:v>-0.17754138131245412</c:v>
                </c:pt>
                <c:pt idx="389">
                  <c:v>-0.17854138131245412</c:v>
                </c:pt>
                <c:pt idx="390">
                  <c:v>-0.18254138131245412</c:v>
                </c:pt>
                <c:pt idx="391">
                  <c:v>-0.18054138131245412</c:v>
                </c:pt>
                <c:pt idx="392">
                  <c:v>-3.0069077547161149E-2</c:v>
                </c:pt>
                <c:pt idx="393">
                  <c:v>4.6529104086149742E-2</c:v>
                </c:pt>
                <c:pt idx="394">
                  <c:v>-5.8840842735680909E-2</c:v>
                </c:pt>
                <c:pt idx="395">
                  <c:v>-2.8069077547161148E-2</c:v>
                </c:pt>
                <c:pt idx="396">
                  <c:v>-6.1840842735680912E-2</c:v>
                </c:pt>
                <c:pt idx="397">
                  <c:v>-6.1840842735680912E-2</c:v>
                </c:pt>
                <c:pt idx="398">
                  <c:v>-2.7069077547161147E-2</c:v>
                </c:pt>
                <c:pt idx="399">
                  <c:v>-5.7840842735680909E-2</c:v>
                </c:pt>
                <c:pt idx="400">
                  <c:v>5.5529104086149639E-2</c:v>
                </c:pt>
                <c:pt idx="401">
                  <c:v>-4.206907754716116E-2</c:v>
                </c:pt>
                <c:pt idx="402">
                  <c:v>-2.9069077547161148E-2</c:v>
                </c:pt>
                <c:pt idx="403">
                  <c:v>-5.0840842735680902E-2</c:v>
                </c:pt>
                <c:pt idx="404">
                  <c:v>-3.106907754716115E-2</c:v>
                </c:pt>
                <c:pt idx="405">
                  <c:v>-2.9069077547161148E-2</c:v>
                </c:pt>
                <c:pt idx="406">
                  <c:v>-6.6299574802540784E-3</c:v>
                </c:pt>
                <c:pt idx="407">
                  <c:v>3.7529104086149734E-2</c:v>
                </c:pt>
                <c:pt idx="408">
                  <c:v>-2.9069077547161148E-2</c:v>
                </c:pt>
                <c:pt idx="409">
                  <c:v>-7.6299574802540793E-3</c:v>
                </c:pt>
                <c:pt idx="410">
                  <c:v>-3.2069077547161151E-2</c:v>
                </c:pt>
                <c:pt idx="411">
                  <c:v>5.1529104086149746E-2</c:v>
                </c:pt>
                <c:pt idx="412">
                  <c:v>-3.4069077547161153E-2</c:v>
                </c:pt>
                <c:pt idx="413">
                  <c:v>-2.8069077547161148E-2</c:v>
                </c:pt>
                <c:pt idx="414">
                  <c:v>-6.3840842735680914E-2</c:v>
                </c:pt>
                <c:pt idx="415">
                  <c:v>-5.3840842735680905E-2</c:v>
                </c:pt>
                <c:pt idx="416">
                  <c:v>-3.106907754716115E-2</c:v>
                </c:pt>
                <c:pt idx="417">
                  <c:v>-0.18354138131245412</c:v>
                </c:pt>
                <c:pt idx="418">
                  <c:v>-3.7069077547161156E-2</c:v>
                </c:pt>
                <c:pt idx="419">
                  <c:v>-0.17654138131245412</c:v>
                </c:pt>
                <c:pt idx="420">
                  <c:v>-0.18754138131245413</c:v>
                </c:pt>
                <c:pt idx="421">
                  <c:v>4.3529104086149739E-2</c:v>
                </c:pt>
                <c:pt idx="422">
                  <c:v>3.9529104086149736E-2</c:v>
                </c:pt>
                <c:pt idx="423">
                  <c:v>-3.3069077547161152E-2</c:v>
                </c:pt>
                <c:pt idx="424">
                  <c:v>4.1529104086149737E-2</c:v>
                </c:pt>
                <c:pt idx="425">
                  <c:v>-3.6299574802540757E-3</c:v>
                </c:pt>
                <c:pt idx="426">
                  <c:v>-5.984084273568091E-2</c:v>
                </c:pt>
                <c:pt idx="427">
                  <c:v>-2.9069077547161148E-2</c:v>
                </c:pt>
                <c:pt idx="428">
                  <c:v>-3.5069077547161154E-2</c:v>
                </c:pt>
                <c:pt idx="429">
                  <c:v>4.3529104086149739E-2</c:v>
                </c:pt>
                <c:pt idx="430">
                  <c:v>4.5529104086149741E-2</c:v>
                </c:pt>
                <c:pt idx="431">
                  <c:v>-1.4629957480254085E-2</c:v>
                </c:pt>
                <c:pt idx="432">
                  <c:v>-4.0069077547161158E-2</c:v>
                </c:pt>
                <c:pt idx="433">
                  <c:v>-0.18654138131245412</c:v>
                </c:pt>
                <c:pt idx="434">
                  <c:v>4.452910408614974E-2</c:v>
                </c:pt>
                <c:pt idx="435">
                  <c:v>-0.17954138131245412</c:v>
                </c:pt>
                <c:pt idx="436">
                  <c:v>-0.17754138131245412</c:v>
                </c:pt>
                <c:pt idx="437">
                  <c:v>-3.3069077547161152E-2</c:v>
                </c:pt>
                <c:pt idx="438">
                  <c:v>0.10599999999999998</c:v>
                </c:pt>
                <c:pt idx="439">
                  <c:v>-4.5840842735680898E-2</c:v>
                </c:pt>
                <c:pt idx="440">
                  <c:v>-6.4840842735680915E-2</c:v>
                </c:pt>
                <c:pt idx="441">
                  <c:v>4.452910408614974E-2</c:v>
                </c:pt>
                <c:pt idx="442">
                  <c:v>-3.2069077547161151E-2</c:v>
                </c:pt>
                <c:pt idx="443">
                  <c:v>-2.6069077547161146E-2</c:v>
                </c:pt>
                <c:pt idx="444">
                  <c:v>-6.9840842735680919E-2</c:v>
                </c:pt>
                <c:pt idx="445">
                  <c:v>-6.2995748025407305E-4</c:v>
                </c:pt>
                <c:pt idx="446">
                  <c:v>-3.6299574802540757E-3</c:v>
                </c:pt>
                <c:pt idx="447">
                  <c:v>-6.8840842735680918E-2</c:v>
                </c:pt>
                <c:pt idx="448">
                  <c:v>-2.5069077547161145E-2</c:v>
                </c:pt>
                <c:pt idx="449">
                  <c:v>0.10499999999999998</c:v>
                </c:pt>
                <c:pt idx="450">
                  <c:v>0.10499999999999998</c:v>
                </c:pt>
                <c:pt idx="451">
                  <c:v>0.10499999999999998</c:v>
                </c:pt>
                <c:pt idx="452">
                  <c:v>-5.5840842735680907E-2</c:v>
                </c:pt>
                <c:pt idx="453">
                  <c:v>-5.2840842735680904E-2</c:v>
                </c:pt>
                <c:pt idx="454">
                  <c:v>-3.6299574802540757E-3</c:v>
                </c:pt>
                <c:pt idx="455">
                  <c:v>-2.3069077547161143E-2</c:v>
                </c:pt>
                <c:pt idx="456">
                  <c:v>-2.6299574802540748E-3</c:v>
                </c:pt>
                <c:pt idx="457">
                  <c:v>-2.6069077547161146E-2</c:v>
                </c:pt>
                <c:pt idx="458">
                  <c:v>0.10499999999999998</c:v>
                </c:pt>
                <c:pt idx="459">
                  <c:v>0.10699999999999998</c:v>
                </c:pt>
                <c:pt idx="460">
                  <c:v>0.10799999999999998</c:v>
                </c:pt>
                <c:pt idx="461">
                  <c:v>0.10799999999999998</c:v>
                </c:pt>
                <c:pt idx="462">
                  <c:v>-5.8840842735680909E-2</c:v>
                </c:pt>
                <c:pt idx="463">
                  <c:v>-1.6299574802540739E-3</c:v>
                </c:pt>
                <c:pt idx="464">
                  <c:v>-2.5069077547161145E-2</c:v>
                </c:pt>
                <c:pt idx="465">
                  <c:v>-3.6299574802540757E-3</c:v>
                </c:pt>
                <c:pt idx="466">
                  <c:v>0.10499999999999998</c:v>
                </c:pt>
                <c:pt idx="467">
                  <c:v>0.10399999999999998</c:v>
                </c:pt>
                <c:pt idx="468">
                  <c:v>0.10699999999999998</c:v>
                </c:pt>
                <c:pt idx="469">
                  <c:v>0.10499999999999998</c:v>
                </c:pt>
                <c:pt idx="470">
                  <c:v>-2.6069077547161146E-2</c:v>
                </c:pt>
                <c:pt idx="471">
                  <c:v>-5.5840842735680907E-2</c:v>
                </c:pt>
                <c:pt idx="472">
                  <c:v>-5.5840842735680907E-2</c:v>
                </c:pt>
                <c:pt idx="473">
                  <c:v>-5.3840842735680905E-2</c:v>
                </c:pt>
                <c:pt idx="474">
                  <c:v>-5.2840842735680904E-2</c:v>
                </c:pt>
                <c:pt idx="475">
                  <c:v>-4.9840842735680901E-2</c:v>
                </c:pt>
                <c:pt idx="476">
                  <c:v>-5.2840842735680904E-2</c:v>
                </c:pt>
                <c:pt idx="477">
                  <c:v>4.452910408614974E-2</c:v>
                </c:pt>
                <c:pt idx="478">
                  <c:v>-1.1629957480254083E-2</c:v>
                </c:pt>
                <c:pt idx="479">
                  <c:v>-3.8069077547161156E-2</c:v>
                </c:pt>
                <c:pt idx="480">
                  <c:v>3.8529104086149735E-2</c:v>
                </c:pt>
                <c:pt idx="481">
                  <c:v>-0.18054138131245412</c:v>
                </c:pt>
                <c:pt idx="482">
                  <c:v>-2.9069077547161148E-2</c:v>
                </c:pt>
                <c:pt idx="483">
                  <c:v>4.5529104086149741E-2</c:v>
                </c:pt>
                <c:pt idx="484">
                  <c:v>-2.6069077547161146E-2</c:v>
                </c:pt>
                <c:pt idx="485">
                  <c:v>-6.1840842735680912E-2</c:v>
                </c:pt>
                <c:pt idx="486">
                  <c:v>0.10399999999999998</c:v>
                </c:pt>
                <c:pt idx="487">
                  <c:v>0.10699999999999998</c:v>
                </c:pt>
                <c:pt idx="488">
                  <c:v>0.10399999999999998</c:v>
                </c:pt>
                <c:pt idx="489">
                  <c:v>0.10599999999999998</c:v>
                </c:pt>
                <c:pt idx="490">
                  <c:v>0.10599999999999998</c:v>
                </c:pt>
                <c:pt idx="491">
                  <c:v>-4.7069077547161164E-2</c:v>
                </c:pt>
                <c:pt idx="492">
                  <c:v>-5.2840842735680904E-2</c:v>
                </c:pt>
                <c:pt idx="493">
                  <c:v>-5.0069077547161167E-2</c:v>
                </c:pt>
                <c:pt idx="494">
                  <c:v>-0.17854138131245412</c:v>
                </c:pt>
                <c:pt idx="495">
                  <c:v>8.5291040861497081E-3</c:v>
                </c:pt>
                <c:pt idx="496">
                  <c:v>-5.6069077547161172E-2</c:v>
                </c:pt>
                <c:pt idx="497">
                  <c:v>-0.17754138131245412</c:v>
                </c:pt>
                <c:pt idx="498">
                  <c:v>-6.3069077547161179E-2</c:v>
                </c:pt>
                <c:pt idx="499">
                  <c:v>9.0821165779501833E-2</c:v>
                </c:pt>
                <c:pt idx="500">
                  <c:v>1.220710465738728E-2</c:v>
                </c:pt>
                <c:pt idx="501">
                  <c:v>8.4821165779501828E-2</c:v>
                </c:pt>
                <c:pt idx="502">
                  <c:v>-3.4708959138503026E-3</c:v>
                </c:pt>
                <c:pt idx="503">
                  <c:v>7.8821165779501823E-2</c:v>
                </c:pt>
                <c:pt idx="504">
                  <c:v>-5.4629957480254121E-2</c:v>
                </c:pt>
                <c:pt idx="505">
                  <c:v>2.320710465738729E-2</c:v>
                </c:pt>
                <c:pt idx="506">
                  <c:v>-0.17454138131245411</c:v>
                </c:pt>
                <c:pt idx="507">
                  <c:v>-4.8629957480254116E-2</c:v>
                </c:pt>
                <c:pt idx="508">
                  <c:v>1.4529104086149713E-2</c:v>
                </c:pt>
                <c:pt idx="509">
                  <c:v>2.0207104657387287E-2</c:v>
                </c:pt>
                <c:pt idx="510">
                  <c:v>-0.18854138131245413</c:v>
                </c:pt>
                <c:pt idx="511">
                  <c:v>3.5345566836858855E-2</c:v>
                </c:pt>
                <c:pt idx="512">
                  <c:v>0.24029568542687008</c:v>
                </c:pt>
                <c:pt idx="513">
                  <c:v>0.23529568542687007</c:v>
                </c:pt>
                <c:pt idx="514">
                  <c:v>7.2821165779501817E-2</c:v>
                </c:pt>
                <c:pt idx="515">
                  <c:v>6.9821165779501815E-2</c:v>
                </c:pt>
                <c:pt idx="516">
                  <c:v>-9.6185144466855999E-3</c:v>
                </c:pt>
                <c:pt idx="517">
                  <c:v>0.11432869634281517</c:v>
                </c:pt>
                <c:pt idx="518">
                  <c:v>-1.5867168421119127E-2</c:v>
                </c:pt>
                <c:pt idx="519">
                  <c:v>5.7362590003619318E-2</c:v>
                </c:pt>
                <c:pt idx="520">
                  <c:v>-9.7930384497401157E-2</c:v>
                </c:pt>
                <c:pt idx="521">
                  <c:v>0.22129568542687006</c:v>
                </c:pt>
                <c:pt idx="522">
                  <c:v>-7.9289534261273165E-4</c:v>
                </c:pt>
                <c:pt idx="523">
                  <c:v>7.8821165779501823E-2</c:v>
                </c:pt>
                <c:pt idx="524">
                  <c:v>-0.18154138131245412</c:v>
                </c:pt>
                <c:pt idx="525">
                  <c:v>8.2821165779501826E-2</c:v>
                </c:pt>
                <c:pt idx="526">
                  <c:v>8.2821165779501826E-2</c:v>
                </c:pt>
                <c:pt idx="527">
                  <c:v>7.3823306179156889E-2</c:v>
                </c:pt>
                <c:pt idx="528">
                  <c:v>-6.1629957480254127E-2</c:v>
                </c:pt>
                <c:pt idx="529">
                  <c:v>4.6345566836858754E-2</c:v>
                </c:pt>
                <c:pt idx="530">
                  <c:v>-5.0629957480254117E-2</c:v>
                </c:pt>
                <c:pt idx="531">
                  <c:v>-0.18454138131245412</c:v>
                </c:pt>
                <c:pt idx="532">
                  <c:v>-0.19254138131245413</c:v>
                </c:pt>
                <c:pt idx="533">
                  <c:v>-4.7629957480254115E-2</c:v>
                </c:pt>
                <c:pt idx="534">
                  <c:v>-5.6629957480254123E-2</c:v>
                </c:pt>
                <c:pt idx="535">
                  <c:v>-5.0069077547161167E-2</c:v>
                </c:pt>
                <c:pt idx="536">
                  <c:v>-4.8840842735680901E-2</c:v>
                </c:pt>
                <c:pt idx="537">
                  <c:v>-5.7069077547161173E-2</c:v>
                </c:pt>
                <c:pt idx="538">
                  <c:v>-4.5629957480254113E-2</c:v>
                </c:pt>
                <c:pt idx="539">
                  <c:v>-5.2840842735680904E-2</c:v>
                </c:pt>
                <c:pt idx="540">
                  <c:v>-4.262995748025411E-2</c:v>
                </c:pt>
                <c:pt idx="541">
                  <c:v>0.10199999999999998</c:v>
                </c:pt>
                <c:pt idx="542">
                  <c:v>0.10499999999999998</c:v>
                </c:pt>
                <c:pt idx="543">
                  <c:v>-4.2840842735681006E-2</c:v>
                </c:pt>
                <c:pt idx="544">
                  <c:v>0.10599999999999998</c:v>
                </c:pt>
                <c:pt idx="545">
                  <c:v>0.10599999999999998</c:v>
                </c:pt>
                <c:pt idx="546">
                  <c:v>-3.6629957480254105E-2</c:v>
                </c:pt>
                <c:pt idx="547">
                  <c:v>-5.1840842735680903E-2</c:v>
                </c:pt>
                <c:pt idx="548">
                  <c:v>-4.0629957480254109E-2</c:v>
                </c:pt>
                <c:pt idx="549">
                  <c:v>-4.8069077547161165E-2</c:v>
                </c:pt>
                <c:pt idx="550">
                  <c:v>-5.306907754716117E-2</c:v>
                </c:pt>
                <c:pt idx="551">
                  <c:v>-4.9840842735680901E-2</c:v>
                </c:pt>
                <c:pt idx="552">
                  <c:v>-4.8069077547161165E-2</c:v>
                </c:pt>
                <c:pt idx="553">
                  <c:v>-3.9840842735681004E-2</c:v>
                </c:pt>
                <c:pt idx="554">
                  <c:v>-5.5840842735680907E-2</c:v>
                </c:pt>
                <c:pt idx="555">
                  <c:v>-4.0069077547161158E-2</c:v>
                </c:pt>
                <c:pt idx="556">
                  <c:v>-5.0069077547161167E-2</c:v>
                </c:pt>
                <c:pt idx="557">
                  <c:v>-4.8629957480254116E-2</c:v>
                </c:pt>
                <c:pt idx="558">
                  <c:v>-5.5840842735680907E-2</c:v>
                </c:pt>
                <c:pt idx="559">
                  <c:v>0.10199999999999998</c:v>
                </c:pt>
                <c:pt idx="560">
                  <c:v>-4.8629957480254116E-2</c:v>
                </c:pt>
                <c:pt idx="561">
                  <c:v>-5.1069077547161168E-2</c:v>
                </c:pt>
                <c:pt idx="562">
                  <c:v>-4.8069077547161165E-2</c:v>
                </c:pt>
                <c:pt idx="563">
                  <c:v>5.1345566836858758E-2</c:v>
                </c:pt>
                <c:pt idx="564">
                  <c:v>9.4999999999999973E-2</c:v>
                </c:pt>
                <c:pt idx="565">
                  <c:v>-5.306907754716117E-2</c:v>
                </c:pt>
                <c:pt idx="566">
                  <c:v>-3.6840842735681001E-2</c:v>
                </c:pt>
                <c:pt idx="567">
                  <c:v>0.10399999999999998</c:v>
                </c:pt>
                <c:pt idx="568">
                  <c:v>-4.78408427356809E-2</c:v>
                </c:pt>
                <c:pt idx="569">
                  <c:v>0.10499999999999998</c:v>
                </c:pt>
                <c:pt idx="570">
                  <c:v>0.10599999999999998</c:v>
                </c:pt>
                <c:pt idx="571">
                  <c:v>-4.0069077547161158E-2</c:v>
                </c:pt>
                <c:pt idx="572">
                  <c:v>-4.3840842735680896E-2</c:v>
                </c:pt>
                <c:pt idx="573">
                  <c:v>0.10499999999999998</c:v>
                </c:pt>
                <c:pt idx="574">
                  <c:v>0.14215915726431905</c:v>
                </c:pt>
                <c:pt idx="575">
                  <c:v>0.10799999999999998</c:v>
                </c:pt>
                <c:pt idx="576">
                  <c:v>0.10799999999999998</c:v>
                </c:pt>
                <c:pt idx="577">
                  <c:v>0.10799999999999998</c:v>
                </c:pt>
                <c:pt idx="578">
                  <c:v>0.10699999999999998</c:v>
                </c:pt>
                <c:pt idx="579">
                  <c:v>0.10799999999999998</c:v>
                </c:pt>
                <c:pt idx="580">
                  <c:v>-3.8069077547161156E-2</c:v>
                </c:pt>
                <c:pt idx="581">
                  <c:v>-2.7629957480254097E-2</c:v>
                </c:pt>
                <c:pt idx="582">
                  <c:v>9.6821165779501839E-2</c:v>
                </c:pt>
                <c:pt idx="583">
                  <c:v>9.9802376424748984E-2</c:v>
                </c:pt>
                <c:pt idx="584">
                  <c:v>4.5345566836858753E-2</c:v>
                </c:pt>
                <c:pt idx="585">
                  <c:v>-6.7930384497401131E-2</c:v>
                </c:pt>
                <c:pt idx="586">
                  <c:v>-4.9098075391726004E-2</c:v>
                </c:pt>
                <c:pt idx="587">
                  <c:v>-4.7098075391726002E-2</c:v>
                </c:pt>
                <c:pt idx="588">
                  <c:v>6.8821165779501814E-2</c:v>
                </c:pt>
                <c:pt idx="589">
                  <c:v>3.1345566836858851E-2</c:v>
                </c:pt>
                <c:pt idx="590">
                  <c:v>-0.21054138131245415</c:v>
                </c:pt>
                <c:pt idx="591">
                  <c:v>2.5207104657387291E-2</c:v>
                </c:pt>
                <c:pt idx="592">
                  <c:v>1.5529104086149714E-2</c:v>
                </c:pt>
                <c:pt idx="593">
                  <c:v>-0.19854138131245413</c:v>
                </c:pt>
                <c:pt idx="594">
                  <c:v>-4.0069077547161158E-2</c:v>
                </c:pt>
                <c:pt idx="595">
                  <c:v>-2.4629957480254094E-2</c:v>
                </c:pt>
                <c:pt idx="596">
                  <c:v>-0.19554138131245413</c:v>
                </c:pt>
                <c:pt idx="597">
                  <c:v>-3.8069077547161156E-2</c:v>
                </c:pt>
                <c:pt idx="598">
                  <c:v>-2.2629957480254093E-2</c:v>
                </c:pt>
                <c:pt idx="599">
                  <c:v>0.10682116577950185</c:v>
                </c:pt>
                <c:pt idx="600">
                  <c:v>-6.1840842735680912E-2</c:v>
                </c:pt>
                <c:pt idx="601">
                  <c:v>1.6529104086149715E-2</c:v>
                </c:pt>
                <c:pt idx="602">
                  <c:v>2.3529104086149721E-2</c:v>
                </c:pt>
                <c:pt idx="603">
                  <c:v>-1.7629957480254088E-2</c:v>
                </c:pt>
                <c:pt idx="604">
                  <c:v>-1.8629957480254089E-2</c:v>
                </c:pt>
                <c:pt idx="605">
                  <c:v>0.10499999999999998</c:v>
                </c:pt>
                <c:pt idx="606">
                  <c:v>-3.0069077547161149E-2</c:v>
                </c:pt>
                <c:pt idx="607">
                  <c:v>-4.78408427356809E-2</c:v>
                </c:pt>
                <c:pt idx="608">
                  <c:v>0.10399999999999998</c:v>
                </c:pt>
                <c:pt idx="609">
                  <c:v>-0.18554138131245412</c:v>
                </c:pt>
                <c:pt idx="610">
                  <c:v>-0.19254138131245413</c:v>
                </c:pt>
                <c:pt idx="611">
                  <c:v>2.5207104657387291E-2</c:v>
                </c:pt>
                <c:pt idx="612">
                  <c:v>7.1328315788808383E-3</c:v>
                </c:pt>
                <c:pt idx="613">
                  <c:v>1.2529104086149712E-2</c:v>
                </c:pt>
                <c:pt idx="614">
                  <c:v>2.0345566836858842E-2</c:v>
                </c:pt>
                <c:pt idx="615">
                  <c:v>0.10080237642474899</c:v>
                </c:pt>
                <c:pt idx="616">
                  <c:v>1.7529104086149716E-2</c:v>
                </c:pt>
                <c:pt idx="617">
                  <c:v>-0.20754138131245414</c:v>
                </c:pt>
                <c:pt idx="618">
                  <c:v>0.10582116577950185</c:v>
                </c:pt>
                <c:pt idx="619">
                  <c:v>1.2529104086149712E-2</c:v>
                </c:pt>
                <c:pt idx="620">
                  <c:v>0.2712956854268701</c:v>
                </c:pt>
                <c:pt idx="621">
                  <c:v>-3.2629957480254101E-2</c:v>
                </c:pt>
                <c:pt idx="622">
                  <c:v>1.3207104657387281E-2</c:v>
                </c:pt>
                <c:pt idx="623">
                  <c:v>3.7345566836858857E-2</c:v>
                </c:pt>
                <c:pt idx="624">
                  <c:v>3.8345566836858858E-2</c:v>
                </c:pt>
                <c:pt idx="625">
                  <c:v>3.2345566836858852E-2</c:v>
                </c:pt>
                <c:pt idx="626">
                  <c:v>7.6823306179156892E-2</c:v>
                </c:pt>
                <c:pt idx="627">
                  <c:v>0.25629568542687009</c:v>
                </c:pt>
                <c:pt idx="628">
                  <c:v>8.8802376424748974E-2</c:v>
                </c:pt>
                <c:pt idx="629">
                  <c:v>0.2632956854268701</c:v>
                </c:pt>
                <c:pt idx="630">
                  <c:v>3.1345566836858851E-2</c:v>
                </c:pt>
                <c:pt idx="631">
                  <c:v>-4.5098075391726E-2</c:v>
                </c:pt>
                <c:pt idx="632">
                  <c:v>0.24729568542687008</c:v>
                </c:pt>
                <c:pt idx="633">
                  <c:v>-0.12708781615364401</c:v>
                </c:pt>
                <c:pt idx="634">
                  <c:v>3.4345566836858854E-2</c:v>
                </c:pt>
                <c:pt idx="635">
                  <c:v>9.3821165779501836E-2</c:v>
                </c:pt>
                <c:pt idx="636">
                  <c:v>8.7821165779501831E-2</c:v>
                </c:pt>
                <c:pt idx="637">
                  <c:v>-6.4840842735680915E-2</c:v>
                </c:pt>
                <c:pt idx="638">
                  <c:v>3.352910408614973E-2</c:v>
                </c:pt>
                <c:pt idx="639">
                  <c:v>0.10299999999999998</c:v>
                </c:pt>
                <c:pt idx="640">
                  <c:v>0.10699999999999998</c:v>
                </c:pt>
                <c:pt idx="641">
                  <c:v>0.10699999999999998</c:v>
                </c:pt>
                <c:pt idx="642">
                  <c:v>0.10799999999999998</c:v>
                </c:pt>
                <c:pt idx="643">
                  <c:v>0.10599999999999998</c:v>
                </c:pt>
                <c:pt idx="644">
                  <c:v>-3.9069077547161157E-2</c:v>
                </c:pt>
                <c:pt idx="645">
                  <c:v>0.10499999999999998</c:v>
                </c:pt>
                <c:pt idx="646">
                  <c:v>-6.1840842735680912E-2</c:v>
                </c:pt>
                <c:pt idx="647">
                  <c:v>-3.4069077547161153E-2</c:v>
                </c:pt>
                <c:pt idx="648">
                  <c:v>-4.78408427356809E-2</c:v>
                </c:pt>
                <c:pt idx="649">
                  <c:v>-0.19154138131245413</c:v>
                </c:pt>
                <c:pt idx="650">
                  <c:v>-4.0069077547161158E-2</c:v>
                </c:pt>
                <c:pt idx="651">
                  <c:v>0.10399999999999998</c:v>
                </c:pt>
                <c:pt idx="652">
                  <c:v>-3.4069077547161153E-2</c:v>
                </c:pt>
                <c:pt idx="653">
                  <c:v>0.10699999999999998</c:v>
                </c:pt>
                <c:pt idx="654">
                  <c:v>-4.6069077547161164E-2</c:v>
                </c:pt>
                <c:pt idx="655">
                  <c:v>6.3345566836858769E-2</c:v>
                </c:pt>
                <c:pt idx="656">
                  <c:v>-2.8629957480254098E-2</c:v>
                </c:pt>
                <c:pt idx="657">
                  <c:v>-4.1098075391725997E-2</c:v>
                </c:pt>
                <c:pt idx="658">
                  <c:v>2.9207104657387295E-2</c:v>
                </c:pt>
                <c:pt idx="659">
                  <c:v>-6.8840842735680918E-2</c:v>
                </c:pt>
                <c:pt idx="660">
                  <c:v>3.2529104086149729E-2</c:v>
                </c:pt>
                <c:pt idx="661">
                  <c:v>-5.4840842735680906E-2</c:v>
                </c:pt>
                <c:pt idx="662">
                  <c:v>-5.6840842735680908E-2</c:v>
                </c:pt>
                <c:pt idx="663">
                  <c:v>0.10599999999999998</c:v>
                </c:pt>
                <c:pt idx="664">
                  <c:v>-4.8840842735680901E-2</c:v>
                </c:pt>
                <c:pt idx="665">
                  <c:v>-4.8840842735680901E-2</c:v>
                </c:pt>
                <c:pt idx="666">
                  <c:v>0.10499999999999998</c:v>
                </c:pt>
                <c:pt idx="667">
                  <c:v>-3.0069077547161149E-2</c:v>
                </c:pt>
                <c:pt idx="668">
                  <c:v>-4.6840842735680899E-2</c:v>
                </c:pt>
                <c:pt idx="669">
                  <c:v>0.10499999999999998</c:v>
                </c:pt>
                <c:pt idx="670">
                  <c:v>4.9345566836858756E-2</c:v>
                </c:pt>
                <c:pt idx="671">
                  <c:v>-4.1840842735681005E-2</c:v>
                </c:pt>
                <c:pt idx="672">
                  <c:v>-3.7069077547161156E-2</c:v>
                </c:pt>
                <c:pt idx="673">
                  <c:v>0.10182116577950184</c:v>
                </c:pt>
                <c:pt idx="674">
                  <c:v>3.7529104086149734E-2</c:v>
                </c:pt>
                <c:pt idx="675">
                  <c:v>-3.9069077547161157E-2</c:v>
                </c:pt>
                <c:pt idx="676">
                  <c:v>-5.3840842735680905E-2</c:v>
                </c:pt>
                <c:pt idx="677">
                  <c:v>2.8529104086149726E-2</c:v>
                </c:pt>
                <c:pt idx="678">
                  <c:v>-5.4840842735680906E-2</c:v>
                </c:pt>
                <c:pt idx="679">
                  <c:v>-3.6069077547161155E-2</c:v>
                </c:pt>
                <c:pt idx="680">
                  <c:v>-5.0840842735680902E-2</c:v>
                </c:pt>
                <c:pt idx="681">
                  <c:v>0.10599999999999998</c:v>
                </c:pt>
                <c:pt idx="682">
                  <c:v>0.10799999999999998</c:v>
                </c:pt>
                <c:pt idx="683">
                  <c:v>0.10899999999999999</c:v>
                </c:pt>
                <c:pt idx="684">
                  <c:v>0.10699999999999998</c:v>
                </c:pt>
                <c:pt idx="685">
                  <c:v>-3.3069077547161152E-2</c:v>
                </c:pt>
                <c:pt idx="686">
                  <c:v>-4.4840842735680897E-2</c:v>
                </c:pt>
                <c:pt idx="687">
                  <c:v>-4.8840842735680901E-2</c:v>
                </c:pt>
                <c:pt idx="688">
                  <c:v>-5.6840842735680908E-2</c:v>
                </c:pt>
                <c:pt idx="689">
                  <c:v>-5.2840842735680904E-2</c:v>
                </c:pt>
                <c:pt idx="690">
                  <c:v>0.10599999999999998</c:v>
                </c:pt>
                <c:pt idx="691">
                  <c:v>0.10799999999999998</c:v>
                </c:pt>
                <c:pt idx="692">
                  <c:v>0.10499999999999998</c:v>
                </c:pt>
                <c:pt idx="693">
                  <c:v>0.10599999999999998</c:v>
                </c:pt>
                <c:pt idx="694">
                  <c:v>0.10399999999999998</c:v>
                </c:pt>
                <c:pt idx="695">
                  <c:v>-3.9069077547161157E-2</c:v>
                </c:pt>
                <c:pt idx="696">
                  <c:v>-1.7629957480254088E-2</c:v>
                </c:pt>
                <c:pt idx="697">
                  <c:v>-4.4069077547161162E-2</c:v>
                </c:pt>
                <c:pt idx="698">
                  <c:v>-0.15754138131245421</c:v>
                </c:pt>
                <c:pt idx="699">
                  <c:v>-6.7840842735680917E-2</c:v>
                </c:pt>
                <c:pt idx="700">
                  <c:v>4.5529104086149741E-2</c:v>
                </c:pt>
                <c:pt idx="701">
                  <c:v>-3.2629957480254101E-2</c:v>
                </c:pt>
                <c:pt idx="702">
                  <c:v>-3.3629957480254102E-2</c:v>
                </c:pt>
                <c:pt idx="703">
                  <c:v>-2.6629957480254096E-2</c:v>
                </c:pt>
                <c:pt idx="704">
                  <c:v>-4.7069077547161164E-2</c:v>
                </c:pt>
                <c:pt idx="705">
                  <c:v>4.9207104657387313E-2</c:v>
                </c:pt>
                <c:pt idx="706">
                  <c:v>-0.17554138131245411</c:v>
                </c:pt>
                <c:pt idx="707">
                  <c:v>-0.13008781615364401</c:v>
                </c:pt>
                <c:pt idx="708">
                  <c:v>-9.1930384497401152E-2</c:v>
                </c:pt>
                <c:pt idx="709">
                  <c:v>-0.12603536635531035</c:v>
                </c:pt>
                <c:pt idx="710">
                  <c:v>1.5381485553314311E-2</c:v>
                </c:pt>
                <c:pt idx="711">
                  <c:v>8.5291040861497081E-3</c:v>
                </c:pt>
                <c:pt idx="712">
                  <c:v>4.0207104657387305E-2</c:v>
                </c:pt>
                <c:pt idx="713">
                  <c:v>9.8999999999999977E-2</c:v>
                </c:pt>
                <c:pt idx="714">
                  <c:v>-4.1069077547161159E-2</c:v>
                </c:pt>
                <c:pt idx="715">
                  <c:v>-3.106907754716115E-2</c:v>
                </c:pt>
                <c:pt idx="716">
                  <c:v>0.10299999999999998</c:v>
                </c:pt>
                <c:pt idx="717">
                  <c:v>9.6823306179156909E-2</c:v>
                </c:pt>
                <c:pt idx="718">
                  <c:v>2.9207104657387295E-2</c:v>
                </c:pt>
                <c:pt idx="719">
                  <c:v>7.7823306179156893E-2</c:v>
                </c:pt>
                <c:pt idx="720">
                  <c:v>3.2440411725848772E-2</c:v>
                </c:pt>
                <c:pt idx="721">
                  <c:v>7.7823306179156893E-2</c:v>
                </c:pt>
                <c:pt idx="722">
                  <c:v>-0.13408781615364401</c:v>
                </c:pt>
                <c:pt idx="723">
                  <c:v>-0.13308781615364401</c:v>
                </c:pt>
                <c:pt idx="724">
                  <c:v>-0.18254138131245412</c:v>
                </c:pt>
                <c:pt idx="725">
                  <c:v>2.2207104657387289E-2</c:v>
                </c:pt>
                <c:pt idx="726">
                  <c:v>-5.6069077547161172E-2</c:v>
                </c:pt>
                <c:pt idx="727">
                  <c:v>0.10299999999999998</c:v>
                </c:pt>
                <c:pt idx="728">
                  <c:v>0.10499999999999998</c:v>
                </c:pt>
                <c:pt idx="729">
                  <c:v>0.10599999999999998</c:v>
                </c:pt>
                <c:pt idx="730">
                  <c:v>0.10399999999999998</c:v>
                </c:pt>
                <c:pt idx="731">
                  <c:v>-3.4069077547161153E-2</c:v>
                </c:pt>
                <c:pt idx="732">
                  <c:v>-7.5840842735680924E-2</c:v>
                </c:pt>
                <c:pt idx="733">
                  <c:v>0.10399999999999998</c:v>
                </c:pt>
                <c:pt idx="734">
                  <c:v>0.10699999999999998</c:v>
                </c:pt>
                <c:pt idx="735">
                  <c:v>0.10399999999999998</c:v>
                </c:pt>
                <c:pt idx="736">
                  <c:v>0.10299999999999998</c:v>
                </c:pt>
                <c:pt idx="737">
                  <c:v>4.9529104086149744E-2</c:v>
                </c:pt>
                <c:pt idx="738">
                  <c:v>9.782116577950184E-2</c:v>
                </c:pt>
                <c:pt idx="739">
                  <c:v>4.5345566836858753E-2</c:v>
                </c:pt>
                <c:pt idx="740">
                  <c:v>-4.4049738607040423E-3</c:v>
                </c:pt>
                <c:pt idx="741">
                  <c:v>-8.7930384497401148E-2</c:v>
                </c:pt>
                <c:pt idx="742">
                  <c:v>-1.7404973860704054E-2</c:v>
                </c:pt>
                <c:pt idx="743">
                  <c:v>1.5381485553314311E-2</c:v>
                </c:pt>
                <c:pt idx="744">
                  <c:v>-4.5629957480254113E-2</c:v>
                </c:pt>
                <c:pt idx="745">
                  <c:v>3.4207104657387299E-2</c:v>
                </c:pt>
                <c:pt idx="746">
                  <c:v>-3.4629957480254103E-2</c:v>
                </c:pt>
                <c:pt idx="747">
                  <c:v>-4.5069077547161163E-2</c:v>
                </c:pt>
                <c:pt idx="748">
                  <c:v>-2.7629957480254097E-2</c:v>
                </c:pt>
                <c:pt idx="749">
                  <c:v>-7.9840842735680928E-2</c:v>
                </c:pt>
                <c:pt idx="750">
                  <c:v>-4.3069077547161161E-2</c:v>
                </c:pt>
                <c:pt idx="751">
                  <c:v>-6.3840842735680914E-2</c:v>
                </c:pt>
                <c:pt idx="752">
                  <c:v>-6.5840842735680916E-2</c:v>
                </c:pt>
                <c:pt idx="753">
                  <c:v>4.9529104086149744E-2</c:v>
                </c:pt>
                <c:pt idx="754">
                  <c:v>-4.1069077547161159E-2</c:v>
                </c:pt>
                <c:pt idx="755">
                  <c:v>-3.5069077547161154E-2</c:v>
                </c:pt>
                <c:pt idx="756">
                  <c:v>-7.5840842735680924E-2</c:v>
                </c:pt>
                <c:pt idx="757">
                  <c:v>-3.7069077547161156E-2</c:v>
                </c:pt>
                <c:pt idx="758">
                  <c:v>-6.9840842735680919E-2</c:v>
                </c:pt>
                <c:pt idx="759">
                  <c:v>0.10299999999999998</c:v>
                </c:pt>
                <c:pt idx="760">
                  <c:v>0.10599999999999998</c:v>
                </c:pt>
                <c:pt idx="761">
                  <c:v>0.10699999999999998</c:v>
                </c:pt>
                <c:pt idx="762">
                  <c:v>0.10699999999999998</c:v>
                </c:pt>
                <c:pt idx="763">
                  <c:v>-1.5629957480254086E-2</c:v>
                </c:pt>
                <c:pt idx="764">
                  <c:v>0.10299999999999998</c:v>
                </c:pt>
                <c:pt idx="765">
                  <c:v>0.10199999999999998</c:v>
                </c:pt>
                <c:pt idx="766">
                  <c:v>-6.5840842735680916E-2</c:v>
                </c:pt>
                <c:pt idx="767">
                  <c:v>0.10299999999999998</c:v>
                </c:pt>
                <c:pt idx="768">
                  <c:v>0.10299999999999998</c:v>
                </c:pt>
                <c:pt idx="769">
                  <c:v>-7.2840842735680922E-2</c:v>
                </c:pt>
                <c:pt idx="770">
                  <c:v>0.10399999999999998</c:v>
                </c:pt>
                <c:pt idx="771">
                  <c:v>-6.3840842735680914E-2</c:v>
                </c:pt>
                <c:pt idx="772">
                  <c:v>0.10399999999999998</c:v>
                </c:pt>
                <c:pt idx="773">
                  <c:v>0.10399999999999998</c:v>
                </c:pt>
                <c:pt idx="774">
                  <c:v>-7.3840842735680923E-2</c:v>
                </c:pt>
                <c:pt idx="775">
                  <c:v>-7.2840842735680922E-2</c:v>
                </c:pt>
                <c:pt idx="776">
                  <c:v>-6.7840842735680917E-2</c:v>
                </c:pt>
                <c:pt idx="777">
                  <c:v>-2.4629957480254094E-2</c:v>
                </c:pt>
                <c:pt idx="778">
                  <c:v>-2.5629957480254095E-2</c:v>
                </c:pt>
                <c:pt idx="779">
                  <c:v>-7.2840842735680922E-2</c:v>
                </c:pt>
                <c:pt idx="780">
                  <c:v>-7.3840842735680923E-2</c:v>
                </c:pt>
                <c:pt idx="781">
                  <c:v>0.10599999999999998</c:v>
                </c:pt>
                <c:pt idx="782">
                  <c:v>-7.084084273568092E-2</c:v>
                </c:pt>
                <c:pt idx="783">
                  <c:v>-6.8840842735680918E-2</c:v>
                </c:pt>
                <c:pt idx="784">
                  <c:v>0.10399999999999998</c:v>
                </c:pt>
                <c:pt idx="785">
                  <c:v>-6.9840842735680919E-2</c:v>
                </c:pt>
                <c:pt idx="786">
                  <c:v>-7.3840842735680923E-2</c:v>
                </c:pt>
                <c:pt idx="787">
                  <c:v>-4.7069077547161164E-2</c:v>
                </c:pt>
                <c:pt idx="788">
                  <c:v>-6.3840842735680914E-2</c:v>
                </c:pt>
                <c:pt idx="789">
                  <c:v>-7.084084273568092E-2</c:v>
                </c:pt>
                <c:pt idx="790">
                  <c:v>0.10499999999999998</c:v>
                </c:pt>
                <c:pt idx="791">
                  <c:v>0.10499999999999998</c:v>
                </c:pt>
                <c:pt idx="792">
                  <c:v>0.10399999999999998</c:v>
                </c:pt>
                <c:pt idx="793">
                  <c:v>0.10499999999999998</c:v>
                </c:pt>
                <c:pt idx="794">
                  <c:v>-2.7069077547161147E-2</c:v>
                </c:pt>
                <c:pt idx="795">
                  <c:v>-7.5840842735680924E-2</c:v>
                </c:pt>
                <c:pt idx="796">
                  <c:v>0.10199999999999998</c:v>
                </c:pt>
                <c:pt idx="797">
                  <c:v>0.10499999999999998</c:v>
                </c:pt>
                <c:pt idx="798">
                  <c:v>0.10499999999999998</c:v>
                </c:pt>
                <c:pt idx="799">
                  <c:v>0.10499999999999998</c:v>
                </c:pt>
                <c:pt idx="800">
                  <c:v>-2.9069077547161148E-2</c:v>
                </c:pt>
                <c:pt idx="801">
                  <c:v>-6.8840842735680918E-2</c:v>
                </c:pt>
                <c:pt idx="802">
                  <c:v>0.10599999999999998</c:v>
                </c:pt>
                <c:pt idx="803">
                  <c:v>-2.3629957480254093E-2</c:v>
                </c:pt>
                <c:pt idx="804">
                  <c:v>-7.084084273568092E-2</c:v>
                </c:pt>
                <c:pt idx="805">
                  <c:v>0.10299999999999998</c:v>
                </c:pt>
                <c:pt idx="806">
                  <c:v>-3.5069077547161154E-2</c:v>
                </c:pt>
                <c:pt idx="807">
                  <c:v>-3.9069077547161157E-2</c:v>
                </c:pt>
                <c:pt idx="808">
                  <c:v>-8.3840842735680932E-2</c:v>
                </c:pt>
                <c:pt idx="809">
                  <c:v>9.6823306179156909E-2</c:v>
                </c:pt>
                <c:pt idx="810">
                  <c:v>-5.306907754716117E-2</c:v>
                </c:pt>
                <c:pt idx="811">
                  <c:v>-5.0069077547161167E-2</c:v>
                </c:pt>
                <c:pt idx="812">
                  <c:v>-4.206907754716116E-2</c:v>
                </c:pt>
                <c:pt idx="813">
                  <c:v>-7.1840842735680921E-2</c:v>
                </c:pt>
                <c:pt idx="814">
                  <c:v>-3.1629957480254101E-2</c:v>
                </c:pt>
                <c:pt idx="815">
                  <c:v>-3.6069077547161155E-2</c:v>
                </c:pt>
                <c:pt idx="816">
                  <c:v>4.7529104086149743E-2</c:v>
                </c:pt>
                <c:pt idx="817">
                  <c:v>-2.9629957480254099E-2</c:v>
                </c:pt>
                <c:pt idx="818">
                  <c:v>-0.17154138131245411</c:v>
                </c:pt>
                <c:pt idx="819">
                  <c:v>-2.9629957480254099E-2</c:v>
                </c:pt>
                <c:pt idx="820">
                  <c:v>-7.5840842735680924E-2</c:v>
                </c:pt>
                <c:pt idx="821">
                  <c:v>0.10199999999999998</c:v>
                </c:pt>
                <c:pt idx="822">
                  <c:v>0.10599999999999998</c:v>
                </c:pt>
                <c:pt idx="823">
                  <c:v>0.10599999999999998</c:v>
                </c:pt>
                <c:pt idx="824">
                  <c:v>0.10599999999999998</c:v>
                </c:pt>
                <c:pt idx="825">
                  <c:v>0.10399999999999998</c:v>
                </c:pt>
                <c:pt idx="826">
                  <c:v>-3.6069077547161155E-2</c:v>
                </c:pt>
                <c:pt idx="827">
                  <c:v>-6.6840842735680916E-2</c:v>
                </c:pt>
                <c:pt idx="828">
                  <c:v>-4.0069077547161158E-2</c:v>
                </c:pt>
                <c:pt idx="829">
                  <c:v>-2.7629957480254097E-2</c:v>
                </c:pt>
                <c:pt idx="830">
                  <c:v>0.10099999999999998</c:v>
                </c:pt>
                <c:pt idx="831">
                  <c:v>0.10399999999999998</c:v>
                </c:pt>
                <c:pt idx="832">
                  <c:v>0.10399999999999998</c:v>
                </c:pt>
                <c:pt idx="833">
                  <c:v>0.10499999999999998</c:v>
                </c:pt>
                <c:pt idx="834">
                  <c:v>0.10499999999999998</c:v>
                </c:pt>
                <c:pt idx="835">
                  <c:v>-3.6069077547161155E-2</c:v>
                </c:pt>
                <c:pt idx="836">
                  <c:v>-6.2840842735680913E-2</c:v>
                </c:pt>
                <c:pt idx="837">
                  <c:v>-1.7629957480254088E-2</c:v>
                </c:pt>
                <c:pt idx="838">
                  <c:v>-0.15854138131245421</c:v>
                </c:pt>
                <c:pt idx="839">
                  <c:v>4.6529104086149742E-2</c:v>
                </c:pt>
                <c:pt idx="840">
                  <c:v>3.5529104086149732E-2</c:v>
                </c:pt>
                <c:pt idx="841">
                  <c:v>-0.16354138131245421</c:v>
                </c:pt>
                <c:pt idx="842">
                  <c:v>-2.7629957480254097E-2</c:v>
                </c:pt>
                <c:pt idx="843">
                  <c:v>4.7529104086149743E-2</c:v>
                </c:pt>
                <c:pt idx="844">
                  <c:v>9.7999999999999976E-2</c:v>
                </c:pt>
                <c:pt idx="845">
                  <c:v>-2.1069077547161141E-2</c:v>
                </c:pt>
                <c:pt idx="846">
                  <c:v>0.10399999999999998</c:v>
                </c:pt>
                <c:pt idx="847">
                  <c:v>-7.084084273568092E-2</c:v>
                </c:pt>
                <c:pt idx="848">
                  <c:v>-7.1840842735680921E-2</c:v>
                </c:pt>
                <c:pt idx="849">
                  <c:v>-6.4840842735680915E-2</c:v>
                </c:pt>
                <c:pt idx="850">
                  <c:v>0.10399999999999998</c:v>
                </c:pt>
                <c:pt idx="851">
                  <c:v>0.10499999999999998</c:v>
                </c:pt>
                <c:pt idx="852">
                  <c:v>0.10499999999999998</c:v>
                </c:pt>
                <c:pt idx="853">
                  <c:v>0.10499999999999998</c:v>
                </c:pt>
                <c:pt idx="854">
                  <c:v>0.10599999999999998</c:v>
                </c:pt>
                <c:pt idx="855">
                  <c:v>-6.3840842735680914E-2</c:v>
                </c:pt>
                <c:pt idx="856">
                  <c:v>0.10399999999999998</c:v>
                </c:pt>
                <c:pt idx="857">
                  <c:v>-3.9069077547161157E-2</c:v>
                </c:pt>
                <c:pt idx="858">
                  <c:v>-2.3629957480254093E-2</c:v>
                </c:pt>
                <c:pt idx="859">
                  <c:v>-2.3629957480254093E-2</c:v>
                </c:pt>
                <c:pt idx="860">
                  <c:v>4.8207104657387312E-2</c:v>
                </c:pt>
                <c:pt idx="861">
                  <c:v>3.6207104657387301E-2</c:v>
                </c:pt>
                <c:pt idx="862">
                  <c:v>4.0529104086149736E-2</c:v>
                </c:pt>
                <c:pt idx="863">
                  <c:v>3.9207104657387304E-2</c:v>
                </c:pt>
                <c:pt idx="864">
                  <c:v>-3.5069077547161154E-2</c:v>
                </c:pt>
                <c:pt idx="865">
                  <c:v>0.10299999999999998</c:v>
                </c:pt>
                <c:pt idx="866">
                  <c:v>0.10599999999999998</c:v>
                </c:pt>
                <c:pt idx="867">
                  <c:v>0.10499999999999998</c:v>
                </c:pt>
                <c:pt idx="868">
                  <c:v>0.10799999999999998</c:v>
                </c:pt>
                <c:pt idx="869">
                  <c:v>-6.9840842735680919E-2</c:v>
                </c:pt>
                <c:pt idx="870">
                  <c:v>-6.5840842735680916E-2</c:v>
                </c:pt>
                <c:pt idx="871">
                  <c:v>-6.1840842735680912E-2</c:v>
                </c:pt>
                <c:pt idx="872">
                  <c:v>-3.3069077547161152E-2</c:v>
                </c:pt>
                <c:pt idx="873">
                  <c:v>0.10199999999999998</c:v>
                </c:pt>
                <c:pt idx="874">
                  <c:v>-7.2840842735680922E-2</c:v>
                </c:pt>
                <c:pt idx="875">
                  <c:v>-6.5840842735680916E-2</c:v>
                </c:pt>
                <c:pt idx="876">
                  <c:v>0.10299999999999998</c:v>
                </c:pt>
                <c:pt idx="877">
                  <c:v>-3.4069077547161153E-2</c:v>
                </c:pt>
                <c:pt idx="878">
                  <c:v>-6.9840842735680919E-2</c:v>
                </c:pt>
                <c:pt idx="879">
                  <c:v>-7.6840842735680925E-2</c:v>
                </c:pt>
                <c:pt idx="880">
                  <c:v>-8.3840842735680932E-2</c:v>
                </c:pt>
                <c:pt idx="881">
                  <c:v>-3.9069077547161157E-2</c:v>
                </c:pt>
                <c:pt idx="882">
                  <c:v>-4.1069077547161159E-2</c:v>
                </c:pt>
                <c:pt idx="883">
                  <c:v>-6.8840842735680918E-2</c:v>
                </c:pt>
                <c:pt idx="884">
                  <c:v>-6.9840842735680919E-2</c:v>
                </c:pt>
                <c:pt idx="885">
                  <c:v>-5.984084273568091E-2</c:v>
                </c:pt>
                <c:pt idx="886">
                  <c:v>-6.7840842735680917E-2</c:v>
                </c:pt>
                <c:pt idx="887">
                  <c:v>0.10299999999999998</c:v>
                </c:pt>
                <c:pt idx="888">
                  <c:v>0.10499999999999998</c:v>
                </c:pt>
                <c:pt idx="889">
                  <c:v>0.10699999999999998</c:v>
                </c:pt>
                <c:pt idx="890">
                  <c:v>0.10799999999999998</c:v>
                </c:pt>
                <c:pt idx="891">
                  <c:v>0.10799999999999998</c:v>
                </c:pt>
                <c:pt idx="892">
                  <c:v>-3.4069077547161153E-2</c:v>
                </c:pt>
                <c:pt idx="893">
                  <c:v>-0.15854138131245421</c:v>
                </c:pt>
                <c:pt idx="894">
                  <c:v>-3.7629957480254106E-2</c:v>
                </c:pt>
                <c:pt idx="895">
                  <c:v>-0.17754138131245412</c:v>
                </c:pt>
                <c:pt idx="896">
                  <c:v>-0.17254138131245411</c:v>
                </c:pt>
                <c:pt idx="897">
                  <c:v>-4.5069077547161163E-2</c:v>
                </c:pt>
                <c:pt idx="898">
                  <c:v>3.6529104086149733E-2</c:v>
                </c:pt>
                <c:pt idx="899">
                  <c:v>-3.6069077547161155E-2</c:v>
                </c:pt>
                <c:pt idx="900">
                  <c:v>4.0529104086149736E-2</c:v>
                </c:pt>
                <c:pt idx="901">
                  <c:v>3.8529104086149735E-2</c:v>
                </c:pt>
                <c:pt idx="902">
                  <c:v>-0.16954138131245411</c:v>
                </c:pt>
                <c:pt idx="903">
                  <c:v>9.3821165779501836E-2</c:v>
                </c:pt>
                <c:pt idx="904">
                  <c:v>-0.16854138131245411</c:v>
                </c:pt>
                <c:pt idx="905">
                  <c:v>0.24729568542687008</c:v>
                </c:pt>
                <c:pt idx="906">
                  <c:v>-4.6629957480254114E-2</c:v>
                </c:pt>
                <c:pt idx="907">
                  <c:v>3.3345566836858853E-2</c:v>
                </c:pt>
                <c:pt idx="908">
                  <c:v>1.7345566836858839E-2</c:v>
                </c:pt>
                <c:pt idx="909">
                  <c:v>2.4595026139295928E-2</c:v>
                </c:pt>
                <c:pt idx="910">
                  <c:v>1.4595026139295975E-2</c:v>
                </c:pt>
                <c:pt idx="911">
                  <c:v>-5.8930384497401178E-2</c:v>
                </c:pt>
                <c:pt idx="912">
                  <c:v>0.23529568542687007</c:v>
                </c:pt>
                <c:pt idx="913">
                  <c:v>7.2821165779501817E-2</c:v>
                </c:pt>
                <c:pt idx="914">
                  <c:v>8.8821165779501832E-2</c:v>
                </c:pt>
                <c:pt idx="915">
                  <c:v>-0.18254138131245412</c:v>
                </c:pt>
                <c:pt idx="916">
                  <c:v>0.11780237642474889</c:v>
                </c:pt>
                <c:pt idx="917">
                  <c:v>7.3821165779501818E-2</c:v>
                </c:pt>
                <c:pt idx="918">
                  <c:v>2.1381485553314317E-2</c:v>
                </c:pt>
                <c:pt idx="919">
                  <c:v>-0.17454138131245411</c:v>
                </c:pt>
                <c:pt idx="920">
                  <c:v>3.4345566836858854E-2</c:v>
                </c:pt>
                <c:pt idx="921">
                  <c:v>4.6345566836858754E-2</c:v>
                </c:pt>
                <c:pt idx="922">
                  <c:v>-2.9629957480254099E-2</c:v>
                </c:pt>
                <c:pt idx="923">
                  <c:v>-4.6069077547161164E-2</c:v>
                </c:pt>
                <c:pt idx="924">
                  <c:v>8.3821165779501827E-2</c:v>
                </c:pt>
                <c:pt idx="925">
                  <c:v>-2.9629957480254099E-2</c:v>
                </c:pt>
                <c:pt idx="926">
                  <c:v>9.3821165779501836E-2</c:v>
                </c:pt>
                <c:pt idx="927">
                  <c:v>3.7345566836858857E-2</c:v>
                </c:pt>
                <c:pt idx="928">
                  <c:v>-0.18054138131245412</c:v>
                </c:pt>
                <c:pt idx="929">
                  <c:v>2.0207104657387287E-2</c:v>
                </c:pt>
                <c:pt idx="930">
                  <c:v>2.7207104657387293E-2</c:v>
                </c:pt>
                <c:pt idx="931">
                  <c:v>2.7207104657387293E-2</c:v>
                </c:pt>
                <c:pt idx="932">
                  <c:v>-6.9840842735680919E-2</c:v>
                </c:pt>
                <c:pt idx="933">
                  <c:v>5.2529104086149747E-2</c:v>
                </c:pt>
                <c:pt idx="934">
                  <c:v>-6.2840842735680913E-2</c:v>
                </c:pt>
                <c:pt idx="935">
                  <c:v>-3.9069077547161157E-2</c:v>
                </c:pt>
                <c:pt idx="936">
                  <c:v>-3.0069077547161149E-2</c:v>
                </c:pt>
                <c:pt idx="937">
                  <c:v>-5.8840842735680909E-2</c:v>
                </c:pt>
                <c:pt idx="938">
                  <c:v>-5.5840842735680907E-2</c:v>
                </c:pt>
                <c:pt idx="939">
                  <c:v>-6.3840842735680914E-2</c:v>
                </c:pt>
                <c:pt idx="940">
                  <c:v>0.10699999999999998</c:v>
                </c:pt>
                <c:pt idx="941">
                  <c:v>0.10799999999999998</c:v>
                </c:pt>
                <c:pt idx="942">
                  <c:v>0.10699999999999998</c:v>
                </c:pt>
                <c:pt idx="943">
                  <c:v>0.10699999999999998</c:v>
                </c:pt>
                <c:pt idx="944">
                  <c:v>-2.5069077547161145E-2</c:v>
                </c:pt>
                <c:pt idx="945">
                  <c:v>0.10599999999999998</c:v>
                </c:pt>
                <c:pt idx="946">
                  <c:v>-3.4069077547161153E-2</c:v>
                </c:pt>
                <c:pt idx="947">
                  <c:v>-2.9629957480254099E-2</c:v>
                </c:pt>
                <c:pt idx="948">
                  <c:v>-6.8840842735680918E-2</c:v>
                </c:pt>
                <c:pt idx="949">
                  <c:v>0.10582116577950185</c:v>
                </c:pt>
                <c:pt idx="950">
                  <c:v>3.9529104086149736E-2</c:v>
                </c:pt>
                <c:pt idx="951">
                  <c:v>-0.17354138131245411</c:v>
                </c:pt>
                <c:pt idx="952">
                  <c:v>4.3529104086149739E-2</c:v>
                </c:pt>
                <c:pt idx="953">
                  <c:v>-0.17654138131245412</c:v>
                </c:pt>
                <c:pt idx="954">
                  <c:v>3.1529104086149728E-2</c:v>
                </c:pt>
                <c:pt idx="955">
                  <c:v>4.1529104086149737E-2</c:v>
                </c:pt>
                <c:pt idx="956">
                  <c:v>-4.0629957480254109E-2</c:v>
                </c:pt>
                <c:pt idx="957">
                  <c:v>-4.1069077547161159E-2</c:v>
                </c:pt>
                <c:pt idx="958">
                  <c:v>-3.2069077547161151E-2</c:v>
                </c:pt>
                <c:pt idx="959">
                  <c:v>-1.8629957480254089E-2</c:v>
                </c:pt>
                <c:pt idx="960">
                  <c:v>0.10299999999999998</c:v>
                </c:pt>
                <c:pt idx="961">
                  <c:v>-3.6069077547161155E-2</c:v>
                </c:pt>
                <c:pt idx="962">
                  <c:v>0.10599999999999998</c:v>
                </c:pt>
                <c:pt idx="963">
                  <c:v>-6.9840842735680919E-2</c:v>
                </c:pt>
                <c:pt idx="964">
                  <c:v>-2.8069077547161148E-2</c:v>
                </c:pt>
                <c:pt idx="965">
                  <c:v>-6.7840842735680917E-2</c:v>
                </c:pt>
                <c:pt idx="966">
                  <c:v>0.10599999999999998</c:v>
                </c:pt>
                <c:pt idx="967">
                  <c:v>-2.8069077547161148E-2</c:v>
                </c:pt>
                <c:pt idx="968">
                  <c:v>-5.7840842735680909E-2</c:v>
                </c:pt>
                <c:pt idx="969">
                  <c:v>-3.8069077547161156E-2</c:v>
                </c:pt>
                <c:pt idx="970">
                  <c:v>4.3529104086149739E-2</c:v>
                </c:pt>
                <c:pt idx="971">
                  <c:v>0.10299999999999998</c:v>
                </c:pt>
                <c:pt idx="972">
                  <c:v>-3.7069077547161156E-2</c:v>
                </c:pt>
                <c:pt idx="973">
                  <c:v>0.14015915726431905</c:v>
                </c:pt>
                <c:pt idx="974">
                  <c:v>-5.984084273568091E-2</c:v>
                </c:pt>
                <c:pt idx="975">
                  <c:v>-6.2840842735680913E-2</c:v>
                </c:pt>
                <c:pt idx="976">
                  <c:v>-6.4840842735680915E-2</c:v>
                </c:pt>
                <c:pt idx="977">
                  <c:v>-6.0840842735680911E-2</c:v>
                </c:pt>
                <c:pt idx="978">
                  <c:v>0.10599999999999998</c:v>
                </c:pt>
                <c:pt idx="979">
                  <c:v>0.10699999999999998</c:v>
                </c:pt>
                <c:pt idx="980">
                  <c:v>0.10699999999999998</c:v>
                </c:pt>
                <c:pt idx="981">
                  <c:v>0.10599999999999998</c:v>
                </c:pt>
                <c:pt idx="982">
                  <c:v>-6.5840842735680916E-2</c:v>
                </c:pt>
                <c:pt idx="983">
                  <c:v>0.10599999999999998</c:v>
                </c:pt>
                <c:pt idx="984">
                  <c:v>0.10699999999999998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2C-40A7-8166-0774B17A2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015856"/>
        <c:axId val="1902336992"/>
      </c:scatterChart>
      <c:valAx>
        <c:axId val="162601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New Active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336992"/>
        <c:crosses val="autoZero"/>
        <c:crossBetween val="midCat"/>
      </c:valAx>
      <c:valAx>
        <c:axId val="190233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015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'Infected NF'!$B$2</c:f>
              <c:strCache>
                <c:ptCount val="1"/>
                <c:pt idx="0">
                  <c:v>Run 1</c:v>
                </c:pt>
              </c:strCache>
            </c:strRef>
          </c:tx>
          <c:spPr>
            <a:ln w="28575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NF'!$B$3:$B$29</c:f>
              <c:numCache>
                <c:formatCode>General</c:formatCode>
                <c:ptCount val="27"/>
                <c:pt idx="0">
                  <c:v>2</c:v>
                </c:pt>
                <c:pt idx="1">
                  <c:v>6</c:v>
                </c:pt>
                <c:pt idx="2">
                  <c:v>9</c:v>
                </c:pt>
                <c:pt idx="3">
                  <c:v>15</c:v>
                </c:pt>
                <c:pt idx="4">
                  <c:v>40</c:v>
                </c:pt>
                <c:pt idx="5">
                  <c:v>78</c:v>
                </c:pt>
                <c:pt idx="6">
                  <c:v>146</c:v>
                </c:pt>
                <c:pt idx="7">
                  <c:v>234</c:v>
                </c:pt>
                <c:pt idx="8">
                  <c:v>389</c:v>
                </c:pt>
                <c:pt idx="9">
                  <c:v>581</c:v>
                </c:pt>
                <c:pt idx="10">
                  <c:v>739</c:v>
                </c:pt>
                <c:pt idx="11">
                  <c:v>814</c:v>
                </c:pt>
                <c:pt idx="12">
                  <c:v>805</c:v>
                </c:pt>
                <c:pt idx="13">
                  <c:v>741</c:v>
                </c:pt>
                <c:pt idx="14">
                  <c:v>595</c:v>
                </c:pt>
                <c:pt idx="15">
                  <c:v>400</c:v>
                </c:pt>
                <c:pt idx="16">
                  <c:v>218</c:v>
                </c:pt>
                <c:pt idx="17">
                  <c:v>105</c:v>
                </c:pt>
                <c:pt idx="18">
                  <c:v>44</c:v>
                </c:pt>
                <c:pt idx="19">
                  <c:v>16</c:v>
                </c:pt>
                <c:pt idx="20">
                  <c:v>4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FC-4A79-A17D-3B8190B94322}"/>
            </c:ext>
          </c:extLst>
        </c:ser>
        <c:ser>
          <c:idx val="1"/>
          <c:order val="1"/>
          <c:tx>
            <c:strRef>
              <c:f>'Infected NF'!$C$2</c:f>
              <c:strCache>
                <c:ptCount val="1"/>
                <c:pt idx="0">
                  <c:v>Run 2</c:v>
                </c:pt>
              </c:strCache>
            </c:strRef>
          </c:tx>
          <c:spPr>
            <a:ln w="28575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NF'!$C$3:$C$29</c:f>
              <c:numCache>
                <c:formatCode>General</c:formatCode>
                <c:ptCount val="2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15</c:v>
                </c:pt>
                <c:pt idx="4">
                  <c:v>24</c:v>
                </c:pt>
                <c:pt idx="5">
                  <c:v>58</c:v>
                </c:pt>
                <c:pt idx="6">
                  <c:v>121</c:v>
                </c:pt>
                <c:pt idx="7">
                  <c:v>212</c:v>
                </c:pt>
                <c:pt idx="8">
                  <c:v>372</c:v>
                </c:pt>
                <c:pt idx="9">
                  <c:v>555</c:v>
                </c:pt>
                <c:pt idx="10">
                  <c:v>732</c:v>
                </c:pt>
                <c:pt idx="11">
                  <c:v>829</c:v>
                </c:pt>
                <c:pt idx="12">
                  <c:v>833</c:v>
                </c:pt>
                <c:pt idx="13">
                  <c:v>764</c:v>
                </c:pt>
                <c:pt idx="14">
                  <c:v>611</c:v>
                </c:pt>
                <c:pt idx="15">
                  <c:v>425</c:v>
                </c:pt>
                <c:pt idx="16">
                  <c:v>240</c:v>
                </c:pt>
                <c:pt idx="17">
                  <c:v>109</c:v>
                </c:pt>
                <c:pt idx="18">
                  <c:v>41</c:v>
                </c:pt>
                <c:pt idx="19">
                  <c:v>17</c:v>
                </c:pt>
                <c:pt idx="20">
                  <c:v>6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FC-4A79-A17D-3B8190B94322}"/>
            </c:ext>
          </c:extLst>
        </c:ser>
        <c:ser>
          <c:idx val="2"/>
          <c:order val="2"/>
          <c:tx>
            <c:strRef>
              <c:f>'Infected NF'!$D$2</c:f>
              <c:strCache>
                <c:ptCount val="1"/>
                <c:pt idx="0">
                  <c:v>Run 3</c:v>
                </c:pt>
              </c:strCache>
            </c:strRef>
          </c:tx>
          <c:spPr>
            <a:ln w="28575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NF'!$D$3:$D$29</c:f>
              <c:numCache>
                <c:formatCode>General</c:formatCode>
                <c:ptCount val="27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12</c:v>
                </c:pt>
                <c:pt idx="4">
                  <c:v>21</c:v>
                </c:pt>
                <c:pt idx="5">
                  <c:v>43</c:v>
                </c:pt>
                <c:pt idx="6">
                  <c:v>73</c:v>
                </c:pt>
                <c:pt idx="7">
                  <c:v>133</c:v>
                </c:pt>
                <c:pt idx="8">
                  <c:v>231</c:v>
                </c:pt>
                <c:pt idx="9">
                  <c:v>390</c:v>
                </c:pt>
                <c:pt idx="10">
                  <c:v>565</c:v>
                </c:pt>
                <c:pt idx="11">
                  <c:v>716</c:v>
                </c:pt>
                <c:pt idx="12">
                  <c:v>804</c:v>
                </c:pt>
                <c:pt idx="13">
                  <c:v>811</c:v>
                </c:pt>
                <c:pt idx="14">
                  <c:v>742</c:v>
                </c:pt>
                <c:pt idx="15">
                  <c:v>585</c:v>
                </c:pt>
                <c:pt idx="16">
                  <c:v>408</c:v>
                </c:pt>
                <c:pt idx="17">
                  <c:v>237</c:v>
                </c:pt>
                <c:pt idx="18">
                  <c:v>117</c:v>
                </c:pt>
                <c:pt idx="19">
                  <c:v>50</c:v>
                </c:pt>
                <c:pt idx="20">
                  <c:v>18</c:v>
                </c:pt>
                <c:pt idx="21">
                  <c:v>11</c:v>
                </c:pt>
                <c:pt idx="22">
                  <c:v>4</c:v>
                </c:pt>
                <c:pt idx="23">
                  <c:v>2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FC-4A79-A17D-3B8190B94322}"/>
            </c:ext>
          </c:extLst>
        </c:ser>
        <c:ser>
          <c:idx val="3"/>
          <c:order val="3"/>
          <c:tx>
            <c:strRef>
              <c:f>'Infected NF'!$E$2</c:f>
              <c:strCache>
                <c:ptCount val="1"/>
                <c:pt idx="0">
                  <c:v>Run 4</c:v>
                </c:pt>
              </c:strCache>
            </c:strRef>
          </c:tx>
          <c:spPr>
            <a:ln w="28575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NF'!$E$3:$E$29</c:f>
              <c:numCache>
                <c:formatCode>General</c:formatCode>
                <c:ptCount val="27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13</c:v>
                </c:pt>
                <c:pt idx="4">
                  <c:v>26</c:v>
                </c:pt>
                <c:pt idx="5">
                  <c:v>42</c:v>
                </c:pt>
                <c:pt idx="6">
                  <c:v>84</c:v>
                </c:pt>
                <c:pt idx="7">
                  <c:v>146</c:v>
                </c:pt>
                <c:pt idx="8">
                  <c:v>265</c:v>
                </c:pt>
                <c:pt idx="9">
                  <c:v>434</c:v>
                </c:pt>
                <c:pt idx="10">
                  <c:v>599</c:v>
                </c:pt>
                <c:pt idx="11">
                  <c:v>748</c:v>
                </c:pt>
                <c:pt idx="12">
                  <c:v>801</c:v>
                </c:pt>
                <c:pt idx="13">
                  <c:v>812</c:v>
                </c:pt>
                <c:pt idx="14">
                  <c:v>706</c:v>
                </c:pt>
                <c:pt idx="15">
                  <c:v>542</c:v>
                </c:pt>
                <c:pt idx="16">
                  <c:v>367</c:v>
                </c:pt>
                <c:pt idx="17">
                  <c:v>203</c:v>
                </c:pt>
                <c:pt idx="18">
                  <c:v>106</c:v>
                </c:pt>
                <c:pt idx="19">
                  <c:v>33</c:v>
                </c:pt>
                <c:pt idx="20">
                  <c:v>16</c:v>
                </c:pt>
                <c:pt idx="21">
                  <c:v>4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FC-4A79-A17D-3B8190B94322}"/>
            </c:ext>
          </c:extLst>
        </c:ser>
        <c:ser>
          <c:idx val="4"/>
          <c:order val="4"/>
          <c:tx>
            <c:strRef>
              <c:f>'Infected NF'!$F$2</c:f>
              <c:strCache>
                <c:ptCount val="1"/>
                <c:pt idx="0">
                  <c:v>Run 5</c:v>
                </c:pt>
              </c:strCache>
            </c:strRef>
          </c:tx>
          <c:spPr>
            <a:ln w="28575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NF'!$F$3:$F$29</c:f>
              <c:numCache>
                <c:formatCode>General</c:formatCode>
                <c:ptCount val="27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15</c:v>
                </c:pt>
                <c:pt idx="4">
                  <c:v>33</c:v>
                </c:pt>
                <c:pt idx="5">
                  <c:v>60</c:v>
                </c:pt>
                <c:pt idx="6">
                  <c:v>121</c:v>
                </c:pt>
                <c:pt idx="7">
                  <c:v>210</c:v>
                </c:pt>
                <c:pt idx="8">
                  <c:v>363</c:v>
                </c:pt>
                <c:pt idx="9">
                  <c:v>531</c:v>
                </c:pt>
                <c:pt idx="10">
                  <c:v>702</c:v>
                </c:pt>
                <c:pt idx="11">
                  <c:v>815</c:v>
                </c:pt>
                <c:pt idx="12">
                  <c:v>824</c:v>
                </c:pt>
                <c:pt idx="13">
                  <c:v>760</c:v>
                </c:pt>
                <c:pt idx="14">
                  <c:v>617</c:v>
                </c:pt>
                <c:pt idx="15">
                  <c:v>446</c:v>
                </c:pt>
                <c:pt idx="16">
                  <c:v>262</c:v>
                </c:pt>
                <c:pt idx="17">
                  <c:v>123</c:v>
                </c:pt>
                <c:pt idx="18">
                  <c:v>51</c:v>
                </c:pt>
                <c:pt idx="19">
                  <c:v>24</c:v>
                </c:pt>
                <c:pt idx="20">
                  <c:v>12</c:v>
                </c:pt>
                <c:pt idx="21">
                  <c:v>7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FC-4A79-A17D-3B8190B94322}"/>
            </c:ext>
          </c:extLst>
        </c:ser>
        <c:ser>
          <c:idx val="5"/>
          <c:order val="5"/>
          <c:tx>
            <c:strRef>
              <c:f>'Infected NF'!$G$2</c:f>
              <c:strCache>
                <c:ptCount val="1"/>
                <c:pt idx="0">
                  <c:v>Run 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'Infected NF'!$G$3:$G$29</c:f>
              <c:numCache>
                <c:formatCode>General</c:formatCode>
                <c:ptCount val="27"/>
                <c:pt idx="0">
                  <c:v>2</c:v>
                </c:pt>
                <c:pt idx="1">
                  <c:v>7</c:v>
                </c:pt>
                <c:pt idx="2">
                  <c:v>13</c:v>
                </c:pt>
                <c:pt idx="3">
                  <c:v>25</c:v>
                </c:pt>
                <c:pt idx="4">
                  <c:v>47</c:v>
                </c:pt>
                <c:pt idx="5">
                  <c:v>92</c:v>
                </c:pt>
                <c:pt idx="6">
                  <c:v>166</c:v>
                </c:pt>
                <c:pt idx="7">
                  <c:v>293</c:v>
                </c:pt>
                <c:pt idx="8">
                  <c:v>449</c:v>
                </c:pt>
                <c:pt idx="9">
                  <c:v>615</c:v>
                </c:pt>
                <c:pt idx="10">
                  <c:v>757</c:v>
                </c:pt>
                <c:pt idx="11">
                  <c:v>825</c:v>
                </c:pt>
                <c:pt idx="12">
                  <c:v>802</c:v>
                </c:pt>
                <c:pt idx="13">
                  <c:v>688</c:v>
                </c:pt>
                <c:pt idx="14">
                  <c:v>531</c:v>
                </c:pt>
                <c:pt idx="15">
                  <c:v>355</c:v>
                </c:pt>
                <c:pt idx="16">
                  <c:v>193</c:v>
                </c:pt>
                <c:pt idx="17">
                  <c:v>81</c:v>
                </c:pt>
                <c:pt idx="18">
                  <c:v>28</c:v>
                </c:pt>
                <c:pt idx="19">
                  <c:v>10</c:v>
                </c:pt>
                <c:pt idx="20">
                  <c:v>5</c:v>
                </c:pt>
                <c:pt idx="21">
                  <c:v>3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FC-4A79-A17D-3B8190B94322}"/>
            </c:ext>
          </c:extLst>
        </c:ser>
        <c:ser>
          <c:idx val="6"/>
          <c:order val="6"/>
          <c:tx>
            <c:strRef>
              <c:f>'Infected NF'!$H$2</c:f>
              <c:strCache>
                <c:ptCount val="1"/>
                <c:pt idx="0">
                  <c:v>Run 7</c:v>
                </c:pt>
              </c:strCache>
            </c:strRef>
          </c:tx>
          <c:spPr>
            <a:ln w="28575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NF'!$H$3:$H$29</c:f>
              <c:numCache>
                <c:formatCode>General</c:formatCode>
                <c:ptCount val="27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14</c:v>
                </c:pt>
                <c:pt idx="4">
                  <c:v>27</c:v>
                </c:pt>
                <c:pt idx="5">
                  <c:v>52</c:v>
                </c:pt>
                <c:pt idx="6">
                  <c:v>87</c:v>
                </c:pt>
                <c:pt idx="7">
                  <c:v>160</c:v>
                </c:pt>
                <c:pt idx="8">
                  <c:v>275</c:v>
                </c:pt>
                <c:pt idx="9">
                  <c:v>443</c:v>
                </c:pt>
                <c:pt idx="10">
                  <c:v>625</c:v>
                </c:pt>
                <c:pt idx="11">
                  <c:v>757</c:v>
                </c:pt>
                <c:pt idx="12">
                  <c:v>821</c:v>
                </c:pt>
                <c:pt idx="13">
                  <c:v>790</c:v>
                </c:pt>
                <c:pt idx="14">
                  <c:v>702</c:v>
                </c:pt>
                <c:pt idx="15">
                  <c:v>535</c:v>
                </c:pt>
                <c:pt idx="16">
                  <c:v>342</c:v>
                </c:pt>
                <c:pt idx="17">
                  <c:v>189</c:v>
                </c:pt>
                <c:pt idx="18">
                  <c:v>88</c:v>
                </c:pt>
                <c:pt idx="19">
                  <c:v>47</c:v>
                </c:pt>
                <c:pt idx="20">
                  <c:v>16</c:v>
                </c:pt>
                <c:pt idx="21">
                  <c:v>7</c:v>
                </c:pt>
                <c:pt idx="22">
                  <c:v>5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6FC-4A79-A17D-3B8190B94322}"/>
            </c:ext>
          </c:extLst>
        </c:ser>
        <c:ser>
          <c:idx val="7"/>
          <c:order val="7"/>
          <c:tx>
            <c:strRef>
              <c:f>'Infected NF'!$I$2</c:f>
              <c:strCache>
                <c:ptCount val="1"/>
                <c:pt idx="0">
                  <c:v>Run 8</c:v>
                </c:pt>
              </c:strCache>
            </c:strRef>
          </c:tx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NF'!$I$3:$I$29</c:f>
              <c:numCache>
                <c:formatCode>General</c:formatCode>
                <c:ptCount val="2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12</c:v>
                </c:pt>
                <c:pt idx="4">
                  <c:v>24</c:v>
                </c:pt>
                <c:pt idx="5">
                  <c:v>38</c:v>
                </c:pt>
                <c:pt idx="6">
                  <c:v>80</c:v>
                </c:pt>
                <c:pt idx="7">
                  <c:v>137</c:v>
                </c:pt>
                <c:pt idx="8">
                  <c:v>235</c:v>
                </c:pt>
                <c:pt idx="9">
                  <c:v>384</c:v>
                </c:pt>
                <c:pt idx="10">
                  <c:v>556</c:v>
                </c:pt>
                <c:pt idx="11">
                  <c:v>720</c:v>
                </c:pt>
                <c:pt idx="12">
                  <c:v>810</c:v>
                </c:pt>
                <c:pt idx="13">
                  <c:v>802</c:v>
                </c:pt>
                <c:pt idx="14">
                  <c:v>740</c:v>
                </c:pt>
                <c:pt idx="15">
                  <c:v>594</c:v>
                </c:pt>
                <c:pt idx="16">
                  <c:v>411</c:v>
                </c:pt>
                <c:pt idx="17">
                  <c:v>238</c:v>
                </c:pt>
                <c:pt idx="18">
                  <c:v>104</c:v>
                </c:pt>
                <c:pt idx="19">
                  <c:v>54</c:v>
                </c:pt>
                <c:pt idx="20">
                  <c:v>16</c:v>
                </c:pt>
                <c:pt idx="21">
                  <c:v>7</c:v>
                </c:pt>
                <c:pt idx="22">
                  <c:v>6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FC-4A79-A17D-3B8190B94322}"/>
            </c:ext>
          </c:extLst>
        </c:ser>
        <c:ser>
          <c:idx val="8"/>
          <c:order val="8"/>
          <c:tx>
            <c:strRef>
              <c:f>'Infected NF'!$J$2</c:f>
              <c:strCache>
                <c:ptCount val="1"/>
                <c:pt idx="0">
                  <c:v>Run 9</c:v>
                </c:pt>
              </c:strCache>
            </c:strRef>
          </c:tx>
          <c:spPr>
            <a:ln w="28575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NF'!$J$3:$J$29</c:f>
              <c:numCache>
                <c:formatCode>General</c:formatCode>
                <c:ptCount val="2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10</c:v>
                </c:pt>
                <c:pt idx="4">
                  <c:v>17</c:v>
                </c:pt>
                <c:pt idx="5">
                  <c:v>30</c:v>
                </c:pt>
                <c:pt idx="6">
                  <c:v>60</c:v>
                </c:pt>
                <c:pt idx="7">
                  <c:v>110</c:v>
                </c:pt>
                <c:pt idx="8">
                  <c:v>185</c:v>
                </c:pt>
                <c:pt idx="9">
                  <c:v>318</c:v>
                </c:pt>
                <c:pt idx="10">
                  <c:v>489</c:v>
                </c:pt>
                <c:pt idx="11">
                  <c:v>670</c:v>
                </c:pt>
                <c:pt idx="12">
                  <c:v>784</c:v>
                </c:pt>
                <c:pt idx="13">
                  <c:v>826</c:v>
                </c:pt>
                <c:pt idx="14">
                  <c:v>788</c:v>
                </c:pt>
                <c:pt idx="15">
                  <c:v>665</c:v>
                </c:pt>
                <c:pt idx="16">
                  <c:v>490</c:v>
                </c:pt>
                <c:pt idx="17">
                  <c:v>298</c:v>
                </c:pt>
                <c:pt idx="18">
                  <c:v>154</c:v>
                </c:pt>
                <c:pt idx="19">
                  <c:v>61</c:v>
                </c:pt>
                <c:pt idx="20">
                  <c:v>23</c:v>
                </c:pt>
                <c:pt idx="21">
                  <c:v>7</c:v>
                </c:pt>
                <c:pt idx="22">
                  <c:v>4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6FC-4A79-A17D-3B8190B94322}"/>
            </c:ext>
          </c:extLst>
        </c:ser>
        <c:ser>
          <c:idx val="9"/>
          <c:order val="9"/>
          <c:tx>
            <c:strRef>
              <c:f>'Infected NF'!$K$2</c:f>
              <c:strCache>
                <c:ptCount val="1"/>
                <c:pt idx="0">
                  <c:v>Run 10</c:v>
                </c:pt>
              </c:strCache>
            </c:strRef>
          </c:tx>
          <c:spPr>
            <a:ln w="28575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NF'!$K$3:$K$29</c:f>
              <c:numCache>
                <c:formatCode>General</c:formatCode>
                <c:ptCount val="27"/>
                <c:pt idx="0">
                  <c:v>2</c:v>
                </c:pt>
                <c:pt idx="1">
                  <c:v>5</c:v>
                </c:pt>
                <c:pt idx="2">
                  <c:v>12</c:v>
                </c:pt>
                <c:pt idx="3">
                  <c:v>19</c:v>
                </c:pt>
                <c:pt idx="4">
                  <c:v>44</c:v>
                </c:pt>
                <c:pt idx="5">
                  <c:v>83</c:v>
                </c:pt>
                <c:pt idx="6">
                  <c:v>164</c:v>
                </c:pt>
                <c:pt idx="7">
                  <c:v>289</c:v>
                </c:pt>
                <c:pt idx="8">
                  <c:v>448</c:v>
                </c:pt>
                <c:pt idx="9">
                  <c:v>643</c:v>
                </c:pt>
                <c:pt idx="10">
                  <c:v>793</c:v>
                </c:pt>
                <c:pt idx="11">
                  <c:v>856</c:v>
                </c:pt>
                <c:pt idx="12">
                  <c:v>813</c:v>
                </c:pt>
                <c:pt idx="13">
                  <c:v>699</c:v>
                </c:pt>
                <c:pt idx="14">
                  <c:v>536</c:v>
                </c:pt>
                <c:pt idx="15">
                  <c:v>335</c:v>
                </c:pt>
                <c:pt idx="16">
                  <c:v>161</c:v>
                </c:pt>
                <c:pt idx="17">
                  <c:v>59</c:v>
                </c:pt>
                <c:pt idx="18">
                  <c:v>19</c:v>
                </c:pt>
                <c:pt idx="19">
                  <c:v>5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6FC-4A79-A17D-3B8190B94322}"/>
            </c:ext>
          </c:extLst>
        </c:ser>
        <c:ser>
          <c:idx val="10"/>
          <c:order val="10"/>
          <c:tx>
            <c:strRef>
              <c:f>'Infected NF'!$L$2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yVal>
            <c:numRef>
              <c:f>'Infected NF'!$L$3:$L$29</c:f>
              <c:numCache>
                <c:formatCode>General</c:formatCode>
                <c:ptCount val="27"/>
                <c:pt idx="0">
                  <c:v>2</c:v>
                </c:pt>
                <c:pt idx="1">
                  <c:v>4.0999999999999996</c:v>
                </c:pt>
                <c:pt idx="2">
                  <c:v>7.8</c:v>
                </c:pt>
                <c:pt idx="3">
                  <c:v>15</c:v>
                </c:pt>
                <c:pt idx="4">
                  <c:v>30.3</c:v>
                </c:pt>
                <c:pt idx="5">
                  <c:v>57.6</c:v>
                </c:pt>
                <c:pt idx="6">
                  <c:v>110.2</c:v>
                </c:pt>
                <c:pt idx="7">
                  <c:v>192.4</c:v>
                </c:pt>
                <c:pt idx="8">
                  <c:v>321.2</c:v>
                </c:pt>
                <c:pt idx="9">
                  <c:v>489.4</c:v>
                </c:pt>
                <c:pt idx="10">
                  <c:v>655.7</c:v>
                </c:pt>
                <c:pt idx="11">
                  <c:v>775</c:v>
                </c:pt>
                <c:pt idx="12">
                  <c:v>809.7</c:v>
                </c:pt>
                <c:pt idx="13">
                  <c:v>769.3</c:v>
                </c:pt>
                <c:pt idx="14">
                  <c:v>656.8</c:v>
                </c:pt>
                <c:pt idx="15">
                  <c:v>488.2</c:v>
                </c:pt>
                <c:pt idx="16">
                  <c:v>309.2</c:v>
                </c:pt>
                <c:pt idx="17">
                  <c:v>164.2</c:v>
                </c:pt>
                <c:pt idx="18">
                  <c:v>75.2</c:v>
                </c:pt>
                <c:pt idx="19">
                  <c:v>31.7</c:v>
                </c:pt>
                <c:pt idx="20">
                  <c:v>11.8</c:v>
                </c:pt>
                <c:pt idx="21">
                  <c:v>5</c:v>
                </c:pt>
                <c:pt idx="22">
                  <c:v>2.4</c:v>
                </c:pt>
                <c:pt idx="23">
                  <c:v>0.8</c:v>
                </c:pt>
                <c:pt idx="24">
                  <c:v>0.5</c:v>
                </c:pt>
                <c:pt idx="25">
                  <c:v>0.1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6FC-4A79-A17D-3B8190B94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90784"/>
        <c:axId val="1318262624"/>
      </c:scatterChart>
      <c:valAx>
        <c:axId val="107739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62624"/>
        <c:crosses val="autoZero"/>
        <c:crossBetween val="midCat"/>
      </c:valAx>
      <c:valAx>
        <c:axId val="1318262624"/>
        <c:scaling>
          <c:orientation val="minMax"/>
          <c:max val="1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0784"/>
        <c:crosses val="autoZero"/>
        <c:crossBetween val="midCat"/>
        <c:majorUnit val="200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'Infected NF'!$B$2</c:f>
              <c:strCache>
                <c:ptCount val="1"/>
                <c:pt idx="0">
                  <c:v>Run 1</c:v>
                </c:pt>
              </c:strCache>
            </c:strRef>
          </c:tx>
          <c:spPr>
            <a:ln w="19050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NF'!$B$3:$B$29</c:f>
              <c:numCache>
                <c:formatCode>General</c:formatCode>
                <c:ptCount val="27"/>
                <c:pt idx="0">
                  <c:v>2</c:v>
                </c:pt>
                <c:pt idx="1">
                  <c:v>6</c:v>
                </c:pt>
                <c:pt idx="2">
                  <c:v>9</c:v>
                </c:pt>
                <c:pt idx="3">
                  <c:v>15</c:v>
                </c:pt>
                <c:pt idx="4">
                  <c:v>40</c:v>
                </c:pt>
                <c:pt idx="5">
                  <c:v>78</c:v>
                </c:pt>
                <c:pt idx="6">
                  <c:v>146</c:v>
                </c:pt>
                <c:pt idx="7">
                  <c:v>234</c:v>
                </c:pt>
                <c:pt idx="8">
                  <c:v>389</c:v>
                </c:pt>
                <c:pt idx="9">
                  <c:v>581</c:v>
                </c:pt>
                <c:pt idx="10">
                  <c:v>739</c:v>
                </c:pt>
                <c:pt idx="11">
                  <c:v>814</c:v>
                </c:pt>
                <c:pt idx="12">
                  <c:v>805</c:v>
                </c:pt>
                <c:pt idx="13">
                  <c:v>741</c:v>
                </c:pt>
                <c:pt idx="14">
                  <c:v>595</c:v>
                </c:pt>
                <c:pt idx="15">
                  <c:v>400</c:v>
                </c:pt>
                <c:pt idx="16">
                  <c:v>218</c:v>
                </c:pt>
                <c:pt idx="17">
                  <c:v>105</c:v>
                </c:pt>
                <c:pt idx="18">
                  <c:v>44</c:v>
                </c:pt>
                <c:pt idx="19">
                  <c:v>16</c:v>
                </c:pt>
                <c:pt idx="20">
                  <c:v>4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12-4458-B317-C6CA7E8CCDCA}"/>
            </c:ext>
          </c:extLst>
        </c:ser>
        <c:ser>
          <c:idx val="1"/>
          <c:order val="1"/>
          <c:tx>
            <c:strRef>
              <c:f>'Infected NF'!$C$2</c:f>
              <c:strCache>
                <c:ptCount val="1"/>
                <c:pt idx="0">
                  <c:v>Run 2</c:v>
                </c:pt>
              </c:strCache>
            </c:strRef>
          </c:tx>
          <c:spPr>
            <a:ln w="19050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NF'!$C$3:$C$29</c:f>
              <c:numCache>
                <c:formatCode>General</c:formatCode>
                <c:ptCount val="2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15</c:v>
                </c:pt>
                <c:pt idx="4">
                  <c:v>24</c:v>
                </c:pt>
                <c:pt idx="5">
                  <c:v>58</c:v>
                </c:pt>
                <c:pt idx="6">
                  <c:v>121</c:v>
                </c:pt>
                <c:pt idx="7">
                  <c:v>212</c:v>
                </c:pt>
                <c:pt idx="8">
                  <c:v>372</c:v>
                </c:pt>
                <c:pt idx="9">
                  <c:v>555</c:v>
                </c:pt>
                <c:pt idx="10">
                  <c:v>732</c:v>
                </c:pt>
                <c:pt idx="11">
                  <c:v>829</c:v>
                </c:pt>
                <c:pt idx="12">
                  <c:v>833</c:v>
                </c:pt>
                <c:pt idx="13">
                  <c:v>764</c:v>
                </c:pt>
                <c:pt idx="14">
                  <c:v>611</c:v>
                </c:pt>
                <c:pt idx="15">
                  <c:v>425</c:v>
                </c:pt>
                <c:pt idx="16">
                  <c:v>240</c:v>
                </c:pt>
                <c:pt idx="17">
                  <c:v>109</c:v>
                </c:pt>
                <c:pt idx="18">
                  <c:v>41</c:v>
                </c:pt>
                <c:pt idx="19">
                  <c:v>17</c:v>
                </c:pt>
                <c:pt idx="20">
                  <c:v>6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12-4458-B317-C6CA7E8CCDCA}"/>
            </c:ext>
          </c:extLst>
        </c:ser>
        <c:ser>
          <c:idx val="2"/>
          <c:order val="2"/>
          <c:tx>
            <c:strRef>
              <c:f>'Infected NF'!$D$2</c:f>
              <c:strCache>
                <c:ptCount val="1"/>
                <c:pt idx="0">
                  <c:v>Run 3</c:v>
                </c:pt>
              </c:strCache>
            </c:strRef>
          </c:tx>
          <c:spPr>
            <a:ln w="19050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NF'!$D$3:$D$29</c:f>
              <c:numCache>
                <c:formatCode>General</c:formatCode>
                <c:ptCount val="27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12</c:v>
                </c:pt>
                <c:pt idx="4">
                  <c:v>21</c:v>
                </c:pt>
                <c:pt idx="5">
                  <c:v>43</c:v>
                </c:pt>
                <c:pt idx="6">
                  <c:v>73</c:v>
                </c:pt>
                <c:pt idx="7">
                  <c:v>133</c:v>
                </c:pt>
                <c:pt idx="8">
                  <c:v>231</c:v>
                </c:pt>
                <c:pt idx="9">
                  <c:v>390</c:v>
                </c:pt>
                <c:pt idx="10">
                  <c:v>565</c:v>
                </c:pt>
                <c:pt idx="11">
                  <c:v>716</c:v>
                </c:pt>
                <c:pt idx="12">
                  <c:v>804</c:v>
                </c:pt>
                <c:pt idx="13">
                  <c:v>811</c:v>
                </c:pt>
                <c:pt idx="14">
                  <c:v>742</c:v>
                </c:pt>
                <c:pt idx="15">
                  <c:v>585</c:v>
                </c:pt>
                <c:pt idx="16">
                  <c:v>408</c:v>
                </c:pt>
                <c:pt idx="17">
                  <c:v>237</c:v>
                </c:pt>
                <c:pt idx="18">
                  <c:v>117</c:v>
                </c:pt>
                <c:pt idx="19">
                  <c:v>50</c:v>
                </c:pt>
                <c:pt idx="20">
                  <c:v>18</c:v>
                </c:pt>
                <c:pt idx="21">
                  <c:v>11</c:v>
                </c:pt>
                <c:pt idx="22">
                  <c:v>4</c:v>
                </c:pt>
                <c:pt idx="23">
                  <c:v>2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12-4458-B317-C6CA7E8CCDCA}"/>
            </c:ext>
          </c:extLst>
        </c:ser>
        <c:ser>
          <c:idx val="3"/>
          <c:order val="3"/>
          <c:tx>
            <c:strRef>
              <c:f>'Infected NF'!$E$2</c:f>
              <c:strCache>
                <c:ptCount val="1"/>
                <c:pt idx="0">
                  <c:v>Run 4</c:v>
                </c:pt>
              </c:strCache>
            </c:strRef>
          </c:tx>
          <c:spPr>
            <a:ln w="19050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NF'!$E$3:$E$29</c:f>
              <c:numCache>
                <c:formatCode>General</c:formatCode>
                <c:ptCount val="27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13</c:v>
                </c:pt>
                <c:pt idx="4">
                  <c:v>26</c:v>
                </c:pt>
                <c:pt idx="5">
                  <c:v>42</c:v>
                </c:pt>
                <c:pt idx="6">
                  <c:v>84</c:v>
                </c:pt>
                <c:pt idx="7">
                  <c:v>146</c:v>
                </c:pt>
                <c:pt idx="8">
                  <c:v>265</c:v>
                </c:pt>
                <c:pt idx="9">
                  <c:v>434</c:v>
                </c:pt>
                <c:pt idx="10">
                  <c:v>599</c:v>
                </c:pt>
                <c:pt idx="11">
                  <c:v>748</c:v>
                </c:pt>
                <c:pt idx="12">
                  <c:v>801</c:v>
                </c:pt>
                <c:pt idx="13">
                  <c:v>812</c:v>
                </c:pt>
                <c:pt idx="14">
                  <c:v>706</c:v>
                </c:pt>
                <c:pt idx="15">
                  <c:v>542</c:v>
                </c:pt>
                <c:pt idx="16">
                  <c:v>367</c:v>
                </c:pt>
                <c:pt idx="17">
                  <c:v>203</c:v>
                </c:pt>
                <c:pt idx="18">
                  <c:v>106</c:v>
                </c:pt>
                <c:pt idx="19">
                  <c:v>33</c:v>
                </c:pt>
                <c:pt idx="20">
                  <c:v>16</c:v>
                </c:pt>
                <c:pt idx="21">
                  <c:v>4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12-4458-B317-C6CA7E8CCDCA}"/>
            </c:ext>
          </c:extLst>
        </c:ser>
        <c:ser>
          <c:idx val="4"/>
          <c:order val="4"/>
          <c:tx>
            <c:strRef>
              <c:f>'Infected NF'!$F$2</c:f>
              <c:strCache>
                <c:ptCount val="1"/>
                <c:pt idx="0">
                  <c:v>Run 5</c:v>
                </c:pt>
              </c:strCache>
            </c:strRef>
          </c:tx>
          <c:spPr>
            <a:ln w="19050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NF'!$F$3:$F$29</c:f>
              <c:numCache>
                <c:formatCode>General</c:formatCode>
                <c:ptCount val="27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15</c:v>
                </c:pt>
                <c:pt idx="4">
                  <c:v>33</c:v>
                </c:pt>
                <c:pt idx="5">
                  <c:v>60</c:v>
                </c:pt>
                <c:pt idx="6">
                  <c:v>121</c:v>
                </c:pt>
                <c:pt idx="7">
                  <c:v>210</c:v>
                </c:pt>
                <c:pt idx="8">
                  <c:v>363</c:v>
                </c:pt>
                <c:pt idx="9">
                  <c:v>531</c:v>
                </c:pt>
                <c:pt idx="10">
                  <c:v>702</c:v>
                </c:pt>
                <c:pt idx="11">
                  <c:v>815</c:v>
                </c:pt>
                <c:pt idx="12">
                  <c:v>824</c:v>
                </c:pt>
                <c:pt idx="13">
                  <c:v>760</c:v>
                </c:pt>
                <c:pt idx="14">
                  <c:v>617</c:v>
                </c:pt>
                <c:pt idx="15">
                  <c:v>446</c:v>
                </c:pt>
                <c:pt idx="16">
                  <c:v>262</c:v>
                </c:pt>
                <c:pt idx="17">
                  <c:v>123</c:v>
                </c:pt>
                <c:pt idx="18">
                  <c:v>51</c:v>
                </c:pt>
                <c:pt idx="19">
                  <c:v>24</c:v>
                </c:pt>
                <c:pt idx="20">
                  <c:v>12</c:v>
                </c:pt>
                <c:pt idx="21">
                  <c:v>7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12-4458-B317-C6CA7E8CCDCA}"/>
            </c:ext>
          </c:extLst>
        </c:ser>
        <c:ser>
          <c:idx val="5"/>
          <c:order val="5"/>
          <c:tx>
            <c:strRef>
              <c:f>'Infected NF'!$G$2</c:f>
              <c:strCache>
                <c:ptCount val="1"/>
                <c:pt idx="0">
                  <c:v>Run 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'Infected NF'!$G$3:$G$29</c:f>
              <c:numCache>
                <c:formatCode>General</c:formatCode>
                <c:ptCount val="27"/>
                <c:pt idx="0">
                  <c:v>2</c:v>
                </c:pt>
                <c:pt idx="1">
                  <c:v>7</c:v>
                </c:pt>
                <c:pt idx="2">
                  <c:v>13</c:v>
                </c:pt>
                <c:pt idx="3">
                  <c:v>25</c:v>
                </c:pt>
                <c:pt idx="4">
                  <c:v>47</c:v>
                </c:pt>
                <c:pt idx="5">
                  <c:v>92</c:v>
                </c:pt>
                <c:pt idx="6">
                  <c:v>166</c:v>
                </c:pt>
                <c:pt idx="7">
                  <c:v>293</c:v>
                </c:pt>
                <c:pt idx="8">
                  <c:v>449</c:v>
                </c:pt>
                <c:pt idx="9">
                  <c:v>615</c:v>
                </c:pt>
                <c:pt idx="10">
                  <c:v>757</c:v>
                </c:pt>
                <c:pt idx="11">
                  <c:v>825</c:v>
                </c:pt>
                <c:pt idx="12">
                  <c:v>802</c:v>
                </c:pt>
                <c:pt idx="13">
                  <c:v>688</c:v>
                </c:pt>
                <c:pt idx="14">
                  <c:v>531</c:v>
                </c:pt>
                <c:pt idx="15">
                  <c:v>355</c:v>
                </c:pt>
                <c:pt idx="16">
                  <c:v>193</c:v>
                </c:pt>
                <c:pt idx="17">
                  <c:v>81</c:v>
                </c:pt>
                <c:pt idx="18">
                  <c:v>28</c:v>
                </c:pt>
                <c:pt idx="19">
                  <c:v>10</c:v>
                </c:pt>
                <c:pt idx="20">
                  <c:v>5</c:v>
                </c:pt>
                <c:pt idx="21">
                  <c:v>3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12-4458-B317-C6CA7E8CCDCA}"/>
            </c:ext>
          </c:extLst>
        </c:ser>
        <c:ser>
          <c:idx val="6"/>
          <c:order val="6"/>
          <c:tx>
            <c:strRef>
              <c:f>'Infected NF'!$H$2</c:f>
              <c:strCache>
                <c:ptCount val="1"/>
                <c:pt idx="0">
                  <c:v>Run 7</c:v>
                </c:pt>
              </c:strCache>
            </c:strRef>
          </c:tx>
          <c:spPr>
            <a:ln w="19050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NF'!$H$3:$H$29</c:f>
              <c:numCache>
                <c:formatCode>General</c:formatCode>
                <c:ptCount val="27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14</c:v>
                </c:pt>
                <c:pt idx="4">
                  <c:v>27</c:v>
                </c:pt>
                <c:pt idx="5">
                  <c:v>52</c:v>
                </c:pt>
                <c:pt idx="6">
                  <c:v>87</c:v>
                </c:pt>
                <c:pt idx="7">
                  <c:v>160</c:v>
                </c:pt>
                <c:pt idx="8">
                  <c:v>275</c:v>
                </c:pt>
                <c:pt idx="9">
                  <c:v>443</c:v>
                </c:pt>
                <c:pt idx="10">
                  <c:v>625</c:v>
                </c:pt>
                <c:pt idx="11">
                  <c:v>757</c:v>
                </c:pt>
                <c:pt idx="12">
                  <c:v>821</c:v>
                </c:pt>
                <c:pt idx="13">
                  <c:v>790</c:v>
                </c:pt>
                <c:pt idx="14">
                  <c:v>702</c:v>
                </c:pt>
                <c:pt idx="15">
                  <c:v>535</c:v>
                </c:pt>
                <c:pt idx="16">
                  <c:v>342</c:v>
                </c:pt>
                <c:pt idx="17">
                  <c:v>189</c:v>
                </c:pt>
                <c:pt idx="18">
                  <c:v>88</c:v>
                </c:pt>
                <c:pt idx="19">
                  <c:v>47</c:v>
                </c:pt>
                <c:pt idx="20">
                  <c:v>16</c:v>
                </c:pt>
                <c:pt idx="21">
                  <c:v>7</c:v>
                </c:pt>
                <c:pt idx="22">
                  <c:v>5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912-4458-B317-C6CA7E8CCDCA}"/>
            </c:ext>
          </c:extLst>
        </c:ser>
        <c:ser>
          <c:idx val="7"/>
          <c:order val="7"/>
          <c:tx>
            <c:strRef>
              <c:f>'Infected NF'!$I$2</c:f>
              <c:strCache>
                <c:ptCount val="1"/>
                <c:pt idx="0">
                  <c:v>Run 8</c:v>
                </c:pt>
              </c:strCache>
            </c:strRef>
          </c:tx>
          <c:spPr>
            <a:ln w="19050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NF'!$I$3:$I$29</c:f>
              <c:numCache>
                <c:formatCode>General</c:formatCode>
                <c:ptCount val="2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12</c:v>
                </c:pt>
                <c:pt idx="4">
                  <c:v>24</c:v>
                </c:pt>
                <c:pt idx="5">
                  <c:v>38</c:v>
                </c:pt>
                <c:pt idx="6">
                  <c:v>80</c:v>
                </c:pt>
                <c:pt idx="7">
                  <c:v>137</c:v>
                </c:pt>
                <c:pt idx="8">
                  <c:v>235</c:v>
                </c:pt>
                <c:pt idx="9">
                  <c:v>384</c:v>
                </c:pt>
                <c:pt idx="10">
                  <c:v>556</c:v>
                </c:pt>
                <c:pt idx="11">
                  <c:v>720</c:v>
                </c:pt>
                <c:pt idx="12">
                  <c:v>810</c:v>
                </c:pt>
                <c:pt idx="13">
                  <c:v>802</c:v>
                </c:pt>
                <c:pt idx="14">
                  <c:v>740</c:v>
                </c:pt>
                <c:pt idx="15">
                  <c:v>594</c:v>
                </c:pt>
                <c:pt idx="16">
                  <c:v>411</c:v>
                </c:pt>
                <c:pt idx="17">
                  <c:v>238</c:v>
                </c:pt>
                <c:pt idx="18">
                  <c:v>104</c:v>
                </c:pt>
                <c:pt idx="19">
                  <c:v>54</c:v>
                </c:pt>
                <c:pt idx="20">
                  <c:v>16</c:v>
                </c:pt>
                <c:pt idx="21">
                  <c:v>7</c:v>
                </c:pt>
                <c:pt idx="22">
                  <c:v>6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912-4458-B317-C6CA7E8CCDCA}"/>
            </c:ext>
          </c:extLst>
        </c:ser>
        <c:ser>
          <c:idx val="8"/>
          <c:order val="8"/>
          <c:tx>
            <c:strRef>
              <c:f>'Infected NF'!$J$2</c:f>
              <c:strCache>
                <c:ptCount val="1"/>
                <c:pt idx="0">
                  <c:v>Run 9</c:v>
                </c:pt>
              </c:strCache>
            </c:strRef>
          </c:tx>
          <c:spPr>
            <a:ln w="19050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NF'!$J$3:$J$29</c:f>
              <c:numCache>
                <c:formatCode>General</c:formatCode>
                <c:ptCount val="2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10</c:v>
                </c:pt>
                <c:pt idx="4">
                  <c:v>17</c:v>
                </c:pt>
                <c:pt idx="5">
                  <c:v>30</c:v>
                </c:pt>
                <c:pt idx="6">
                  <c:v>60</c:v>
                </c:pt>
                <c:pt idx="7">
                  <c:v>110</c:v>
                </c:pt>
                <c:pt idx="8">
                  <c:v>185</c:v>
                </c:pt>
                <c:pt idx="9">
                  <c:v>318</c:v>
                </c:pt>
                <c:pt idx="10">
                  <c:v>489</c:v>
                </c:pt>
                <c:pt idx="11">
                  <c:v>670</c:v>
                </c:pt>
                <c:pt idx="12">
                  <c:v>784</c:v>
                </c:pt>
                <c:pt idx="13">
                  <c:v>826</c:v>
                </c:pt>
                <c:pt idx="14">
                  <c:v>788</c:v>
                </c:pt>
                <c:pt idx="15">
                  <c:v>665</c:v>
                </c:pt>
                <c:pt idx="16">
                  <c:v>490</c:v>
                </c:pt>
                <c:pt idx="17">
                  <c:v>298</c:v>
                </c:pt>
                <c:pt idx="18">
                  <c:v>154</c:v>
                </c:pt>
                <c:pt idx="19">
                  <c:v>61</c:v>
                </c:pt>
                <c:pt idx="20">
                  <c:v>23</c:v>
                </c:pt>
                <c:pt idx="21">
                  <c:v>7</c:v>
                </c:pt>
                <c:pt idx="22">
                  <c:v>4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912-4458-B317-C6CA7E8CCDCA}"/>
            </c:ext>
          </c:extLst>
        </c:ser>
        <c:ser>
          <c:idx val="9"/>
          <c:order val="9"/>
          <c:tx>
            <c:strRef>
              <c:f>'Infected NF'!$K$2</c:f>
              <c:strCache>
                <c:ptCount val="1"/>
                <c:pt idx="0">
                  <c:v>Run 10</c:v>
                </c:pt>
              </c:strCache>
            </c:strRef>
          </c:tx>
          <c:spPr>
            <a:ln w="19050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'Infected NF'!$K$3:$K$29</c:f>
              <c:numCache>
                <c:formatCode>General</c:formatCode>
                <c:ptCount val="27"/>
                <c:pt idx="0">
                  <c:v>2</c:v>
                </c:pt>
                <c:pt idx="1">
                  <c:v>5</c:v>
                </c:pt>
                <c:pt idx="2">
                  <c:v>12</c:v>
                </c:pt>
                <c:pt idx="3">
                  <c:v>19</c:v>
                </c:pt>
                <c:pt idx="4">
                  <c:v>44</c:v>
                </c:pt>
                <c:pt idx="5">
                  <c:v>83</c:v>
                </c:pt>
                <c:pt idx="6">
                  <c:v>164</c:v>
                </c:pt>
                <c:pt idx="7">
                  <c:v>289</c:v>
                </c:pt>
                <c:pt idx="8">
                  <c:v>448</c:v>
                </c:pt>
                <c:pt idx="9">
                  <c:v>643</c:v>
                </c:pt>
                <c:pt idx="10">
                  <c:v>793</c:v>
                </c:pt>
                <c:pt idx="11">
                  <c:v>856</c:v>
                </c:pt>
                <c:pt idx="12">
                  <c:v>813</c:v>
                </c:pt>
                <c:pt idx="13">
                  <c:v>699</c:v>
                </c:pt>
                <c:pt idx="14">
                  <c:v>536</c:v>
                </c:pt>
                <c:pt idx="15">
                  <c:v>335</c:v>
                </c:pt>
                <c:pt idx="16">
                  <c:v>161</c:v>
                </c:pt>
                <c:pt idx="17">
                  <c:v>59</c:v>
                </c:pt>
                <c:pt idx="18">
                  <c:v>19</c:v>
                </c:pt>
                <c:pt idx="19">
                  <c:v>5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912-4458-B317-C6CA7E8CCDCA}"/>
            </c:ext>
          </c:extLst>
        </c:ser>
        <c:ser>
          <c:idx val="10"/>
          <c:order val="10"/>
          <c:tx>
            <c:strRef>
              <c:f>'Infected NF'!$L$2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yVal>
            <c:numRef>
              <c:f>'Infected NF'!$L$3:$L$29</c:f>
              <c:numCache>
                <c:formatCode>General</c:formatCode>
                <c:ptCount val="27"/>
                <c:pt idx="0">
                  <c:v>2</c:v>
                </c:pt>
                <c:pt idx="1">
                  <c:v>4.0999999999999996</c:v>
                </c:pt>
                <c:pt idx="2">
                  <c:v>7.8</c:v>
                </c:pt>
                <c:pt idx="3">
                  <c:v>15</c:v>
                </c:pt>
                <c:pt idx="4">
                  <c:v>30.3</c:v>
                </c:pt>
                <c:pt idx="5">
                  <c:v>57.6</c:v>
                </c:pt>
                <c:pt idx="6">
                  <c:v>110.2</c:v>
                </c:pt>
                <c:pt idx="7">
                  <c:v>192.4</c:v>
                </c:pt>
                <c:pt idx="8">
                  <c:v>321.2</c:v>
                </c:pt>
                <c:pt idx="9">
                  <c:v>489.4</c:v>
                </c:pt>
                <c:pt idx="10">
                  <c:v>655.7</c:v>
                </c:pt>
                <c:pt idx="11">
                  <c:v>775</c:v>
                </c:pt>
                <c:pt idx="12">
                  <c:v>809.7</c:v>
                </c:pt>
                <c:pt idx="13">
                  <c:v>769.3</c:v>
                </c:pt>
                <c:pt idx="14">
                  <c:v>656.8</c:v>
                </c:pt>
                <c:pt idx="15">
                  <c:v>488.2</c:v>
                </c:pt>
                <c:pt idx="16">
                  <c:v>309.2</c:v>
                </c:pt>
                <c:pt idx="17">
                  <c:v>164.2</c:v>
                </c:pt>
                <c:pt idx="18">
                  <c:v>75.2</c:v>
                </c:pt>
                <c:pt idx="19">
                  <c:v>31.7</c:v>
                </c:pt>
                <c:pt idx="20">
                  <c:v>11.8</c:v>
                </c:pt>
                <c:pt idx="21">
                  <c:v>5</c:v>
                </c:pt>
                <c:pt idx="22">
                  <c:v>2.4</c:v>
                </c:pt>
                <c:pt idx="23">
                  <c:v>0.8</c:v>
                </c:pt>
                <c:pt idx="24">
                  <c:v>0.5</c:v>
                </c:pt>
                <c:pt idx="25">
                  <c:v>0.1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912-4458-B317-C6CA7E8CC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90784"/>
        <c:axId val="1318262624"/>
      </c:scatterChart>
      <c:valAx>
        <c:axId val="107739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62624"/>
        <c:crosses val="autoZero"/>
        <c:crossBetween val="midCat"/>
      </c:valAx>
      <c:valAx>
        <c:axId val="1318262624"/>
        <c:scaling>
          <c:orientation val="minMax"/>
          <c:max val="1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0784"/>
        <c:crosses val="autoZero"/>
        <c:crossBetween val="midCat"/>
        <c:majorUnit val="200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'Infected SF'!$B$2</c:f>
              <c:strCache>
                <c:ptCount val="1"/>
                <c:pt idx="0">
                  <c:v>Run 1</c:v>
                </c:pt>
              </c:strCache>
            </c:strRef>
          </c:tx>
          <c:spPr>
            <a:ln w="19050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SF'!$B$3:$B$37</c:f>
              <c:numCache>
                <c:formatCode>General</c:formatCode>
                <c:ptCount val="35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21</c:v>
                </c:pt>
                <c:pt idx="4">
                  <c:v>37</c:v>
                </c:pt>
                <c:pt idx="5">
                  <c:v>66</c:v>
                </c:pt>
                <c:pt idx="6">
                  <c:v>101</c:v>
                </c:pt>
                <c:pt idx="7">
                  <c:v>154</c:v>
                </c:pt>
                <c:pt idx="8">
                  <c:v>212</c:v>
                </c:pt>
                <c:pt idx="9">
                  <c:v>273</c:v>
                </c:pt>
                <c:pt idx="10">
                  <c:v>344</c:v>
                </c:pt>
                <c:pt idx="11">
                  <c:v>397</c:v>
                </c:pt>
                <c:pt idx="12">
                  <c:v>449</c:v>
                </c:pt>
                <c:pt idx="13">
                  <c:v>466</c:v>
                </c:pt>
                <c:pt idx="14">
                  <c:v>456</c:v>
                </c:pt>
                <c:pt idx="15">
                  <c:v>427</c:v>
                </c:pt>
                <c:pt idx="16">
                  <c:v>362</c:v>
                </c:pt>
                <c:pt idx="17">
                  <c:v>298</c:v>
                </c:pt>
                <c:pt idx="18">
                  <c:v>216</c:v>
                </c:pt>
                <c:pt idx="19">
                  <c:v>148</c:v>
                </c:pt>
                <c:pt idx="20">
                  <c:v>100</c:v>
                </c:pt>
                <c:pt idx="21">
                  <c:v>58</c:v>
                </c:pt>
                <c:pt idx="22">
                  <c:v>36</c:v>
                </c:pt>
                <c:pt idx="23">
                  <c:v>19</c:v>
                </c:pt>
                <c:pt idx="24">
                  <c:v>13</c:v>
                </c:pt>
                <c:pt idx="25">
                  <c:v>9</c:v>
                </c:pt>
                <c:pt idx="26">
                  <c:v>5</c:v>
                </c:pt>
                <c:pt idx="27">
                  <c:v>4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8C-4212-AE2C-B0A63A64DA17}"/>
            </c:ext>
          </c:extLst>
        </c:ser>
        <c:ser>
          <c:idx val="1"/>
          <c:order val="1"/>
          <c:tx>
            <c:strRef>
              <c:f>'Infected SF'!$C$2</c:f>
              <c:strCache>
                <c:ptCount val="1"/>
                <c:pt idx="0">
                  <c:v>Run 2</c:v>
                </c:pt>
              </c:strCache>
            </c:strRef>
          </c:tx>
          <c:spPr>
            <a:ln w="19050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SF'!$C$3:$C$37</c:f>
              <c:numCache>
                <c:formatCode>General</c:formatCode>
                <c:ptCount val="35"/>
                <c:pt idx="0">
                  <c:v>2</c:v>
                </c:pt>
                <c:pt idx="1">
                  <c:v>4</c:v>
                </c:pt>
                <c:pt idx="2">
                  <c:v>12</c:v>
                </c:pt>
                <c:pt idx="3">
                  <c:v>17</c:v>
                </c:pt>
                <c:pt idx="4">
                  <c:v>26</c:v>
                </c:pt>
                <c:pt idx="5">
                  <c:v>40</c:v>
                </c:pt>
                <c:pt idx="6">
                  <c:v>53</c:v>
                </c:pt>
                <c:pt idx="7">
                  <c:v>79</c:v>
                </c:pt>
                <c:pt idx="8">
                  <c:v>107</c:v>
                </c:pt>
                <c:pt idx="9">
                  <c:v>152</c:v>
                </c:pt>
                <c:pt idx="10">
                  <c:v>208</c:v>
                </c:pt>
                <c:pt idx="11">
                  <c:v>269</c:v>
                </c:pt>
                <c:pt idx="12">
                  <c:v>343</c:v>
                </c:pt>
                <c:pt idx="13">
                  <c:v>410</c:v>
                </c:pt>
                <c:pt idx="14">
                  <c:v>455</c:v>
                </c:pt>
                <c:pt idx="15">
                  <c:v>472</c:v>
                </c:pt>
                <c:pt idx="16">
                  <c:v>460</c:v>
                </c:pt>
                <c:pt idx="17">
                  <c:v>419</c:v>
                </c:pt>
                <c:pt idx="18">
                  <c:v>354</c:v>
                </c:pt>
                <c:pt idx="19">
                  <c:v>274</c:v>
                </c:pt>
                <c:pt idx="20">
                  <c:v>198</c:v>
                </c:pt>
                <c:pt idx="21">
                  <c:v>135</c:v>
                </c:pt>
                <c:pt idx="22">
                  <c:v>86</c:v>
                </c:pt>
                <c:pt idx="23">
                  <c:v>53</c:v>
                </c:pt>
                <c:pt idx="24">
                  <c:v>29</c:v>
                </c:pt>
                <c:pt idx="25">
                  <c:v>14</c:v>
                </c:pt>
                <c:pt idx="26">
                  <c:v>9</c:v>
                </c:pt>
                <c:pt idx="27">
                  <c:v>5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8C-4212-AE2C-B0A63A64DA17}"/>
            </c:ext>
          </c:extLst>
        </c:ser>
        <c:ser>
          <c:idx val="2"/>
          <c:order val="2"/>
          <c:tx>
            <c:strRef>
              <c:f>'Infected SF'!$D$2</c:f>
              <c:strCache>
                <c:ptCount val="1"/>
                <c:pt idx="0">
                  <c:v>Run 3</c:v>
                </c:pt>
              </c:strCache>
            </c:strRef>
          </c:tx>
          <c:spPr>
            <a:ln w="19050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SF'!$D$3:$D$37</c:f>
              <c:numCache>
                <c:formatCode>General</c:formatCode>
                <c:ptCount val="35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11</c:v>
                </c:pt>
                <c:pt idx="4">
                  <c:v>19</c:v>
                </c:pt>
                <c:pt idx="5">
                  <c:v>30</c:v>
                </c:pt>
                <c:pt idx="6">
                  <c:v>47</c:v>
                </c:pt>
                <c:pt idx="7">
                  <c:v>64</c:v>
                </c:pt>
                <c:pt idx="8">
                  <c:v>94</c:v>
                </c:pt>
                <c:pt idx="9">
                  <c:v>132</c:v>
                </c:pt>
                <c:pt idx="10">
                  <c:v>183</c:v>
                </c:pt>
                <c:pt idx="11">
                  <c:v>231</c:v>
                </c:pt>
                <c:pt idx="12">
                  <c:v>296</c:v>
                </c:pt>
                <c:pt idx="13">
                  <c:v>363</c:v>
                </c:pt>
                <c:pt idx="14">
                  <c:v>417</c:v>
                </c:pt>
                <c:pt idx="15">
                  <c:v>451</c:v>
                </c:pt>
                <c:pt idx="16">
                  <c:v>450</c:v>
                </c:pt>
                <c:pt idx="17">
                  <c:v>434</c:v>
                </c:pt>
                <c:pt idx="18">
                  <c:v>378</c:v>
                </c:pt>
                <c:pt idx="19">
                  <c:v>311</c:v>
                </c:pt>
                <c:pt idx="20">
                  <c:v>234</c:v>
                </c:pt>
                <c:pt idx="21">
                  <c:v>169</c:v>
                </c:pt>
                <c:pt idx="22">
                  <c:v>115</c:v>
                </c:pt>
                <c:pt idx="23">
                  <c:v>75</c:v>
                </c:pt>
                <c:pt idx="24">
                  <c:v>49</c:v>
                </c:pt>
                <c:pt idx="25">
                  <c:v>31</c:v>
                </c:pt>
                <c:pt idx="26">
                  <c:v>21</c:v>
                </c:pt>
                <c:pt idx="27">
                  <c:v>10</c:v>
                </c:pt>
                <c:pt idx="28">
                  <c:v>6</c:v>
                </c:pt>
                <c:pt idx="29">
                  <c:v>3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8C-4212-AE2C-B0A63A64DA17}"/>
            </c:ext>
          </c:extLst>
        </c:ser>
        <c:ser>
          <c:idx val="3"/>
          <c:order val="3"/>
          <c:tx>
            <c:strRef>
              <c:f>'Infected SF'!$E$2</c:f>
              <c:strCache>
                <c:ptCount val="1"/>
                <c:pt idx="0">
                  <c:v>Run 4</c:v>
                </c:pt>
              </c:strCache>
            </c:strRef>
          </c:tx>
          <c:spPr>
            <a:ln w="19050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SF'!$E$3:$E$37</c:f>
              <c:numCache>
                <c:formatCode>General</c:formatCode>
                <c:ptCount val="3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8C-4212-AE2C-B0A63A64DA17}"/>
            </c:ext>
          </c:extLst>
        </c:ser>
        <c:ser>
          <c:idx val="4"/>
          <c:order val="4"/>
          <c:tx>
            <c:strRef>
              <c:f>'Infected SF'!$F$2</c:f>
              <c:strCache>
                <c:ptCount val="1"/>
                <c:pt idx="0">
                  <c:v>Run 5</c:v>
                </c:pt>
              </c:strCache>
            </c:strRef>
          </c:tx>
          <c:spPr>
            <a:ln w="19050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SF'!$F$3:$F$37</c:f>
              <c:numCache>
                <c:formatCode>General</c:formatCode>
                <c:ptCount val="35"/>
                <c:pt idx="0">
                  <c:v>2</c:v>
                </c:pt>
                <c:pt idx="1">
                  <c:v>5</c:v>
                </c:pt>
                <c:pt idx="2">
                  <c:v>11</c:v>
                </c:pt>
                <c:pt idx="3">
                  <c:v>18</c:v>
                </c:pt>
                <c:pt idx="4">
                  <c:v>25</c:v>
                </c:pt>
                <c:pt idx="5">
                  <c:v>41</c:v>
                </c:pt>
                <c:pt idx="6">
                  <c:v>64</c:v>
                </c:pt>
                <c:pt idx="7">
                  <c:v>101</c:v>
                </c:pt>
                <c:pt idx="8">
                  <c:v>155</c:v>
                </c:pt>
                <c:pt idx="9">
                  <c:v>219</c:v>
                </c:pt>
                <c:pt idx="10">
                  <c:v>316</c:v>
                </c:pt>
                <c:pt idx="11">
                  <c:v>399</c:v>
                </c:pt>
                <c:pt idx="12">
                  <c:v>466</c:v>
                </c:pt>
                <c:pt idx="13">
                  <c:v>505</c:v>
                </c:pt>
                <c:pt idx="14">
                  <c:v>490</c:v>
                </c:pt>
                <c:pt idx="15">
                  <c:v>458</c:v>
                </c:pt>
                <c:pt idx="16">
                  <c:v>373</c:v>
                </c:pt>
                <c:pt idx="17">
                  <c:v>289</c:v>
                </c:pt>
                <c:pt idx="18">
                  <c:v>211</c:v>
                </c:pt>
                <c:pt idx="19">
                  <c:v>138</c:v>
                </c:pt>
                <c:pt idx="20">
                  <c:v>99</c:v>
                </c:pt>
                <c:pt idx="21">
                  <c:v>63</c:v>
                </c:pt>
                <c:pt idx="22">
                  <c:v>46</c:v>
                </c:pt>
                <c:pt idx="23">
                  <c:v>32</c:v>
                </c:pt>
                <c:pt idx="24">
                  <c:v>19</c:v>
                </c:pt>
                <c:pt idx="25">
                  <c:v>13</c:v>
                </c:pt>
                <c:pt idx="26">
                  <c:v>7</c:v>
                </c:pt>
                <c:pt idx="27">
                  <c:v>4</c:v>
                </c:pt>
                <c:pt idx="28">
                  <c:v>2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8C-4212-AE2C-B0A63A64DA17}"/>
            </c:ext>
          </c:extLst>
        </c:ser>
        <c:ser>
          <c:idx val="5"/>
          <c:order val="5"/>
          <c:tx>
            <c:strRef>
              <c:f>'Infected SF'!$G$2</c:f>
              <c:strCache>
                <c:ptCount val="1"/>
                <c:pt idx="0">
                  <c:v>Run 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SF'!$G$3:$G$37</c:f>
              <c:numCache>
                <c:formatCode>General</c:formatCode>
                <c:ptCount val="35"/>
                <c:pt idx="0">
                  <c:v>2</c:v>
                </c:pt>
                <c:pt idx="1">
                  <c:v>4</c:v>
                </c:pt>
                <c:pt idx="2">
                  <c:v>9</c:v>
                </c:pt>
                <c:pt idx="3">
                  <c:v>20</c:v>
                </c:pt>
                <c:pt idx="4">
                  <c:v>30</c:v>
                </c:pt>
                <c:pt idx="5">
                  <c:v>47</c:v>
                </c:pt>
                <c:pt idx="6">
                  <c:v>71</c:v>
                </c:pt>
                <c:pt idx="7">
                  <c:v>118</c:v>
                </c:pt>
                <c:pt idx="8">
                  <c:v>169</c:v>
                </c:pt>
                <c:pt idx="9">
                  <c:v>241</c:v>
                </c:pt>
                <c:pt idx="10">
                  <c:v>316</c:v>
                </c:pt>
                <c:pt idx="11">
                  <c:v>413</c:v>
                </c:pt>
                <c:pt idx="12">
                  <c:v>498</c:v>
                </c:pt>
                <c:pt idx="13">
                  <c:v>532</c:v>
                </c:pt>
                <c:pt idx="14">
                  <c:v>543</c:v>
                </c:pt>
                <c:pt idx="15">
                  <c:v>500</c:v>
                </c:pt>
                <c:pt idx="16">
                  <c:v>438</c:v>
                </c:pt>
                <c:pt idx="17">
                  <c:v>341</c:v>
                </c:pt>
                <c:pt idx="18">
                  <c:v>237</c:v>
                </c:pt>
                <c:pt idx="19">
                  <c:v>156</c:v>
                </c:pt>
                <c:pt idx="20">
                  <c:v>91</c:v>
                </c:pt>
                <c:pt idx="21">
                  <c:v>51</c:v>
                </c:pt>
                <c:pt idx="22">
                  <c:v>28</c:v>
                </c:pt>
                <c:pt idx="23">
                  <c:v>11</c:v>
                </c:pt>
                <c:pt idx="24">
                  <c:v>4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8C-4212-AE2C-B0A63A64DA17}"/>
            </c:ext>
          </c:extLst>
        </c:ser>
        <c:ser>
          <c:idx val="6"/>
          <c:order val="6"/>
          <c:tx>
            <c:strRef>
              <c:f>'Infected SF'!$H$2</c:f>
              <c:strCache>
                <c:ptCount val="1"/>
                <c:pt idx="0">
                  <c:v>Run 7</c:v>
                </c:pt>
              </c:strCache>
            </c:strRef>
          </c:tx>
          <c:spPr>
            <a:ln w="19050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SF'!$H$3:$H$37</c:f>
              <c:numCache>
                <c:formatCode>General</c:formatCode>
                <c:ptCount val="35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13</c:v>
                </c:pt>
                <c:pt idx="4">
                  <c:v>20</c:v>
                </c:pt>
                <c:pt idx="5">
                  <c:v>34</c:v>
                </c:pt>
                <c:pt idx="6">
                  <c:v>56</c:v>
                </c:pt>
                <c:pt idx="7">
                  <c:v>93</c:v>
                </c:pt>
                <c:pt idx="8">
                  <c:v>136</c:v>
                </c:pt>
                <c:pt idx="9">
                  <c:v>200</c:v>
                </c:pt>
                <c:pt idx="10">
                  <c:v>269</c:v>
                </c:pt>
                <c:pt idx="11">
                  <c:v>348</c:v>
                </c:pt>
                <c:pt idx="12">
                  <c:v>411</c:v>
                </c:pt>
                <c:pt idx="13">
                  <c:v>463</c:v>
                </c:pt>
                <c:pt idx="14">
                  <c:v>488</c:v>
                </c:pt>
                <c:pt idx="15">
                  <c:v>473</c:v>
                </c:pt>
                <c:pt idx="16">
                  <c:v>434</c:v>
                </c:pt>
                <c:pt idx="17">
                  <c:v>358</c:v>
                </c:pt>
                <c:pt idx="18">
                  <c:v>281</c:v>
                </c:pt>
                <c:pt idx="19">
                  <c:v>203</c:v>
                </c:pt>
                <c:pt idx="20">
                  <c:v>136</c:v>
                </c:pt>
                <c:pt idx="21">
                  <c:v>83</c:v>
                </c:pt>
                <c:pt idx="22">
                  <c:v>49</c:v>
                </c:pt>
                <c:pt idx="23">
                  <c:v>34</c:v>
                </c:pt>
                <c:pt idx="24">
                  <c:v>25</c:v>
                </c:pt>
                <c:pt idx="25">
                  <c:v>14</c:v>
                </c:pt>
                <c:pt idx="26">
                  <c:v>10</c:v>
                </c:pt>
                <c:pt idx="27">
                  <c:v>8</c:v>
                </c:pt>
                <c:pt idx="28">
                  <c:v>5</c:v>
                </c:pt>
                <c:pt idx="29">
                  <c:v>3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8C-4212-AE2C-B0A63A64DA17}"/>
            </c:ext>
          </c:extLst>
        </c:ser>
        <c:ser>
          <c:idx val="7"/>
          <c:order val="7"/>
          <c:tx>
            <c:strRef>
              <c:f>'Infected SF'!$I$2</c:f>
              <c:strCache>
                <c:ptCount val="1"/>
                <c:pt idx="0">
                  <c:v>Run 8</c:v>
                </c:pt>
              </c:strCache>
            </c:strRef>
          </c:tx>
          <c:spPr>
            <a:ln w="19050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SF'!$I$3:$I$37</c:f>
              <c:numCache>
                <c:formatCode>General</c:formatCode>
                <c:ptCount val="35"/>
                <c:pt idx="0">
                  <c:v>2</c:v>
                </c:pt>
                <c:pt idx="1">
                  <c:v>6</c:v>
                </c:pt>
                <c:pt idx="2">
                  <c:v>11</c:v>
                </c:pt>
                <c:pt idx="3">
                  <c:v>22</c:v>
                </c:pt>
                <c:pt idx="4">
                  <c:v>38</c:v>
                </c:pt>
                <c:pt idx="5">
                  <c:v>63</c:v>
                </c:pt>
                <c:pt idx="6">
                  <c:v>102</c:v>
                </c:pt>
                <c:pt idx="7">
                  <c:v>159</c:v>
                </c:pt>
                <c:pt idx="8">
                  <c:v>231</c:v>
                </c:pt>
                <c:pt idx="9">
                  <c:v>315</c:v>
                </c:pt>
                <c:pt idx="10">
                  <c:v>392</c:v>
                </c:pt>
                <c:pt idx="11">
                  <c:v>466</c:v>
                </c:pt>
                <c:pt idx="12">
                  <c:v>513</c:v>
                </c:pt>
                <c:pt idx="13">
                  <c:v>521</c:v>
                </c:pt>
                <c:pt idx="14">
                  <c:v>496</c:v>
                </c:pt>
                <c:pt idx="15">
                  <c:v>428</c:v>
                </c:pt>
                <c:pt idx="16">
                  <c:v>343</c:v>
                </c:pt>
                <c:pt idx="17">
                  <c:v>252</c:v>
                </c:pt>
                <c:pt idx="18">
                  <c:v>166</c:v>
                </c:pt>
                <c:pt idx="19">
                  <c:v>101</c:v>
                </c:pt>
                <c:pt idx="20">
                  <c:v>50</c:v>
                </c:pt>
                <c:pt idx="21">
                  <c:v>24</c:v>
                </c:pt>
                <c:pt idx="22">
                  <c:v>17</c:v>
                </c:pt>
                <c:pt idx="23">
                  <c:v>10</c:v>
                </c:pt>
                <c:pt idx="24">
                  <c:v>9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8C-4212-AE2C-B0A63A64DA17}"/>
            </c:ext>
          </c:extLst>
        </c:ser>
        <c:ser>
          <c:idx val="8"/>
          <c:order val="8"/>
          <c:tx>
            <c:strRef>
              <c:f>'Infected SF'!$J$2</c:f>
              <c:strCache>
                <c:ptCount val="1"/>
                <c:pt idx="0">
                  <c:v>Run 9</c:v>
                </c:pt>
              </c:strCache>
            </c:strRef>
          </c:tx>
          <c:spPr>
            <a:ln w="19050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SF'!$J$3:$J$37</c:f>
              <c:numCache>
                <c:formatCode>General</c:formatCode>
                <c:ptCount val="35"/>
                <c:pt idx="0">
                  <c:v>2</c:v>
                </c:pt>
                <c:pt idx="1">
                  <c:v>4</c:v>
                </c:pt>
                <c:pt idx="2">
                  <c:v>11</c:v>
                </c:pt>
                <c:pt idx="3">
                  <c:v>17</c:v>
                </c:pt>
                <c:pt idx="4">
                  <c:v>27</c:v>
                </c:pt>
                <c:pt idx="5">
                  <c:v>41</c:v>
                </c:pt>
                <c:pt idx="6">
                  <c:v>55</c:v>
                </c:pt>
                <c:pt idx="7">
                  <c:v>84</c:v>
                </c:pt>
                <c:pt idx="8">
                  <c:v>109</c:v>
                </c:pt>
                <c:pt idx="9">
                  <c:v>157</c:v>
                </c:pt>
                <c:pt idx="10">
                  <c:v>214</c:v>
                </c:pt>
                <c:pt idx="11">
                  <c:v>278</c:v>
                </c:pt>
                <c:pt idx="12">
                  <c:v>356</c:v>
                </c:pt>
                <c:pt idx="13">
                  <c:v>399</c:v>
                </c:pt>
                <c:pt idx="14">
                  <c:v>448</c:v>
                </c:pt>
                <c:pt idx="15">
                  <c:v>455</c:v>
                </c:pt>
                <c:pt idx="16">
                  <c:v>438</c:v>
                </c:pt>
                <c:pt idx="17">
                  <c:v>397</c:v>
                </c:pt>
                <c:pt idx="18">
                  <c:v>326</c:v>
                </c:pt>
                <c:pt idx="19">
                  <c:v>266</c:v>
                </c:pt>
                <c:pt idx="20">
                  <c:v>190</c:v>
                </c:pt>
                <c:pt idx="21">
                  <c:v>131</c:v>
                </c:pt>
                <c:pt idx="22">
                  <c:v>82</c:v>
                </c:pt>
                <c:pt idx="23">
                  <c:v>45</c:v>
                </c:pt>
                <c:pt idx="24">
                  <c:v>22</c:v>
                </c:pt>
                <c:pt idx="25">
                  <c:v>8</c:v>
                </c:pt>
                <c:pt idx="26">
                  <c:v>3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8C-4212-AE2C-B0A63A64DA17}"/>
            </c:ext>
          </c:extLst>
        </c:ser>
        <c:ser>
          <c:idx val="9"/>
          <c:order val="9"/>
          <c:tx>
            <c:strRef>
              <c:f>'Infected SF'!$K$2</c:f>
              <c:strCache>
                <c:ptCount val="1"/>
                <c:pt idx="0">
                  <c:v>Run 10</c:v>
                </c:pt>
              </c:strCache>
            </c:strRef>
          </c:tx>
          <c:spPr>
            <a:ln w="19050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SF'!$K$3:$K$37</c:f>
              <c:numCache>
                <c:formatCode>General</c:formatCode>
                <c:ptCount val="35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9</c:v>
                </c:pt>
                <c:pt idx="4">
                  <c:v>14</c:v>
                </c:pt>
                <c:pt idx="5">
                  <c:v>22</c:v>
                </c:pt>
                <c:pt idx="6">
                  <c:v>32</c:v>
                </c:pt>
                <c:pt idx="7">
                  <c:v>45</c:v>
                </c:pt>
                <c:pt idx="8">
                  <c:v>66</c:v>
                </c:pt>
                <c:pt idx="9">
                  <c:v>97</c:v>
                </c:pt>
                <c:pt idx="10">
                  <c:v>131</c:v>
                </c:pt>
                <c:pt idx="11">
                  <c:v>182</c:v>
                </c:pt>
                <c:pt idx="12">
                  <c:v>253</c:v>
                </c:pt>
                <c:pt idx="13">
                  <c:v>342</c:v>
                </c:pt>
                <c:pt idx="14">
                  <c:v>415</c:v>
                </c:pt>
                <c:pt idx="15">
                  <c:v>469</c:v>
                </c:pt>
                <c:pt idx="16">
                  <c:v>500</c:v>
                </c:pt>
                <c:pt idx="17">
                  <c:v>490</c:v>
                </c:pt>
                <c:pt idx="18">
                  <c:v>439</c:v>
                </c:pt>
                <c:pt idx="19">
                  <c:v>350</c:v>
                </c:pt>
                <c:pt idx="20">
                  <c:v>263</c:v>
                </c:pt>
                <c:pt idx="21">
                  <c:v>181</c:v>
                </c:pt>
                <c:pt idx="22">
                  <c:v>117</c:v>
                </c:pt>
                <c:pt idx="23">
                  <c:v>71</c:v>
                </c:pt>
                <c:pt idx="24">
                  <c:v>41</c:v>
                </c:pt>
                <c:pt idx="25">
                  <c:v>29</c:v>
                </c:pt>
                <c:pt idx="26">
                  <c:v>19</c:v>
                </c:pt>
                <c:pt idx="27">
                  <c:v>13</c:v>
                </c:pt>
                <c:pt idx="28">
                  <c:v>8</c:v>
                </c:pt>
                <c:pt idx="29">
                  <c:v>5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98C-4212-AE2C-B0A63A64DA17}"/>
            </c:ext>
          </c:extLst>
        </c:ser>
        <c:ser>
          <c:idx val="10"/>
          <c:order val="10"/>
          <c:tx>
            <c:strRef>
              <c:f>'Infected SF'!$L$2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SF'!$L$3:$L$37</c:f>
              <c:numCache>
                <c:formatCode>General</c:formatCode>
                <c:ptCount val="35"/>
                <c:pt idx="0">
                  <c:v>2</c:v>
                </c:pt>
                <c:pt idx="1">
                  <c:v>4</c:v>
                </c:pt>
                <c:pt idx="2">
                  <c:v>8.5</c:v>
                </c:pt>
                <c:pt idx="3">
                  <c:v>15</c:v>
                </c:pt>
                <c:pt idx="4">
                  <c:v>23.8</c:v>
                </c:pt>
                <c:pt idx="5">
                  <c:v>38.6</c:v>
                </c:pt>
                <c:pt idx="6">
                  <c:v>58.1</c:v>
                </c:pt>
                <c:pt idx="7">
                  <c:v>89.7</c:v>
                </c:pt>
                <c:pt idx="8">
                  <c:v>127.9</c:v>
                </c:pt>
                <c:pt idx="9">
                  <c:v>178.6</c:v>
                </c:pt>
                <c:pt idx="10">
                  <c:v>237.3</c:v>
                </c:pt>
                <c:pt idx="11">
                  <c:v>298.3</c:v>
                </c:pt>
                <c:pt idx="12">
                  <c:v>358.5</c:v>
                </c:pt>
                <c:pt idx="13">
                  <c:v>400.1</c:v>
                </c:pt>
                <c:pt idx="14">
                  <c:v>420.8</c:v>
                </c:pt>
                <c:pt idx="15">
                  <c:v>413.3</c:v>
                </c:pt>
                <c:pt idx="16">
                  <c:v>379.8</c:v>
                </c:pt>
                <c:pt idx="17">
                  <c:v>327.8</c:v>
                </c:pt>
                <c:pt idx="18">
                  <c:v>260.8</c:v>
                </c:pt>
                <c:pt idx="19">
                  <c:v>194.7</c:v>
                </c:pt>
                <c:pt idx="20">
                  <c:v>136.1</c:v>
                </c:pt>
                <c:pt idx="21">
                  <c:v>89.5</c:v>
                </c:pt>
                <c:pt idx="22">
                  <c:v>57.6</c:v>
                </c:pt>
                <c:pt idx="23">
                  <c:v>35</c:v>
                </c:pt>
                <c:pt idx="24">
                  <c:v>21.1</c:v>
                </c:pt>
                <c:pt idx="25">
                  <c:v>12.5</c:v>
                </c:pt>
                <c:pt idx="26">
                  <c:v>7.9</c:v>
                </c:pt>
                <c:pt idx="27">
                  <c:v>4.9000000000000004</c:v>
                </c:pt>
                <c:pt idx="28">
                  <c:v>2.9</c:v>
                </c:pt>
                <c:pt idx="29">
                  <c:v>1.7</c:v>
                </c:pt>
                <c:pt idx="30">
                  <c:v>0.9</c:v>
                </c:pt>
                <c:pt idx="31">
                  <c:v>0.4</c:v>
                </c:pt>
                <c:pt idx="32">
                  <c:v>0.2</c:v>
                </c:pt>
                <c:pt idx="33">
                  <c:v>0.1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98C-4212-AE2C-B0A63A64D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90784"/>
        <c:axId val="1318262624"/>
      </c:scatterChart>
      <c:valAx>
        <c:axId val="107739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62624"/>
        <c:crosses val="autoZero"/>
        <c:crossBetween val="midCat"/>
      </c:valAx>
      <c:valAx>
        <c:axId val="1318262624"/>
        <c:scaling>
          <c:orientation val="minMax"/>
          <c:max val="1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0784"/>
        <c:crosses val="autoZero"/>
        <c:crossBetween val="midCat"/>
        <c:majorUnit val="200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'Infected SF'!$B$2</c:f>
              <c:strCache>
                <c:ptCount val="1"/>
                <c:pt idx="0">
                  <c:v>Run 1</c:v>
                </c:pt>
              </c:strCache>
            </c:strRef>
          </c:tx>
          <c:spPr>
            <a:ln w="19050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SF'!$B$3:$B$37</c:f>
              <c:numCache>
                <c:formatCode>General</c:formatCode>
                <c:ptCount val="35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21</c:v>
                </c:pt>
                <c:pt idx="4">
                  <c:v>37</c:v>
                </c:pt>
                <c:pt idx="5">
                  <c:v>66</c:v>
                </c:pt>
                <c:pt idx="6">
                  <c:v>101</c:v>
                </c:pt>
                <c:pt idx="7">
                  <c:v>154</c:v>
                </c:pt>
                <c:pt idx="8">
                  <c:v>212</c:v>
                </c:pt>
                <c:pt idx="9">
                  <c:v>273</c:v>
                </c:pt>
                <c:pt idx="10">
                  <c:v>344</c:v>
                </c:pt>
                <c:pt idx="11">
                  <c:v>397</c:v>
                </c:pt>
                <c:pt idx="12">
                  <c:v>449</c:v>
                </c:pt>
                <c:pt idx="13">
                  <c:v>466</c:v>
                </c:pt>
                <c:pt idx="14">
                  <c:v>456</c:v>
                </c:pt>
                <c:pt idx="15">
                  <c:v>427</c:v>
                </c:pt>
                <c:pt idx="16">
                  <c:v>362</c:v>
                </c:pt>
                <c:pt idx="17">
                  <c:v>298</c:v>
                </c:pt>
                <c:pt idx="18">
                  <c:v>216</c:v>
                </c:pt>
                <c:pt idx="19">
                  <c:v>148</c:v>
                </c:pt>
                <c:pt idx="20">
                  <c:v>100</c:v>
                </c:pt>
                <c:pt idx="21">
                  <c:v>58</c:v>
                </c:pt>
                <c:pt idx="22">
                  <c:v>36</c:v>
                </c:pt>
                <c:pt idx="23">
                  <c:v>19</c:v>
                </c:pt>
                <c:pt idx="24">
                  <c:v>13</c:v>
                </c:pt>
                <c:pt idx="25">
                  <c:v>9</c:v>
                </c:pt>
                <c:pt idx="26">
                  <c:v>5</c:v>
                </c:pt>
                <c:pt idx="27">
                  <c:v>4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08-4B14-9D14-5D7F91CE792D}"/>
            </c:ext>
          </c:extLst>
        </c:ser>
        <c:ser>
          <c:idx val="1"/>
          <c:order val="1"/>
          <c:tx>
            <c:strRef>
              <c:f>'Infected SF'!$C$2</c:f>
              <c:strCache>
                <c:ptCount val="1"/>
                <c:pt idx="0">
                  <c:v>Run 2</c:v>
                </c:pt>
              </c:strCache>
            </c:strRef>
          </c:tx>
          <c:spPr>
            <a:ln w="19050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SF'!$C$3:$C$37</c:f>
              <c:numCache>
                <c:formatCode>General</c:formatCode>
                <c:ptCount val="35"/>
                <c:pt idx="0">
                  <c:v>2</c:v>
                </c:pt>
                <c:pt idx="1">
                  <c:v>4</c:v>
                </c:pt>
                <c:pt idx="2">
                  <c:v>12</c:v>
                </c:pt>
                <c:pt idx="3">
                  <c:v>17</c:v>
                </c:pt>
                <c:pt idx="4">
                  <c:v>26</c:v>
                </c:pt>
                <c:pt idx="5">
                  <c:v>40</c:v>
                </c:pt>
                <c:pt idx="6">
                  <c:v>53</c:v>
                </c:pt>
                <c:pt idx="7">
                  <c:v>79</c:v>
                </c:pt>
                <c:pt idx="8">
                  <c:v>107</c:v>
                </c:pt>
                <c:pt idx="9">
                  <c:v>152</c:v>
                </c:pt>
                <c:pt idx="10">
                  <c:v>208</c:v>
                </c:pt>
                <c:pt idx="11">
                  <c:v>269</c:v>
                </c:pt>
                <c:pt idx="12">
                  <c:v>343</c:v>
                </c:pt>
                <c:pt idx="13">
                  <c:v>410</c:v>
                </c:pt>
                <c:pt idx="14">
                  <c:v>455</c:v>
                </c:pt>
                <c:pt idx="15">
                  <c:v>472</c:v>
                </c:pt>
                <c:pt idx="16">
                  <c:v>460</c:v>
                </c:pt>
                <c:pt idx="17">
                  <c:v>419</c:v>
                </c:pt>
                <c:pt idx="18">
                  <c:v>354</c:v>
                </c:pt>
                <c:pt idx="19">
                  <c:v>274</c:v>
                </c:pt>
                <c:pt idx="20">
                  <c:v>198</c:v>
                </c:pt>
                <c:pt idx="21">
                  <c:v>135</c:v>
                </c:pt>
                <c:pt idx="22">
                  <c:v>86</c:v>
                </c:pt>
                <c:pt idx="23">
                  <c:v>53</c:v>
                </c:pt>
                <c:pt idx="24">
                  <c:v>29</c:v>
                </c:pt>
                <c:pt idx="25">
                  <c:v>14</c:v>
                </c:pt>
                <c:pt idx="26">
                  <c:v>9</c:v>
                </c:pt>
                <c:pt idx="27">
                  <c:v>5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08-4B14-9D14-5D7F91CE792D}"/>
            </c:ext>
          </c:extLst>
        </c:ser>
        <c:ser>
          <c:idx val="2"/>
          <c:order val="2"/>
          <c:tx>
            <c:strRef>
              <c:f>'Infected SF'!$D$2</c:f>
              <c:strCache>
                <c:ptCount val="1"/>
                <c:pt idx="0">
                  <c:v>Run 3</c:v>
                </c:pt>
              </c:strCache>
            </c:strRef>
          </c:tx>
          <c:spPr>
            <a:ln w="19050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SF'!$D$3:$D$37</c:f>
              <c:numCache>
                <c:formatCode>General</c:formatCode>
                <c:ptCount val="35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11</c:v>
                </c:pt>
                <c:pt idx="4">
                  <c:v>19</c:v>
                </c:pt>
                <c:pt idx="5">
                  <c:v>30</c:v>
                </c:pt>
                <c:pt idx="6">
                  <c:v>47</c:v>
                </c:pt>
                <c:pt idx="7">
                  <c:v>64</c:v>
                </c:pt>
                <c:pt idx="8">
                  <c:v>94</c:v>
                </c:pt>
                <c:pt idx="9">
                  <c:v>132</c:v>
                </c:pt>
                <c:pt idx="10">
                  <c:v>183</c:v>
                </c:pt>
                <c:pt idx="11">
                  <c:v>231</c:v>
                </c:pt>
                <c:pt idx="12">
                  <c:v>296</c:v>
                </c:pt>
                <c:pt idx="13">
                  <c:v>363</c:v>
                </c:pt>
                <c:pt idx="14">
                  <c:v>417</c:v>
                </c:pt>
                <c:pt idx="15">
                  <c:v>451</c:v>
                </c:pt>
                <c:pt idx="16">
                  <c:v>450</c:v>
                </c:pt>
                <c:pt idx="17">
                  <c:v>434</c:v>
                </c:pt>
                <c:pt idx="18">
                  <c:v>378</c:v>
                </c:pt>
                <c:pt idx="19">
                  <c:v>311</c:v>
                </c:pt>
                <c:pt idx="20">
                  <c:v>234</c:v>
                </c:pt>
                <c:pt idx="21">
                  <c:v>169</c:v>
                </c:pt>
                <c:pt idx="22">
                  <c:v>115</c:v>
                </c:pt>
                <c:pt idx="23">
                  <c:v>75</c:v>
                </c:pt>
                <c:pt idx="24">
                  <c:v>49</c:v>
                </c:pt>
                <c:pt idx="25">
                  <c:v>31</c:v>
                </c:pt>
                <c:pt idx="26">
                  <c:v>21</c:v>
                </c:pt>
                <c:pt idx="27">
                  <c:v>10</c:v>
                </c:pt>
                <c:pt idx="28">
                  <c:v>6</c:v>
                </c:pt>
                <c:pt idx="29">
                  <c:v>3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08-4B14-9D14-5D7F91CE792D}"/>
            </c:ext>
          </c:extLst>
        </c:ser>
        <c:ser>
          <c:idx val="3"/>
          <c:order val="3"/>
          <c:tx>
            <c:strRef>
              <c:f>'Infected SF'!$E$2</c:f>
              <c:strCache>
                <c:ptCount val="1"/>
                <c:pt idx="0">
                  <c:v>Run 4</c:v>
                </c:pt>
              </c:strCache>
            </c:strRef>
          </c:tx>
          <c:spPr>
            <a:ln w="19050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SF'!$E$3:$E$37</c:f>
              <c:numCache>
                <c:formatCode>General</c:formatCode>
                <c:ptCount val="3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508-4B14-9D14-5D7F91CE792D}"/>
            </c:ext>
          </c:extLst>
        </c:ser>
        <c:ser>
          <c:idx val="4"/>
          <c:order val="4"/>
          <c:tx>
            <c:strRef>
              <c:f>'Infected SF'!$F$2</c:f>
              <c:strCache>
                <c:ptCount val="1"/>
                <c:pt idx="0">
                  <c:v>Run 5</c:v>
                </c:pt>
              </c:strCache>
            </c:strRef>
          </c:tx>
          <c:spPr>
            <a:ln w="19050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SF'!$F$3:$F$37</c:f>
              <c:numCache>
                <c:formatCode>General</c:formatCode>
                <c:ptCount val="35"/>
                <c:pt idx="0">
                  <c:v>2</c:v>
                </c:pt>
                <c:pt idx="1">
                  <c:v>5</c:v>
                </c:pt>
                <c:pt idx="2">
                  <c:v>11</c:v>
                </c:pt>
                <c:pt idx="3">
                  <c:v>18</c:v>
                </c:pt>
                <c:pt idx="4">
                  <c:v>25</c:v>
                </c:pt>
                <c:pt idx="5">
                  <c:v>41</c:v>
                </c:pt>
                <c:pt idx="6">
                  <c:v>64</c:v>
                </c:pt>
                <c:pt idx="7">
                  <c:v>101</c:v>
                </c:pt>
                <c:pt idx="8">
                  <c:v>155</c:v>
                </c:pt>
                <c:pt idx="9">
                  <c:v>219</c:v>
                </c:pt>
                <c:pt idx="10">
                  <c:v>316</c:v>
                </c:pt>
                <c:pt idx="11">
                  <c:v>399</c:v>
                </c:pt>
                <c:pt idx="12">
                  <c:v>466</c:v>
                </c:pt>
                <c:pt idx="13">
                  <c:v>505</c:v>
                </c:pt>
                <c:pt idx="14">
                  <c:v>490</c:v>
                </c:pt>
                <c:pt idx="15">
                  <c:v>458</c:v>
                </c:pt>
                <c:pt idx="16">
                  <c:v>373</c:v>
                </c:pt>
                <c:pt idx="17">
                  <c:v>289</c:v>
                </c:pt>
                <c:pt idx="18">
                  <c:v>211</c:v>
                </c:pt>
                <c:pt idx="19">
                  <c:v>138</c:v>
                </c:pt>
                <c:pt idx="20">
                  <c:v>99</c:v>
                </c:pt>
                <c:pt idx="21">
                  <c:v>63</c:v>
                </c:pt>
                <c:pt idx="22">
                  <c:v>46</c:v>
                </c:pt>
                <c:pt idx="23">
                  <c:v>32</c:v>
                </c:pt>
                <c:pt idx="24">
                  <c:v>19</c:v>
                </c:pt>
                <c:pt idx="25">
                  <c:v>13</c:v>
                </c:pt>
                <c:pt idx="26">
                  <c:v>7</c:v>
                </c:pt>
                <c:pt idx="27">
                  <c:v>4</c:v>
                </c:pt>
                <c:pt idx="28">
                  <c:v>2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508-4B14-9D14-5D7F91CE792D}"/>
            </c:ext>
          </c:extLst>
        </c:ser>
        <c:ser>
          <c:idx val="5"/>
          <c:order val="5"/>
          <c:tx>
            <c:strRef>
              <c:f>'Infected SF'!$G$2</c:f>
              <c:strCache>
                <c:ptCount val="1"/>
                <c:pt idx="0">
                  <c:v>Run 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SF'!$G$3:$G$37</c:f>
              <c:numCache>
                <c:formatCode>General</c:formatCode>
                <c:ptCount val="35"/>
                <c:pt idx="0">
                  <c:v>2</c:v>
                </c:pt>
                <c:pt idx="1">
                  <c:v>4</c:v>
                </c:pt>
                <c:pt idx="2">
                  <c:v>9</c:v>
                </c:pt>
                <c:pt idx="3">
                  <c:v>20</c:v>
                </c:pt>
                <c:pt idx="4">
                  <c:v>30</c:v>
                </c:pt>
                <c:pt idx="5">
                  <c:v>47</c:v>
                </c:pt>
                <c:pt idx="6">
                  <c:v>71</c:v>
                </c:pt>
                <c:pt idx="7">
                  <c:v>118</c:v>
                </c:pt>
                <c:pt idx="8">
                  <c:v>169</c:v>
                </c:pt>
                <c:pt idx="9">
                  <c:v>241</c:v>
                </c:pt>
                <c:pt idx="10">
                  <c:v>316</c:v>
                </c:pt>
                <c:pt idx="11">
                  <c:v>413</c:v>
                </c:pt>
                <c:pt idx="12">
                  <c:v>498</c:v>
                </c:pt>
                <c:pt idx="13">
                  <c:v>532</c:v>
                </c:pt>
                <c:pt idx="14">
                  <c:v>543</c:v>
                </c:pt>
                <c:pt idx="15">
                  <c:v>500</c:v>
                </c:pt>
                <c:pt idx="16">
                  <c:v>438</c:v>
                </c:pt>
                <c:pt idx="17">
                  <c:v>341</c:v>
                </c:pt>
                <c:pt idx="18">
                  <c:v>237</c:v>
                </c:pt>
                <c:pt idx="19">
                  <c:v>156</c:v>
                </c:pt>
                <c:pt idx="20">
                  <c:v>91</c:v>
                </c:pt>
                <c:pt idx="21">
                  <c:v>51</c:v>
                </c:pt>
                <c:pt idx="22">
                  <c:v>28</c:v>
                </c:pt>
                <c:pt idx="23">
                  <c:v>11</c:v>
                </c:pt>
                <c:pt idx="24">
                  <c:v>4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508-4B14-9D14-5D7F91CE792D}"/>
            </c:ext>
          </c:extLst>
        </c:ser>
        <c:ser>
          <c:idx val="6"/>
          <c:order val="6"/>
          <c:tx>
            <c:strRef>
              <c:f>'Infected SF'!$H$2</c:f>
              <c:strCache>
                <c:ptCount val="1"/>
                <c:pt idx="0">
                  <c:v>Run 7</c:v>
                </c:pt>
              </c:strCache>
            </c:strRef>
          </c:tx>
          <c:spPr>
            <a:ln w="19050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SF'!$H$3:$H$37</c:f>
              <c:numCache>
                <c:formatCode>General</c:formatCode>
                <c:ptCount val="35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13</c:v>
                </c:pt>
                <c:pt idx="4">
                  <c:v>20</c:v>
                </c:pt>
                <c:pt idx="5">
                  <c:v>34</c:v>
                </c:pt>
                <c:pt idx="6">
                  <c:v>56</c:v>
                </c:pt>
                <c:pt idx="7">
                  <c:v>93</c:v>
                </c:pt>
                <c:pt idx="8">
                  <c:v>136</c:v>
                </c:pt>
                <c:pt idx="9">
                  <c:v>200</c:v>
                </c:pt>
                <c:pt idx="10">
                  <c:v>269</c:v>
                </c:pt>
                <c:pt idx="11">
                  <c:v>348</c:v>
                </c:pt>
                <c:pt idx="12">
                  <c:v>411</c:v>
                </c:pt>
                <c:pt idx="13">
                  <c:v>463</c:v>
                </c:pt>
                <c:pt idx="14">
                  <c:v>488</c:v>
                </c:pt>
                <c:pt idx="15">
                  <c:v>473</c:v>
                </c:pt>
                <c:pt idx="16">
                  <c:v>434</c:v>
                </c:pt>
                <c:pt idx="17">
                  <c:v>358</c:v>
                </c:pt>
                <c:pt idx="18">
                  <c:v>281</c:v>
                </c:pt>
                <c:pt idx="19">
                  <c:v>203</c:v>
                </c:pt>
                <c:pt idx="20">
                  <c:v>136</c:v>
                </c:pt>
                <c:pt idx="21">
                  <c:v>83</c:v>
                </c:pt>
                <c:pt idx="22">
                  <c:v>49</c:v>
                </c:pt>
                <c:pt idx="23">
                  <c:v>34</c:v>
                </c:pt>
                <c:pt idx="24">
                  <c:v>25</c:v>
                </c:pt>
                <c:pt idx="25">
                  <c:v>14</c:v>
                </c:pt>
                <c:pt idx="26">
                  <c:v>10</c:v>
                </c:pt>
                <c:pt idx="27">
                  <c:v>8</c:v>
                </c:pt>
                <c:pt idx="28">
                  <c:v>5</c:v>
                </c:pt>
                <c:pt idx="29">
                  <c:v>3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508-4B14-9D14-5D7F91CE792D}"/>
            </c:ext>
          </c:extLst>
        </c:ser>
        <c:ser>
          <c:idx val="7"/>
          <c:order val="7"/>
          <c:tx>
            <c:strRef>
              <c:f>'Infected SF'!$I$2</c:f>
              <c:strCache>
                <c:ptCount val="1"/>
                <c:pt idx="0">
                  <c:v>Run 8</c:v>
                </c:pt>
              </c:strCache>
            </c:strRef>
          </c:tx>
          <c:spPr>
            <a:ln w="19050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SF'!$I$3:$I$37</c:f>
              <c:numCache>
                <c:formatCode>General</c:formatCode>
                <c:ptCount val="35"/>
                <c:pt idx="0">
                  <c:v>2</c:v>
                </c:pt>
                <c:pt idx="1">
                  <c:v>6</c:v>
                </c:pt>
                <c:pt idx="2">
                  <c:v>11</c:v>
                </c:pt>
                <c:pt idx="3">
                  <c:v>22</c:v>
                </c:pt>
                <c:pt idx="4">
                  <c:v>38</c:v>
                </c:pt>
                <c:pt idx="5">
                  <c:v>63</c:v>
                </c:pt>
                <c:pt idx="6">
                  <c:v>102</c:v>
                </c:pt>
                <c:pt idx="7">
                  <c:v>159</c:v>
                </c:pt>
                <c:pt idx="8">
                  <c:v>231</c:v>
                </c:pt>
                <c:pt idx="9">
                  <c:v>315</c:v>
                </c:pt>
                <c:pt idx="10">
                  <c:v>392</c:v>
                </c:pt>
                <c:pt idx="11">
                  <c:v>466</c:v>
                </c:pt>
                <c:pt idx="12">
                  <c:v>513</c:v>
                </c:pt>
                <c:pt idx="13">
                  <c:v>521</c:v>
                </c:pt>
                <c:pt idx="14">
                  <c:v>496</c:v>
                </c:pt>
                <c:pt idx="15">
                  <c:v>428</c:v>
                </c:pt>
                <c:pt idx="16">
                  <c:v>343</c:v>
                </c:pt>
                <c:pt idx="17">
                  <c:v>252</c:v>
                </c:pt>
                <c:pt idx="18">
                  <c:v>166</c:v>
                </c:pt>
                <c:pt idx="19">
                  <c:v>101</c:v>
                </c:pt>
                <c:pt idx="20">
                  <c:v>50</c:v>
                </c:pt>
                <c:pt idx="21">
                  <c:v>24</c:v>
                </c:pt>
                <c:pt idx="22">
                  <c:v>17</c:v>
                </c:pt>
                <c:pt idx="23">
                  <c:v>10</c:v>
                </c:pt>
                <c:pt idx="24">
                  <c:v>9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508-4B14-9D14-5D7F91CE792D}"/>
            </c:ext>
          </c:extLst>
        </c:ser>
        <c:ser>
          <c:idx val="8"/>
          <c:order val="8"/>
          <c:tx>
            <c:strRef>
              <c:f>'Infected SF'!$J$2</c:f>
              <c:strCache>
                <c:ptCount val="1"/>
                <c:pt idx="0">
                  <c:v>Run 9</c:v>
                </c:pt>
              </c:strCache>
            </c:strRef>
          </c:tx>
          <c:spPr>
            <a:ln w="19050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SF'!$J$3:$J$37</c:f>
              <c:numCache>
                <c:formatCode>General</c:formatCode>
                <c:ptCount val="35"/>
                <c:pt idx="0">
                  <c:v>2</c:v>
                </c:pt>
                <c:pt idx="1">
                  <c:v>4</c:v>
                </c:pt>
                <c:pt idx="2">
                  <c:v>11</c:v>
                </c:pt>
                <c:pt idx="3">
                  <c:v>17</c:v>
                </c:pt>
                <c:pt idx="4">
                  <c:v>27</c:v>
                </c:pt>
                <c:pt idx="5">
                  <c:v>41</c:v>
                </c:pt>
                <c:pt idx="6">
                  <c:v>55</c:v>
                </c:pt>
                <c:pt idx="7">
                  <c:v>84</c:v>
                </c:pt>
                <c:pt idx="8">
                  <c:v>109</c:v>
                </c:pt>
                <c:pt idx="9">
                  <c:v>157</c:v>
                </c:pt>
                <c:pt idx="10">
                  <c:v>214</c:v>
                </c:pt>
                <c:pt idx="11">
                  <c:v>278</c:v>
                </c:pt>
                <c:pt idx="12">
                  <c:v>356</c:v>
                </c:pt>
                <c:pt idx="13">
                  <c:v>399</c:v>
                </c:pt>
                <c:pt idx="14">
                  <c:v>448</c:v>
                </c:pt>
                <c:pt idx="15">
                  <c:v>455</c:v>
                </c:pt>
                <c:pt idx="16">
                  <c:v>438</c:v>
                </c:pt>
                <c:pt idx="17">
                  <c:v>397</c:v>
                </c:pt>
                <c:pt idx="18">
                  <c:v>326</c:v>
                </c:pt>
                <c:pt idx="19">
                  <c:v>266</c:v>
                </c:pt>
                <c:pt idx="20">
                  <c:v>190</c:v>
                </c:pt>
                <c:pt idx="21">
                  <c:v>131</c:v>
                </c:pt>
                <c:pt idx="22">
                  <c:v>82</c:v>
                </c:pt>
                <c:pt idx="23">
                  <c:v>45</c:v>
                </c:pt>
                <c:pt idx="24">
                  <c:v>22</c:v>
                </c:pt>
                <c:pt idx="25">
                  <c:v>8</c:v>
                </c:pt>
                <c:pt idx="26">
                  <c:v>3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508-4B14-9D14-5D7F91CE792D}"/>
            </c:ext>
          </c:extLst>
        </c:ser>
        <c:ser>
          <c:idx val="9"/>
          <c:order val="9"/>
          <c:tx>
            <c:strRef>
              <c:f>'Infected SF'!$K$2</c:f>
              <c:strCache>
                <c:ptCount val="1"/>
                <c:pt idx="0">
                  <c:v>Run 10</c:v>
                </c:pt>
              </c:strCache>
            </c:strRef>
          </c:tx>
          <c:spPr>
            <a:ln w="19050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SF'!$K$3:$K$37</c:f>
              <c:numCache>
                <c:formatCode>General</c:formatCode>
                <c:ptCount val="35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9</c:v>
                </c:pt>
                <c:pt idx="4">
                  <c:v>14</c:v>
                </c:pt>
                <c:pt idx="5">
                  <c:v>22</c:v>
                </c:pt>
                <c:pt idx="6">
                  <c:v>32</c:v>
                </c:pt>
                <c:pt idx="7">
                  <c:v>45</c:v>
                </c:pt>
                <c:pt idx="8">
                  <c:v>66</c:v>
                </c:pt>
                <c:pt idx="9">
                  <c:v>97</c:v>
                </c:pt>
                <c:pt idx="10">
                  <c:v>131</c:v>
                </c:pt>
                <c:pt idx="11">
                  <c:v>182</c:v>
                </c:pt>
                <c:pt idx="12">
                  <c:v>253</c:v>
                </c:pt>
                <c:pt idx="13">
                  <c:v>342</c:v>
                </c:pt>
                <c:pt idx="14">
                  <c:v>415</c:v>
                </c:pt>
                <c:pt idx="15">
                  <c:v>469</c:v>
                </c:pt>
                <c:pt idx="16">
                  <c:v>500</c:v>
                </c:pt>
                <c:pt idx="17">
                  <c:v>490</c:v>
                </c:pt>
                <c:pt idx="18">
                  <c:v>439</c:v>
                </c:pt>
                <c:pt idx="19">
                  <c:v>350</c:v>
                </c:pt>
                <c:pt idx="20">
                  <c:v>263</c:v>
                </c:pt>
                <c:pt idx="21">
                  <c:v>181</c:v>
                </c:pt>
                <c:pt idx="22">
                  <c:v>117</c:v>
                </c:pt>
                <c:pt idx="23">
                  <c:v>71</c:v>
                </c:pt>
                <c:pt idx="24">
                  <c:v>41</c:v>
                </c:pt>
                <c:pt idx="25">
                  <c:v>29</c:v>
                </c:pt>
                <c:pt idx="26">
                  <c:v>19</c:v>
                </c:pt>
                <c:pt idx="27">
                  <c:v>13</c:v>
                </c:pt>
                <c:pt idx="28">
                  <c:v>8</c:v>
                </c:pt>
                <c:pt idx="29">
                  <c:v>5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508-4B14-9D14-5D7F91CE792D}"/>
            </c:ext>
          </c:extLst>
        </c:ser>
        <c:ser>
          <c:idx val="10"/>
          <c:order val="10"/>
          <c:tx>
            <c:strRef>
              <c:f>'Infected SF'!$L$2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'Infected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'Infected SF'!$L$3:$L$37</c:f>
              <c:numCache>
                <c:formatCode>General</c:formatCode>
                <c:ptCount val="35"/>
                <c:pt idx="0">
                  <c:v>2</c:v>
                </c:pt>
                <c:pt idx="1">
                  <c:v>4</c:v>
                </c:pt>
                <c:pt idx="2">
                  <c:v>8.5</c:v>
                </c:pt>
                <c:pt idx="3">
                  <c:v>15</c:v>
                </c:pt>
                <c:pt idx="4">
                  <c:v>23.8</c:v>
                </c:pt>
                <c:pt idx="5">
                  <c:v>38.6</c:v>
                </c:pt>
                <c:pt idx="6">
                  <c:v>58.1</c:v>
                </c:pt>
                <c:pt idx="7">
                  <c:v>89.7</c:v>
                </c:pt>
                <c:pt idx="8">
                  <c:v>127.9</c:v>
                </c:pt>
                <c:pt idx="9">
                  <c:v>178.6</c:v>
                </c:pt>
                <c:pt idx="10">
                  <c:v>237.3</c:v>
                </c:pt>
                <c:pt idx="11">
                  <c:v>298.3</c:v>
                </c:pt>
                <c:pt idx="12">
                  <c:v>358.5</c:v>
                </c:pt>
                <c:pt idx="13">
                  <c:v>400.1</c:v>
                </c:pt>
                <c:pt idx="14">
                  <c:v>420.8</c:v>
                </c:pt>
                <c:pt idx="15">
                  <c:v>413.3</c:v>
                </c:pt>
                <c:pt idx="16">
                  <c:v>379.8</c:v>
                </c:pt>
                <c:pt idx="17">
                  <c:v>327.8</c:v>
                </c:pt>
                <c:pt idx="18">
                  <c:v>260.8</c:v>
                </c:pt>
                <c:pt idx="19">
                  <c:v>194.7</c:v>
                </c:pt>
                <c:pt idx="20">
                  <c:v>136.1</c:v>
                </c:pt>
                <c:pt idx="21">
                  <c:v>89.5</c:v>
                </c:pt>
                <c:pt idx="22">
                  <c:v>57.6</c:v>
                </c:pt>
                <c:pt idx="23">
                  <c:v>35</c:v>
                </c:pt>
                <c:pt idx="24">
                  <c:v>21.1</c:v>
                </c:pt>
                <c:pt idx="25">
                  <c:v>12.5</c:v>
                </c:pt>
                <c:pt idx="26">
                  <c:v>7.9</c:v>
                </c:pt>
                <c:pt idx="27">
                  <c:v>4.9000000000000004</c:v>
                </c:pt>
                <c:pt idx="28">
                  <c:v>2.9</c:v>
                </c:pt>
                <c:pt idx="29">
                  <c:v>1.7</c:v>
                </c:pt>
                <c:pt idx="30">
                  <c:v>0.9</c:v>
                </c:pt>
                <c:pt idx="31">
                  <c:v>0.4</c:v>
                </c:pt>
                <c:pt idx="32">
                  <c:v>0.2</c:v>
                </c:pt>
                <c:pt idx="33">
                  <c:v>0.1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508-4B14-9D14-5D7F91CE7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90784"/>
        <c:axId val="1318262624"/>
      </c:scatterChart>
      <c:valAx>
        <c:axId val="107739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62624"/>
        <c:crosses val="autoZero"/>
        <c:crossBetween val="midCat"/>
      </c:valAx>
      <c:valAx>
        <c:axId val="1318262624"/>
        <c:scaling>
          <c:orientation val="minMax"/>
          <c:max val="6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0784"/>
        <c:crosses val="autoZero"/>
        <c:crossBetween val="midCat"/>
        <c:majorUnit val="200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'Infected FF'!$B$2</c:f>
              <c:strCache>
                <c:ptCount val="1"/>
                <c:pt idx="0">
                  <c:v>Run 1</c:v>
                </c:pt>
              </c:strCache>
            </c:strRef>
          </c:tx>
          <c:spPr>
            <a:ln w="19050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FF'!$B$3:$B$200</c:f>
              <c:numCache>
                <c:formatCode>General</c:formatCode>
                <c:ptCount val="198"/>
                <c:pt idx="0">
                  <c:v>2</c:v>
                </c:pt>
                <c:pt idx="1">
                  <c:v>5</c:v>
                </c:pt>
                <c:pt idx="2">
                  <c:v>14</c:v>
                </c:pt>
                <c:pt idx="3">
                  <c:v>22</c:v>
                </c:pt>
                <c:pt idx="4">
                  <c:v>35</c:v>
                </c:pt>
                <c:pt idx="5">
                  <c:v>50</c:v>
                </c:pt>
                <c:pt idx="6">
                  <c:v>68</c:v>
                </c:pt>
                <c:pt idx="7">
                  <c:v>81</c:v>
                </c:pt>
                <c:pt idx="8">
                  <c:v>85</c:v>
                </c:pt>
                <c:pt idx="9">
                  <c:v>82</c:v>
                </c:pt>
                <c:pt idx="10">
                  <c:v>74</c:v>
                </c:pt>
                <c:pt idx="11">
                  <c:v>63</c:v>
                </c:pt>
                <c:pt idx="12">
                  <c:v>49</c:v>
                </c:pt>
                <c:pt idx="13">
                  <c:v>40</c:v>
                </c:pt>
                <c:pt idx="14">
                  <c:v>35</c:v>
                </c:pt>
                <c:pt idx="15">
                  <c:v>39</c:v>
                </c:pt>
                <c:pt idx="16">
                  <c:v>44</c:v>
                </c:pt>
                <c:pt idx="17">
                  <c:v>52</c:v>
                </c:pt>
                <c:pt idx="18">
                  <c:v>53</c:v>
                </c:pt>
                <c:pt idx="19">
                  <c:v>61</c:v>
                </c:pt>
                <c:pt idx="20">
                  <c:v>68</c:v>
                </c:pt>
                <c:pt idx="21">
                  <c:v>67</c:v>
                </c:pt>
                <c:pt idx="22">
                  <c:v>63</c:v>
                </c:pt>
                <c:pt idx="23">
                  <c:v>52</c:v>
                </c:pt>
                <c:pt idx="24">
                  <c:v>45</c:v>
                </c:pt>
                <c:pt idx="25">
                  <c:v>32</c:v>
                </c:pt>
                <c:pt idx="26">
                  <c:v>17</c:v>
                </c:pt>
                <c:pt idx="27">
                  <c:v>10</c:v>
                </c:pt>
                <c:pt idx="28">
                  <c:v>9</c:v>
                </c:pt>
                <c:pt idx="29">
                  <c:v>14</c:v>
                </c:pt>
                <c:pt idx="30">
                  <c:v>21</c:v>
                </c:pt>
                <c:pt idx="31">
                  <c:v>22</c:v>
                </c:pt>
                <c:pt idx="32">
                  <c:v>24</c:v>
                </c:pt>
                <c:pt idx="33">
                  <c:v>27</c:v>
                </c:pt>
                <c:pt idx="34">
                  <c:v>24</c:v>
                </c:pt>
                <c:pt idx="35">
                  <c:v>20</c:v>
                </c:pt>
                <c:pt idx="36">
                  <c:v>17</c:v>
                </c:pt>
                <c:pt idx="37">
                  <c:v>15</c:v>
                </c:pt>
                <c:pt idx="38">
                  <c:v>16</c:v>
                </c:pt>
                <c:pt idx="39">
                  <c:v>15</c:v>
                </c:pt>
                <c:pt idx="40">
                  <c:v>17</c:v>
                </c:pt>
                <c:pt idx="41">
                  <c:v>17</c:v>
                </c:pt>
                <c:pt idx="42">
                  <c:v>14</c:v>
                </c:pt>
                <c:pt idx="43">
                  <c:v>13</c:v>
                </c:pt>
                <c:pt idx="44">
                  <c:v>10</c:v>
                </c:pt>
                <c:pt idx="45">
                  <c:v>7</c:v>
                </c:pt>
                <c:pt idx="46">
                  <c:v>4</c:v>
                </c:pt>
                <c:pt idx="47">
                  <c:v>4</c:v>
                </c:pt>
                <c:pt idx="48">
                  <c:v>9</c:v>
                </c:pt>
                <c:pt idx="49">
                  <c:v>15</c:v>
                </c:pt>
                <c:pt idx="50">
                  <c:v>20</c:v>
                </c:pt>
                <c:pt idx="51">
                  <c:v>26</c:v>
                </c:pt>
                <c:pt idx="52">
                  <c:v>30</c:v>
                </c:pt>
                <c:pt idx="53">
                  <c:v>35</c:v>
                </c:pt>
                <c:pt idx="54">
                  <c:v>30</c:v>
                </c:pt>
                <c:pt idx="55">
                  <c:v>28</c:v>
                </c:pt>
                <c:pt idx="56">
                  <c:v>23</c:v>
                </c:pt>
                <c:pt idx="57">
                  <c:v>19</c:v>
                </c:pt>
                <c:pt idx="58">
                  <c:v>16</c:v>
                </c:pt>
                <c:pt idx="59">
                  <c:v>10</c:v>
                </c:pt>
                <c:pt idx="60">
                  <c:v>15</c:v>
                </c:pt>
                <c:pt idx="61">
                  <c:v>13</c:v>
                </c:pt>
                <c:pt idx="62">
                  <c:v>15</c:v>
                </c:pt>
                <c:pt idx="63">
                  <c:v>15</c:v>
                </c:pt>
                <c:pt idx="64">
                  <c:v>16</c:v>
                </c:pt>
                <c:pt idx="65">
                  <c:v>20</c:v>
                </c:pt>
                <c:pt idx="66">
                  <c:v>18</c:v>
                </c:pt>
                <c:pt idx="67">
                  <c:v>17</c:v>
                </c:pt>
                <c:pt idx="68">
                  <c:v>17</c:v>
                </c:pt>
                <c:pt idx="69">
                  <c:v>16</c:v>
                </c:pt>
                <c:pt idx="70">
                  <c:v>13</c:v>
                </c:pt>
                <c:pt idx="71">
                  <c:v>8</c:v>
                </c:pt>
                <c:pt idx="72">
                  <c:v>4</c:v>
                </c:pt>
                <c:pt idx="73">
                  <c:v>3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FA-4671-BEF9-14D8F0E37DFF}"/>
            </c:ext>
          </c:extLst>
        </c:ser>
        <c:ser>
          <c:idx val="1"/>
          <c:order val="1"/>
          <c:tx>
            <c:strRef>
              <c:f>'Infected FF'!$C$2</c:f>
              <c:strCache>
                <c:ptCount val="1"/>
                <c:pt idx="0">
                  <c:v>Run 2</c:v>
                </c:pt>
              </c:strCache>
            </c:strRef>
          </c:tx>
          <c:spPr>
            <a:ln w="19050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FF'!$C$3:$C$200</c:f>
              <c:numCache>
                <c:formatCode>General</c:formatCode>
                <c:ptCount val="198"/>
                <c:pt idx="0">
                  <c:v>2</c:v>
                </c:pt>
                <c:pt idx="1">
                  <c:v>3</c:v>
                </c:pt>
                <c:pt idx="2">
                  <c:v>7</c:v>
                </c:pt>
                <c:pt idx="3">
                  <c:v>17</c:v>
                </c:pt>
                <c:pt idx="4">
                  <c:v>33</c:v>
                </c:pt>
                <c:pt idx="5">
                  <c:v>48</c:v>
                </c:pt>
                <c:pt idx="6">
                  <c:v>64</c:v>
                </c:pt>
                <c:pt idx="7">
                  <c:v>89</c:v>
                </c:pt>
                <c:pt idx="8">
                  <c:v>92</c:v>
                </c:pt>
                <c:pt idx="9">
                  <c:v>86</c:v>
                </c:pt>
                <c:pt idx="10">
                  <c:v>74</c:v>
                </c:pt>
                <c:pt idx="11">
                  <c:v>61</c:v>
                </c:pt>
                <c:pt idx="12">
                  <c:v>45</c:v>
                </c:pt>
                <c:pt idx="13">
                  <c:v>25</c:v>
                </c:pt>
                <c:pt idx="14">
                  <c:v>23</c:v>
                </c:pt>
                <c:pt idx="15">
                  <c:v>24</c:v>
                </c:pt>
                <c:pt idx="16">
                  <c:v>29</c:v>
                </c:pt>
                <c:pt idx="17">
                  <c:v>36</c:v>
                </c:pt>
                <c:pt idx="18">
                  <c:v>42</c:v>
                </c:pt>
                <c:pt idx="19">
                  <c:v>41</c:v>
                </c:pt>
                <c:pt idx="20">
                  <c:v>42</c:v>
                </c:pt>
                <c:pt idx="21">
                  <c:v>41</c:v>
                </c:pt>
                <c:pt idx="22">
                  <c:v>35</c:v>
                </c:pt>
                <c:pt idx="23">
                  <c:v>28</c:v>
                </c:pt>
                <c:pt idx="24">
                  <c:v>24</c:v>
                </c:pt>
                <c:pt idx="25">
                  <c:v>25</c:v>
                </c:pt>
                <c:pt idx="26">
                  <c:v>27</c:v>
                </c:pt>
                <c:pt idx="27">
                  <c:v>34</c:v>
                </c:pt>
                <c:pt idx="28">
                  <c:v>44</c:v>
                </c:pt>
                <c:pt idx="29">
                  <c:v>54</c:v>
                </c:pt>
                <c:pt idx="30">
                  <c:v>56</c:v>
                </c:pt>
                <c:pt idx="31">
                  <c:v>54</c:v>
                </c:pt>
                <c:pt idx="32">
                  <c:v>48</c:v>
                </c:pt>
                <c:pt idx="33">
                  <c:v>41</c:v>
                </c:pt>
                <c:pt idx="34">
                  <c:v>30</c:v>
                </c:pt>
                <c:pt idx="35">
                  <c:v>24</c:v>
                </c:pt>
                <c:pt idx="36">
                  <c:v>22</c:v>
                </c:pt>
                <c:pt idx="37">
                  <c:v>20</c:v>
                </c:pt>
                <c:pt idx="38">
                  <c:v>24</c:v>
                </c:pt>
                <c:pt idx="39">
                  <c:v>28</c:v>
                </c:pt>
                <c:pt idx="40">
                  <c:v>34</c:v>
                </c:pt>
                <c:pt idx="41">
                  <c:v>37</c:v>
                </c:pt>
                <c:pt idx="42">
                  <c:v>44</c:v>
                </c:pt>
                <c:pt idx="43">
                  <c:v>50</c:v>
                </c:pt>
                <c:pt idx="44">
                  <c:v>52</c:v>
                </c:pt>
                <c:pt idx="45">
                  <c:v>50</c:v>
                </c:pt>
                <c:pt idx="46">
                  <c:v>51</c:v>
                </c:pt>
                <c:pt idx="47">
                  <c:v>47</c:v>
                </c:pt>
                <c:pt idx="48">
                  <c:v>44</c:v>
                </c:pt>
                <c:pt idx="49">
                  <c:v>43</c:v>
                </c:pt>
                <c:pt idx="50">
                  <c:v>36</c:v>
                </c:pt>
                <c:pt idx="51">
                  <c:v>32</c:v>
                </c:pt>
                <c:pt idx="52">
                  <c:v>24</c:v>
                </c:pt>
                <c:pt idx="53">
                  <c:v>21</c:v>
                </c:pt>
                <c:pt idx="54">
                  <c:v>20</c:v>
                </c:pt>
                <c:pt idx="55">
                  <c:v>17</c:v>
                </c:pt>
                <c:pt idx="56">
                  <c:v>21</c:v>
                </c:pt>
                <c:pt idx="57">
                  <c:v>24</c:v>
                </c:pt>
                <c:pt idx="58">
                  <c:v>27</c:v>
                </c:pt>
                <c:pt idx="59">
                  <c:v>26</c:v>
                </c:pt>
                <c:pt idx="60">
                  <c:v>19</c:v>
                </c:pt>
                <c:pt idx="61">
                  <c:v>15</c:v>
                </c:pt>
                <c:pt idx="62">
                  <c:v>10</c:v>
                </c:pt>
                <c:pt idx="63">
                  <c:v>5</c:v>
                </c:pt>
                <c:pt idx="64">
                  <c:v>2</c:v>
                </c:pt>
                <c:pt idx="65">
                  <c:v>4</c:v>
                </c:pt>
                <c:pt idx="66">
                  <c:v>7</c:v>
                </c:pt>
                <c:pt idx="67">
                  <c:v>8</c:v>
                </c:pt>
                <c:pt idx="68">
                  <c:v>9</c:v>
                </c:pt>
                <c:pt idx="69">
                  <c:v>10</c:v>
                </c:pt>
                <c:pt idx="70">
                  <c:v>9</c:v>
                </c:pt>
                <c:pt idx="71">
                  <c:v>6</c:v>
                </c:pt>
                <c:pt idx="72">
                  <c:v>3</c:v>
                </c:pt>
                <c:pt idx="73">
                  <c:v>2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FA-4671-BEF9-14D8F0E37DFF}"/>
            </c:ext>
          </c:extLst>
        </c:ser>
        <c:ser>
          <c:idx val="2"/>
          <c:order val="2"/>
          <c:tx>
            <c:strRef>
              <c:f>'Infected FF'!$D$2</c:f>
              <c:strCache>
                <c:ptCount val="1"/>
                <c:pt idx="0">
                  <c:v>Run 3</c:v>
                </c:pt>
              </c:strCache>
            </c:strRef>
          </c:tx>
          <c:spPr>
            <a:ln w="19050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FF'!$D$3:$D$200</c:f>
              <c:numCache>
                <c:formatCode>General</c:formatCode>
                <c:ptCount val="198"/>
                <c:pt idx="0">
                  <c:v>2</c:v>
                </c:pt>
                <c:pt idx="1">
                  <c:v>6</c:v>
                </c:pt>
                <c:pt idx="2">
                  <c:v>11</c:v>
                </c:pt>
                <c:pt idx="3">
                  <c:v>20</c:v>
                </c:pt>
                <c:pt idx="4">
                  <c:v>27</c:v>
                </c:pt>
                <c:pt idx="5">
                  <c:v>34</c:v>
                </c:pt>
                <c:pt idx="6">
                  <c:v>38</c:v>
                </c:pt>
                <c:pt idx="7">
                  <c:v>46</c:v>
                </c:pt>
                <c:pt idx="8">
                  <c:v>52</c:v>
                </c:pt>
                <c:pt idx="9">
                  <c:v>61</c:v>
                </c:pt>
                <c:pt idx="10">
                  <c:v>71</c:v>
                </c:pt>
                <c:pt idx="11">
                  <c:v>70</c:v>
                </c:pt>
                <c:pt idx="12">
                  <c:v>74</c:v>
                </c:pt>
                <c:pt idx="13">
                  <c:v>70</c:v>
                </c:pt>
                <c:pt idx="14">
                  <c:v>62</c:v>
                </c:pt>
                <c:pt idx="15">
                  <c:v>51</c:v>
                </c:pt>
                <c:pt idx="16">
                  <c:v>46</c:v>
                </c:pt>
                <c:pt idx="17">
                  <c:v>46</c:v>
                </c:pt>
                <c:pt idx="18">
                  <c:v>44</c:v>
                </c:pt>
                <c:pt idx="19">
                  <c:v>42</c:v>
                </c:pt>
                <c:pt idx="20">
                  <c:v>44</c:v>
                </c:pt>
                <c:pt idx="21">
                  <c:v>41</c:v>
                </c:pt>
                <c:pt idx="22">
                  <c:v>33</c:v>
                </c:pt>
                <c:pt idx="23">
                  <c:v>31</c:v>
                </c:pt>
                <c:pt idx="24">
                  <c:v>26</c:v>
                </c:pt>
                <c:pt idx="25">
                  <c:v>25</c:v>
                </c:pt>
                <c:pt idx="26">
                  <c:v>24</c:v>
                </c:pt>
                <c:pt idx="27">
                  <c:v>27</c:v>
                </c:pt>
                <c:pt idx="28">
                  <c:v>28</c:v>
                </c:pt>
                <c:pt idx="29">
                  <c:v>27</c:v>
                </c:pt>
                <c:pt idx="30">
                  <c:v>26</c:v>
                </c:pt>
                <c:pt idx="31">
                  <c:v>23</c:v>
                </c:pt>
                <c:pt idx="32">
                  <c:v>19</c:v>
                </c:pt>
                <c:pt idx="33">
                  <c:v>14</c:v>
                </c:pt>
                <c:pt idx="34">
                  <c:v>9</c:v>
                </c:pt>
                <c:pt idx="35">
                  <c:v>8</c:v>
                </c:pt>
                <c:pt idx="36">
                  <c:v>9</c:v>
                </c:pt>
                <c:pt idx="37">
                  <c:v>8</c:v>
                </c:pt>
                <c:pt idx="38">
                  <c:v>12</c:v>
                </c:pt>
                <c:pt idx="39">
                  <c:v>12</c:v>
                </c:pt>
                <c:pt idx="40">
                  <c:v>16</c:v>
                </c:pt>
                <c:pt idx="41">
                  <c:v>16</c:v>
                </c:pt>
                <c:pt idx="42">
                  <c:v>15</c:v>
                </c:pt>
                <c:pt idx="43">
                  <c:v>14</c:v>
                </c:pt>
                <c:pt idx="44">
                  <c:v>11</c:v>
                </c:pt>
                <c:pt idx="45">
                  <c:v>9</c:v>
                </c:pt>
                <c:pt idx="46">
                  <c:v>5</c:v>
                </c:pt>
                <c:pt idx="47">
                  <c:v>4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FA-4671-BEF9-14D8F0E37DFF}"/>
            </c:ext>
          </c:extLst>
        </c:ser>
        <c:ser>
          <c:idx val="3"/>
          <c:order val="3"/>
          <c:tx>
            <c:strRef>
              <c:f>'Infected FF'!$E$2</c:f>
              <c:strCache>
                <c:ptCount val="1"/>
                <c:pt idx="0">
                  <c:v>Run 4</c:v>
                </c:pt>
              </c:strCache>
            </c:strRef>
          </c:tx>
          <c:spPr>
            <a:ln w="19050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FF'!$E$3:$E$200</c:f>
              <c:numCache>
                <c:formatCode>General</c:formatCode>
                <c:ptCount val="198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13</c:v>
                </c:pt>
                <c:pt idx="4">
                  <c:v>20</c:v>
                </c:pt>
                <c:pt idx="5">
                  <c:v>39</c:v>
                </c:pt>
                <c:pt idx="6">
                  <c:v>52</c:v>
                </c:pt>
                <c:pt idx="7">
                  <c:v>67</c:v>
                </c:pt>
                <c:pt idx="8">
                  <c:v>84</c:v>
                </c:pt>
                <c:pt idx="9">
                  <c:v>90</c:v>
                </c:pt>
                <c:pt idx="10">
                  <c:v>89</c:v>
                </c:pt>
                <c:pt idx="11">
                  <c:v>73</c:v>
                </c:pt>
                <c:pt idx="12">
                  <c:v>60</c:v>
                </c:pt>
                <c:pt idx="13">
                  <c:v>49</c:v>
                </c:pt>
                <c:pt idx="14">
                  <c:v>31</c:v>
                </c:pt>
                <c:pt idx="15">
                  <c:v>20</c:v>
                </c:pt>
                <c:pt idx="16">
                  <c:v>20</c:v>
                </c:pt>
                <c:pt idx="17">
                  <c:v>24</c:v>
                </c:pt>
                <c:pt idx="18">
                  <c:v>31</c:v>
                </c:pt>
                <c:pt idx="19">
                  <c:v>36</c:v>
                </c:pt>
                <c:pt idx="20">
                  <c:v>43</c:v>
                </c:pt>
                <c:pt idx="21">
                  <c:v>46</c:v>
                </c:pt>
                <c:pt idx="22">
                  <c:v>50</c:v>
                </c:pt>
                <c:pt idx="23">
                  <c:v>50</c:v>
                </c:pt>
                <c:pt idx="24">
                  <c:v>52</c:v>
                </c:pt>
                <c:pt idx="25">
                  <c:v>50</c:v>
                </c:pt>
                <c:pt idx="26">
                  <c:v>53</c:v>
                </c:pt>
                <c:pt idx="27">
                  <c:v>59</c:v>
                </c:pt>
                <c:pt idx="28">
                  <c:v>58</c:v>
                </c:pt>
                <c:pt idx="29">
                  <c:v>68</c:v>
                </c:pt>
                <c:pt idx="30">
                  <c:v>67</c:v>
                </c:pt>
                <c:pt idx="31">
                  <c:v>68</c:v>
                </c:pt>
                <c:pt idx="32">
                  <c:v>63</c:v>
                </c:pt>
                <c:pt idx="33">
                  <c:v>56</c:v>
                </c:pt>
                <c:pt idx="34">
                  <c:v>56</c:v>
                </c:pt>
                <c:pt idx="35">
                  <c:v>44</c:v>
                </c:pt>
                <c:pt idx="36">
                  <c:v>38</c:v>
                </c:pt>
                <c:pt idx="37">
                  <c:v>30</c:v>
                </c:pt>
                <c:pt idx="38">
                  <c:v>24</c:v>
                </c:pt>
                <c:pt idx="39">
                  <c:v>19</c:v>
                </c:pt>
                <c:pt idx="40">
                  <c:v>12</c:v>
                </c:pt>
                <c:pt idx="41">
                  <c:v>11</c:v>
                </c:pt>
                <c:pt idx="42">
                  <c:v>10</c:v>
                </c:pt>
                <c:pt idx="43">
                  <c:v>15</c:v>
                </c:pt>
                <c:pt idx="44">
                  <c:v>16</c:v>
                </c:pt>
                <c:pt idx="45">
                  <c:v>22</c:v>
                </c:pt>
                <c:pt idx="46">
                  <c:v>22</c:v>
                </c:pt>
                <c:pt idx="47">
                  <c:v>19</c:v>
                </c:pt>
                <c:pt idx="48">
                  <c:v>16</c:v>
                </c:pt>
                <c:pt idx="49">
                  <c:v>12</c:v>
                </c:pt>
                <c:pt idx="50">
                  <c:v>11</c:v>
                </c:pt>
                <c:pt idx="51">
                  <c:v>5</c:v>
                </c:pt>
                <c:pt idx="52">
                  <c:v>5</c:v>
                </c:pt>
                <c:pt idx="53">
                  <c:v>6</c:v>
                </c:pt>
                <c:pt idx="54">
                  <c:v>8</c:v>
                </c:pt>
                <c:pt idx="55">
                  <c:v>12</c:v>
                </c:pt>
                <c:pt idx="56">
                  <c:v>15</c:v>
                </c:pt>
                <c:pt idx="57">
                  <c:v>20</c:v>
                </c:pt>
                <c:pt idx="58">
                  <c:v>26</c:v>
                </c:pt>
                <c:pt idx="59">
                  <c:v>29</c:v>
                </c:pt>
                <c:pt idx="60">
                  <c:v>32</c:v>
                </c:pt>
                <c:pt idx="61">
                  <c:v>28</c:v>
                </c:pt>
                <c:pt idx="62">
                  <c:v>26</c:v>
                </c:pt>
                <c:pt idx="63">
                  <c:v>21</c:v>
                </c:pt>
                <c:pt idx="64">
                  <c:v>14</c:v>
                </c:pt>
                <c:pt idx="65">
                  <c:v>10</c:v>
                </c:pt>
                <c:pt idx="66">
                  <c:v>5</c:v>
                </c:pt>
                <c:pt idx="67">
                  <c:v>5</c:v>
                </c:pt>
                <c:pt idx="68">
                  <c:v>4</c:v>
                </c:pt>
                <c:pt idx="69">
                  <c:v>5</c:v>
                </c:pt>
                <c:pt idx="70">
                  <c:v>5</c:v>
                </c:pt>
                <c:pt idx="71">
                  <c:v>4</c:v>
                </c:pt>
                <c:pt idx="72">
                  <c:v>4</c:v>
                </c:pt>
                <c:pt idx="73">
                  <c:v>3</c:v>
                </c:pt>
                <c:pt idx="74">
                  <c:v>2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FA-4671-BEF9-14D8F0E37DFF}"/>
            </c:ext>
          </c:extLst>
        </c:ser>
        <c:ser>
          <c:idx val="4"/>
          <c:order val="4"/>
          <c:tx>
            <c:strRef>
              <c:f>'Infected FF'!$F$2</c:f>
              <c:strCache>
                <c:ptCount val="1"/>
                <c:pt idx="0">
                  <c:v>Run 5</c:v>
                </c:pt>
              </c:strCache>
            </c:strRef>
          </c:tx>
          <c:spPr>
            <a:ln w="19050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FF'!$F$3:$F$200</c:f>
              <c:numCache>
                <c:formatCode>General</c:formatCode>
                <c:ptCount val="198"/>
                <c:pt idx="0">
                  <c:v>2</c:v>
                </c:pt>
                <c:pt idx="1">
                  <c:v>4</c:v>
                </c:pt>
                <c:pt idx="2">
                  <c:v>9</c:v>
                </c:pt>
                <c:pt idx="3">
                  <c:v>15</c:v>
                </c:pt>
                <c:pt idx="4">
                  <c:v>23</c:v>
                </c:pt>
                <c:pt idx="5">
                  <c:v>33</c:v>
                </c:pt>
                <c:pt idx="6">
                  <c:v>41</c:v>
                </c:pt>
                <c:pt idx="7">
                  <c:v>48</c:v>
                </c:pt>
                <c:pt idx="8">
                  <c:v>58</c:v>
                </c:pt>
                <c:pt idx="9">
                  <c:v>69</c:v>
                </c:pt>
                <c:pt idx="10">
                  <c:v>95</c:v>
                </c:pt>
                <c:pt idx="11">
                  <c:v>112</c:v>
                </c:pt>
                <c:pt idx="12">
                  <c:v>109</c:v>
                </c:pt>
                <c:pt idx="13">
                  <c:v>108</c:v>
                </c:pt>
                <c:pt idx="14">
                  <c:v>94</c:v>
                </c:pt>
                <c:pt idx="15">
                  <c:v>81</c:v>
                </c:pt>
                <c:pt idx="16">
                  <c:v>49</c:v>
                </c:pt>
                <c:pt idx="17">
                  <c:v>24</c:v>
                </c:pt>
                <c:pt idx="18">
                  <c:v>22</c:v>
                </c:pt>
                <c:pt idx="19">
                  <c:v>23</c:v>
                </c:pt>
                <c:pt idx="20">
                  <c:v>33</c:v>
                </c:pt>
                <c:pt idx="21">
                  <c:v>39</c:v>
                </c:pt>
                <c:pt idx="22">
                  <c:v>42</c:v>
                </c:pt>
                <c:pt idx="23">
                  <c:v>49</c:v>
                </c:pt>
                <c:pt idx="24">
                  <c:v>48</c:v>
                </c:pt>
                <c:pt idx="25">
                  <c:v>52</c:v>
                </c:pt>
                <c:pt idx="26">
                  <c:v>45</c:v>
                </c:pt>
                <c:pt idx="27">
                  <c:v>43</c:v>
                </c:pt>
                <c:pt idx="28">
                  <c:v>41</c:v>
                </c:pt>
                <c:pt idx="29">
                  <c:v>32</c:v>
                </c:pt>
                <c:pt idx="30">
                  <c:v>32</c:v>
                </c:pt>
                <c:pt idx="31">
                  <c:v>20</c:v>
                </c:pt>
                <c:pt idx="32">
                  <c:v>17</c:v>
                </c:pt>
                <c:pt idx="33">
                  <c:v>19</c:v>
                </c:pt>
                <c:pt idx="34">
                  <c:v>20</c:v>
                </c:pt>
                <c:pt idx="35">
                  <c:v>28</c:v>
                </c:pt>
                <c:pt idx="36">
                  <c:v>31</c:v>
                </c:pt>
                <c:pt idx="37">
                  <c:v>39</c:v>
                </c:pt>
                <c:pt idx="38">
                  <c:v>51</c:v>
                </c:pt>
                <c:pt idx="39">
                  <c:v>45</c:v>
                </c:pt>
                <c:pt idx="40">
                  <c:v>53</c:v>
                </c:pt>
                <c:pt idx="41">
                  <c:v>52</c:v>
                </c:pt>
                <c:pt idx="42">
                  <c:v>49</c:v>
                </c:pt>
                <c:pt idx="43">
                  <c:v>44</c:v>
                </c:pt>
                <c:pt idx="44">
                  <c:v>33</c:v>
                </c:pt>
                <c:pt idx="45">
                  <c:v>30</c:v>
                </c:pt>
                <c:pt idx="46">
                  <c:v>21</c:v>
                </c:pt>
                <c:pt idx="47">
                  <c:v>14</c:v>
                </c:pt>
                <c:pt idx="48">
                  <c:v>10</c:v>
                </c:pt>
                <c:pt idx="49">
                  <c:v>6</c:v>
                </c:pt>
                <c:pt idx="50">
                  <c:v>4</c:v>
                </c:pt>
                <c:pt idx="51">
                  <c:v>3</c:v>
                </c:pt>
                <c:pt idx="52">
                  <c:v>4</c:v>
                </c:pt>
                <c:pt idx="53">
                  <c:v>6</c:v>
                </c:pt>
                <c:pt idx="54">
                  <c:v>10</c:v>
                </c:pt>
                <c:pt idx="55">
                  <c:v>15</c:v>
                </c:pt>
                <c:pt idx="56">
                  <c:v>21</c:v>
                </c:pt>
                <c:pt idx="57">
                  <c:v>24</c:v>
                </c:pt>
                <c:pt idx="58">
                  <c:v>24</c:v>
                </c:pt>
                <c:pt idx="59">
                  <c:v>22</c:v>
                </c:pt>
                <c:pt idx="60">
                  <c:v>20</c:v>
                </c:pt>
                <c:pt idx="61">
                  <c:v>15</c:v>
                </c:pt>
                <c:pt idx="62">
                  <c:v>9</c:v>
                </c:pt>
                <c:pt idx="63">
                  <c:v>11</c:v>
                </c:pt>
                <c:pt idx="64">
                  <c:v>9</c:v>
                </c:pt>
                <c:pt idx="65">
                  <c:v>11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14</c:v>
                </c:pt>
                <c:pt idx="70">
                  <c:v>12</c:v>
                </c:pt>
                <c:pt idx="71">
                  <c:v>12</c:v>
                </c:pt>
                <c:pt idx="72">
                  <c:v>5</c:v>
                </c:pt>
                <c:pt idx="73">
                  <c:v>6</c:v>
                </c:pt>
                <c:pt idx="74">
                  <c:v>9</c:v>
                </c:pt>
                <c:pt idx="75">
                  <c:v>10</c:v>
                </c:pt>
                <c:pt idx="76">
                  <c:v>14</c:v>
                </c:pt>
                <c:pt idx="77">
                  <c:v>15</c:v>
                </c:pt>
                <c:pt idx="78">
                  <c:v>16</c:v>
                </c:pt>
                <c:pt idx="79">
                  <c:v>16</c:v>
                </c:pt>
                <c:pt idx="80">
                  <c:v>12</c:v>
                </c:pt>
                <c:pt idx="81">
                  <c:v>10</c:v>
                </c:pt>
                <c:pt idx="82">
                  <c:v>6</c:v>
                </c:pt>
                <c:pt idx="83">
                  <c:v>3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FA-4671-BEF9-14D8F0E37DFF}"/>
            </c:ext>
          </c:extLst>
        </c:ser>
        <c:ser>
          <c:idx val="5"/>
          <c:order val="5"/>
          <c:tx>
            <c:strRef>
              <c:f>'Infected FF'!$G$2</c:f>
              <c:strCache>
                <c:ptCount val="1"/>
                <c:pt idx="0">
                  <c:v>Run 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FF'!$G$3:$G$200</c:f>
              <c:numCache>
                <c:formatCode>General</c:formatCode>
                <c:ptCount val="198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17</c:v>
                </c:pt>
                <c:pt idx="6">
                  <c:v>19</c:v>
                </c:pt>
                <c:pt idx="7">
                  <c:v>29</c:v>
                </c:pt>
                <c:pt idx="8">
                  <c:v>39</c:v>
                </c:pt>
                <c:pt idx="9">
                  <c:v>51</c:v>
                </c:pt>
                <c:pt idx="10">
                  <c:v>68</c:v>
                </c:pt>
                <c:pt idx="11">
                  <c:v>89</c:v>
                </c:pt>
                <c:pt idx="12">
                  <c:v>103</c:v>
                </c:pt>
                <c:pt idx="13">
                  <c:v>102</c:v>
                </c:pt>
                <c:pt idx="14">
                  <c:v>99</c:v>
                </c:pt>
                <c:pt idx="15">
                  <c:v>88</c:v>
                </c:pt>
                <c:pt idx="16">
                  <c:v>71</c:v>
                </c:pt>
                <c:pt idx="17">
                  <c:v>44</c:v>
                </c:pt>
                <c:pt idx="18">
                  <c:v>30</c:v>
                </c:pt>
                <c:pt idx="19">
                  <c:v>22</c:v>
                </c:pt>
                <c:pt idx="20">
                  <c:v>18</c:v>
                </c:pt>
                <c:pt idx="21">
                  <c:v>20</c:v>
                </c:pt>
                <c:pt idx="22">
                  <c:v>22</c:v>
                </c:pt>
                <c:pt idx="23">
                  <c:v>25</c:v>
                </c:pt>
                <c:pt idx="24">
                  <c:v>23</c:v>
                </c:pt>
                <c:pt idx="25">
                  <c:v>26</c:v>
                </c:pt>
                <c:pt idx="26">
                  <c:v>22</c:v>
                </c:pt>
                <c:pt idx="27">
                  <c:v>19</c:v>
                </c:pt>
                <c:pt idx="28">
                  <c:v>15</c:v>
                </c:pt>
                <c:pt idx="29">
                  <c:v>11</c:v>
                </c:pt>
                <c:pt idx="30">
                  <c:v>11</c:v>
                </c:pt>
                <c:pt idx="31">
                  <c:v>8</c:v>
                </c:pt>
                <c:pt idx="32">
                  <c:v>11</c:v>
                </c:pt>
                <c:pt idx="33">
                  <c:v>11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13</c:v>
                </c:pt>
                <c:pt idx="38">
                  <c:v>12</c:v>
                </c:pt>
                <c:pt idx="39">
                  <c:v>14</c:v>
                </c:pt>
                <c:pt idx="40">
                  <c:v>14</c:v>
                </c:pt>
                <c:pt idx="41">
                  <c:v>16</c:v>
                </c:pt>
                <c:pt idx="42">
                  <c:v>16</c:v>
                </c:pt>
                <c:pt idx="43">
                  <c:v>18</c:v>
                </c:pt>
                <c:pt idx="44">
                  <c:v>17</c:v>
                </c:pt>
                <c:pt idx="45">
                  <c:v>15</c:v>
                </c:pt>
                <c:pt idx="46">
                  <c:v>14</c:v>
                </c:pt>
                <c:pt idx="47">
                  <c:v>12</c:v>
                </c:pt>
                <c:pt idx="48">
                  <c:v>12</c:v>
                </c:pt>
                <c:pt idx="49">
                  <c:v>13</c:v>
                </c:pt>
                <c:pt idx="50">
                  <c:v>13</c:v>
                </c:pt>
                <c:pt idx="51">
                  <c:v>16</c:v>
                </c:pt>
                <c:pt idx="52">
                  <c:v>20</c:v>
                </c:pt>
                <c:pt idx="53">
                  <c:v>23</c:v>
                </c:pt>
                <c:pt idx="54">
                  <c:v>25</c:v>
                </c:pt>
                <c:pt idx="55">
                  <c:v>22</c:v>
                </c:pt>
                <c:pt idx="56">
                  <c:v>24</c:v>
                </c:pt>
                <c:pt idx="57">
                  <c:v>22</c:v>
                </c:pt>
                <c:pt idx="58">
                  <c:v>18</c:v>
                </c:pt>
                <c:pt idx="59">
                  <c:v>16</c:v>
                </c:pt>
                <c:pt idx="60">
                  <c:v>14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17</c:v>
                </c:pt>
                <c:pt idx="65">
                  <c:v>20</c:v>
                </c:pt>
                <c:pt idx="66">
                  <c:v>22</c:v>
                </c:pt>
                <c:pt idx="67">
                  <c:v>23</c:v>
                </c:pt>
                <c:pt idx="68">
                  <c:v>24</c:v>
                </c:pt>
                <c:pt idx="69">
                  <c:v>23</c:v>
                </c:pt>
                <c:pt idx="70">
                  <c:v>21</c:v>
                </c:pt>
                <c:pt idx="71">
                  <c:v>17</c:v>
                </c:pt>
                <c:pt idx="72">
                  <c:v>14</c:v>
                </c:pt>
                <c:pt idx="73">
                  <c:v>13</c:v>
                </c:pt>
                <c:pt idx="74">
                  <c:v>10</c:v>
                </c:pt>
                <c:pt idx="75">
                  <c:v>10</c:v>
                </c:pt>
                <c:pt idx="76">
                  <c:v>11</c:v>
                </c:pt>
                <c:pt idx="77">
                  <c:v>13</c:v>
                </c:pt>
                <c:pt idx="78">
                  <c:v>15</c:v>
                </c:pt>
                <c:pt idx="79">
                  <c:v>12</c:v>
                </c:pt>
                <c:pt idx="80">
                  <c:v>12</c:v>
                </c:pt>
                <c:pt idx="81">
                  <c:v>10</c:v>
                </c:pt>
                <c:pt idx="82">
                  <c:v>9</c:v>
                </c:pt>
                <c:pt idx="83">
                  <c:v>6</c:v>
                </c:pt>
                <c:pt idx="84">
                  <c:v>4</c:v>
                </c:pt>
                <c:pt idx="85">
                  <c:v>4</c:v>
                </c:pt>
                <c:pt idx="86">
                  <c:v>5</c:v>
                </c:pt>
                <c:pt idx="87">
                  <c:v>7</c:v>
                </c:pt>
                <c:pt idx="88">
                  <c:v>10</c:v>
                </c:pt>
                <c:pt idx="89">
                  <c:v>12</c:v>
                </c:pt>
                <c:pt idx="90">
                  <c:v>11</c:v>
                </c:pt>
                <c:pt idx="91">
                  <c:v>10</c:v>
                </c:pt>
                <c:pt idx="92">
                  <c:v>7</c:v>
                </c:pt>
                <c:pt idx="93">
                  <c:v>5</c:v>
                </c:pt>
                <c:pt idx="94">
                  <c:v>3</c:v>
                </c:pt>
                <c:pt idx="95">
                  <c:v>4</c:v>
                </c:pt>
                <c:pt idx="96">
                  <c:v>6</c:v>
                </c:pt>
                <c:pt idx="97">
                  <c:v>9</c:v>
                </c:pt>
                <c:pt idx="98">
                  <c:v>9</c:v>
                </c:pt>
                <c:pt idx="99">
                  <c:v>9</c:v>
                </c:pt>
                <c:pt idx="100">
                  <c:v>8</c:v>
                </c:pt>
                <c:pt idx="101">
                  <c:v>5</c:v>
                </c:pt>
                <c:pt idx="102">
                  <c:v>5</c:v>
                </c:pt>
                <c:pt idx="103">
                  <c:v>3</c:v>
                </c:pt>
                <c:pt idx="104">
                  <c:v>4</c:v>
                </c:pt>
                <c:pt idx="105">
                  <c:v>5</c:v>
                </c:pt>
                <c:pt idx="106">
                  <c:v>6</c:v>
                </c:pt>
                <c:pt idx="107">
                  <c:v>7</c:v>
                </c:pt>
                <c:pt idx="108">
                  <c:v>6</c:v>
                </c:pt>
                <c:pt idx="109">
                  <c:v>9</c:v>
                </c:pt>
                <c:pt idx="110">
                  <c:v>11</c:v>
                </c:pt>
                <c:pt idx="111">
                  <c:v>12</c:v>
                </c:pt>
                <c:pt idx="112">
                  <c:v>15</c:v>
                </c:pt>
                <c:pt idx="113">
                  <c:v>19</c:v>
                </c:pt>
                <c:pt idx="114">
                  <c:v>20</c:v>
                </c:pt>
                <c:pt idx="115">
                  <c:v>20</c:v>
                </c:pt>
                <c:pt idx="116">
                  <c:v>19</c:v>
                </c:pt>
                <c:pt idx="117">
                  <c:v>18</c:v>
                </c:pt>
                <c:pt idx="118">
                  <c:v>14</c:v>
                </c:pt>
                <c:pt idx="119">
                  <c:v>9</c:v>
                </c:pt>
                <c:pt idx="120">
                  <c:v>7</c:v>
                </c:pt>
                <c:pt idx="121">
                  <c:v>3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FA-4671-BEF9-14D8F0E37DFF}"/>
            </c:ext>
          </c:extLst>
        </c:ser>
        <c:ser>
          <c:idx val="6"/>
          <c:order val="6"/>
          <c:tx>
            <c:strRef>
              <c:f>'Infected FF'!$H$2</c:f>
              <c:strCache>
                <c:ptCount val="1"/>
                <c:pt idx="0">
                  <c:v>Run 7</c:v>
                </c:pt>
              </c:strCache>
            </c:strRef>
          </c:tx>
          <c:spPr>
            <a:ln w="19050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FF'!$H$3:$H$200</c:f>
              <c:numCache>
                <c:formatCode>General</c:formatCode>
                <c:ptCount val="198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14</c:v>
                </c:pt>
                <c:pt idx="5">
                  <c:v>16</c:v>
                </c:pt>
                <c:pt idx="6">
                  <c:v>19</c:v>
                </c:pt>
                <c:pt idx="7">
                  <c:v>20</c:v>
                </c:pt>
                <c:pt idx="8">
                  <c:v>25</c:v>
                </c:pt>
                <c:pt idx="9">
                  <c:v>26</c:v>
                </c:pt>
                <c:pt idx="10">
                  <c:v>29</c:v>
                </c:pt>
                <c:pt idx="11">
                  <c:v>31</c:v>
                </c:pt>
                <c:pt idx="12">
                  <c:v>33</c:v>
                </c:pt>
                <c:pt idx="13">
                  <c:v>34</c:v>
                </c:pt>
                <c:pt idx="14">
                  <c:v>33</c:v>
                </c:pt>
                <c:pt idx="15">
                  <c:v>32</c:v>
                </c:pt>
                <c:pt idx="16">
                  <c:v>28</c:v>
                </c:pt>
                <c:pt idx="17">
                  <c:v>28</c:v>
                </c:pt>
                <c:pt idx="18">
                  <c:v>27</c:v>
                </c:pt>
                <c:pt idx="19">
                  <c:v>29</c:v>
                </c:pt>
                <c:pt idx="20">
                  <c:v>31</c:v>
                </c:pt>
                <c:pt idx="21">
                  <c:v>36</c:v>
                </c:pt>
                <c:pt idx="22">
                  <c:v>43</c:v>
                </c:pt>
                <c:pt idx="23">
                  <c:v>46</c:v>
                </c:pt>
                <c:pt idx="24">
                  <c:v>47</c:v>
                </c:pt>
                <c:pt idx="25">
                  <c:v>54</c:v>
                </c:pt>
                <c:pt idx="26">
                  <c:v>64</c:v>
                </c:pt>
                <c:pt idx="27">
                  <c:v>70</c:v>
                </c:pt>
                <c:pt idx="28">
                  <c:v>79</c:v>
                </c:pt>
                <c:pt idx="29">
                  <c:v>85</c:v>
                </c:pt>
                <c:pt idx="30">
                  <c:v>88</c:v>
                </c:pt>
                <c:pt idx="31">
                  <c:v>82</c:v>
                </c:pt>
                <c:pt idx="32">
                  <c:v>71</c:v>
                </c:pt>
                <c:pt idx="33">
                  <c:v>60</c:v>
                </c:pt>
                <c:pt idx="34">
                  <c:v>48</c:v>
                </c:pt>
                <c:pt idx="35">
                  <c:v>42</c:v>
                </c:pt>
                <c:pt idx="36">
                  <c:v>41</c:v>
                </c:pt>
                <c:pt idx="37">
                  <c:v>38</c:v>
                </c:pt>
                <c:pt idx="38">
                  <c:v>39</c:v>
                </c:pt>
                <c:pt idx="39">
                  <c:v>37</c:v>
                </c:pt>
                <c:pt idx="40">
                  <c:v>35</c:v>
                </c:pt>
                <c:pt idx="41">
                  <c:v>33</c:v>
                </c:pt>
                <c:pt idx="42">
                  <c:v>27</c:v>
                </c:pt>
                <c:pt idx="43">
                  <c:v>27</c:v>
                </c:pt>
                <c:pt idx="44">
                  <c:v>21</c:v>
                </c:pt>
                <c:pt idx="45">
                  <c:v>19</c:v>
                </c:pt>
                <c:pt idx="46">
                  <c:v>16</c:v>
                </c:pt>
                <c:pt idx="47">
                  <c:v>14</c:v>
                </c:pt>
                <c:pt idx="48">
                  <c:v>12</c:v>
                </c:pt>
                <c:pt idx="49">
                  <c:v>12</c:v>
                </c:pt>
                <c:pt idx="50">
                  <c:v>10</c:v>
                </c:pt>
                <c:pt idx="51">
                  <c:v>9</c:v>
                </c:pt>
                <c:pt idx="52">
                  <c:v>8</c:v>
                </c:pt>
                <c:pt idx="53">
                  <c:v>5</c:v>
                </c:pt>
                <c:pt idx="54">
                  <c:v>4</c:v>
                </c:pt>
                <c:pt idx="55">
                  <c:v>4</c:v>
                </c:pt>
                <c:pt idx="56">
                  <c:v>5</c:v>
                </c:pt>
                <c:pt idx="57">
                  <c:v>8</c:v>
                </c:pt>
                <c:pt idx="58">
                  <c:v>9</c:v>
                </c:pt>
                <c:pt idx="59">
                  <c:v>11</c:v>
                </c:pt>
                <c:pt idx="60">
                  <c:v>12</c:v>
                </c:pt>
                <c:pt idx="61">
                  <c:v>11</c:v>
                </c:pt>
                <c:pt idx="62">
                  <c:v>11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11</c:v>
                </c:pt>
                <c:pt idx="67">
                  <c:v>10</c:v>
                </c:pt>
                <c:pt idx="68">
                  <c:v>9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16</c:v>
                </c:pt>
                <c:pt idx="73">
                  <c:v>15</c:v>
                </c:pt>
                <c:pt idx="74">
                  <c:v>17</c:v>
                </c:pt>
                <c:pt idx="75">
                  <c:v>15</c:v>
                </c:pt>
                <c:pt idx="76">
                  <c:v>13</c:v>
                </c:pt>
                <c:pt idx="77">
                  <c:v>12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FA-4671-BEF9-14D8F0E37DFF}"/>
            </c:ext>
          </c:extLst>
        </c:ser>
        <c:ser>
          <c:idx val="7"/>
          <c:order val="7"/>
          <c:tx>
            <c:strRef>
              <c:f>'Infected FF'!$I$2</c:f>
              <c:strCache>
                <c:ptCount val="1"/>
                <c:pt idx="0">
                  <c:v>Run 8</c:v>
                </c:pt>
              </c:strCache>
            </c:strRef>
          </c:tx>
          <c:spPr>
            <a:ln w="19050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FF'!$I$3:$I$200</c:f>
              <c:numCache>
                <c:formatCode>General</c:formatCode>
                <c:ptCount val="198"/>
                <c:pt idx="0">
                  <c:v>2</c:v>
                </c:pt>
                <c:pt idx="1">
                  <c:v>5</c:v>
                </c:pt>
                <c:pt idx="2">
                  <c:v>12</c:v>
                </c:pt>
                <c:pt idx="3">
                  <c:v>23</c:v>
                </c:pt>
                <c:pt idx="4">
                  <c:v>31</c:v>
                </c:pt>
                <c:pt idx="5">
                  <c:v>44</c:v>
                </c:pt>
                <c:pt idx="6">
                  <c:v>56</c:v>
                </c:pt>
                <c:pt idx="7">
                  <c:v>67</c:v>
                </c:pt>
                <c:pt idx="8">
                  <c:v>67</c:v>
                </c:pt>
                <c:pt idx="9">
                  <c:v>64</c:v>
                </c:pt>
                <c:pt idx="10">
                  <c:v>61</c:v>
                </c:pt>
                <c:pt idx="11">
                  <c:v>54</c:v>
                </c:pt>
                <c:pt idx="12">
                  <c:v>44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25</c:v>
                </c:pt>
                <c:pt idx="17">
                  <c:v>21</c:v>
                </c:pt>
                <c:pt idx="18">
                  <c:v>20</c:v>
                </c:pt>
                <c:pt idx="19">
                  <c:v>22</c:v>
                </c:pt>
                <c:pt idx="20">
                  <c:v>21</c:v>
                </c:pt>
                <c:pt idx="21">
                  <c:v>22</c:v>
                </c:pt>
                <c:pt idx="22">
                  <c:v>21</c:v>
                </c:pt>
                <c:pt idx="23">
                  <c:v>22</c:v>
                </c:pt>
                <c:pt idx="24">
                  <c:v>22</c:v>
                </c:pt>
                <c:pt idx="25">
                  <c:v>15</c:v>
                </c:pt>
                <c:pt idx="26">
                  <c:v>16</c:v>
                </c:pt>
                <c:pt idx="27">
                  <c:v>13</c:v>
                </c:pt>
                <c:pt idx="28">
                  <c:v>9</c:v>
                </c:pt>
                <c:pt idx="29">
                  <c:v>11</c:v>
                </c:pt>
                <c:pt idx="30">
                  <c:v>13</c:v>
                </c:pt>
                <c:pt idx="31">
                  <c:v>19</c:v>
                </c:pt>
                <c:pt idx="32">
                  <c:v>33</c:v>
                </c:pt>
                <c:pt idx="33">
                  <c:v>36</c:v>
                </c:pt>
                <c:pt idx="34">
                  <c:v>44</c:v>
                </c:pt>
                <c:pt idx="35">
                  <c:v>50</c:v>
                </c:pt>
                <c:pt idx="36">
                  <c:v>49</c:v>
                </c:pt>
                <c:pt idx="37">
                  <c:v>48</c:v>
                </c:pt>
                <c:pt idx="38">
                  <c:v>39</c:v>
                </c:pt>
                <c:pt idx="39">
                  <c:v>39</c:v>
                </c:pt>
                <c:pt idx="40">
                  <c:v>41</c:v>
                </c:pt>
                <c:pt idx="41">
                  <c:v>33</c:v>
                </c:pt>
                <c:pt idx="42">
                  <c:v>35</c:v>
                </c:pt>
                <c:pt idx="43">
                  <c:v>38</c:v>
                </c:pt>
                <c:pt idx="44">
                  <c:v>39</c:v>
                </c:pt>
                <c:pt idx="45">
                  <c:v>43</c:v>
                </c:pt>
                <c:pt idx="46">
                  <c:v>42</c:v>
                </c:pt>
                <c:pt idx="47">
                  <c:v>49</c:v>
                </c:pt>
                <c:pt idx="48">
                  <c:v>54</c:v>
                </c:pt>
                <c:pt idx="49">
                  <c:v>56</c:v>
                </c:pt>
                <c:pt idx="50">
                  <c:v>56</c:v>
                </c:pt>
                <c:pt idx="51">
                  <c:v>62</c:v>
                </c:pt>
                <c:pt idx="52">
                  <c:v>63</c:v>
                </c:pt>
                <c:pt idx="53">
                  <c:v>68</c:v>
                </c:pt>
                <c:pt idx="54">
                  <c:v>65</c:v>
                </c:pt>
                <c:pt idx="55">
                  <c:v>62</c:v>
                </c:pt>
                <c:pt idx="56">
                  <c:v>61</c:v>
                </c:pt>
                <c:pt idx="57">
                  <c:v>48</c:v>
                </c:pt>
                <c:pt idx="58">
                  <c:v>42</c:v>
                </c:pt>
                <c:pt idx="59">
                  <c:v>27</c:v>
                </c:pt>
                <c:pt idx="60">
                  <c:v>19</c:v>
                </c:pt>
                <c:pt idx="61">
                  <c:v>12</c:v>
                </c:pt>
                <c:pt idx="62">
                  <c:v>5</c:v>
                </c:pt>
                <c:pt idx="63">
                  <c:v>4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5</c:v>
                </c:pt>
                <c:pt idx="68">
                  <c:v>6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10</c:v>
                </c:pt>
                <c:pt idx="74">
                  <c:v>11</c:v>
                </c:pt>
                <c:pt idx="75">
                  <c:v>14</c:v>
                </c:pt>
                <c:pt idx="76">
                  <c:v>15</c:v>
                </c:pt>
                <c:pt idx="77">
                  <c:v>29</c:v>
                </c:pt>
                <c:pt idx="78">
                  <c:v>33</c:v>
                </c:pt>
                <c:pt idx="79">
                  <c:v>34</c:v>
                </c:pt>
                <c:pt idx="80">
                  <c:v>36</c:v>
                </c:pt>
                <c:pt idx="81">
                  <c:v>29</c:v>
                </c:pt>
                <c:pt idx="82">
                  <c:v>27</c:v>
                </c:pt>
                <c:pt idx="83">
                  <c:v>13</c:v>
                </c:pt>
                <c:pt idx="84">
                  <c:v>8</c:v>
                </c:pt>
                <c:pt idx="85">
                  <c:v>8</c:v>
                </c:pt>
                <c:pt idx="86">
                  <c:v>4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12</c:v>
                </c:pt>
                <c:pt idx="91">
                  <c:v>12</c:v>
                </c:pt>
                <c:pt idx="92">
                  <c:v>14</c:v>
                </c:pt>
                <c:pt idx="93">
                  <c:v>19</c:v>
                </c:pt>
                <c:pt idx="94">
                  <c:v>22</c:v>
                </c:pt>
                <c:pt idx="95">
                  <c:v>24</c:v>
                </c:pt>
                <c:pt idx="96">
                  <c:v>17</c:v>
                </c:pt>
                <c:pt idx="97">
                  <c:v>20</c:v>
                </c:pt>
                <c:pt idx="98">
                  <c:v>19</c:v>
                </c:pt>
                <c:pt idx="99">
                  <c:v>14</c:v>
                </c:pt>
                <c:pt idx="100">
                  <c:v>11</c:v>
                </c:pt>
                <c:pt idx="101">
                  <c:v>9</c:v>
                </c:pt>
                <c:pt idx="102">
                  <c:v>8</c:v>
                </c:pt>
                <c:pt idx="103">
                  <c:v>4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6</c:v>
                </c:pt>
                <c:pt idx="111">
                  <c:v>4</c:v>
                </c:pt>
                <c:pt idx="112">
                  <c:v>3</c:v>
                </c:pt>
                <c:pt idx="113">
                  <c:v>2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FA-4671-BEF9-14D8F0E37DFF}"/>
            </c:ext>
          </c:extLst>
        </c:ser>
        <c:ser>
          <c:idx val="8"/>
          <c:order val="8"/>
          <c:tx>
            <c:strRef>
              <c:f>'Infected FF'!$J$2</c:f>
              <c:strCache>
                <c:ptCount val="1"/>
                <c:pt idx="0">
                  <c:v>Run 9</c:v>
                </c:pt>
              </c:strCache>
            </c:strRef>
          </c:tx>
          <c:spPr>
            <a:ln w="19050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FF'!$J$3:$J$200</c:f>
              <c:numCache>
                <c:formatCode>General</c:formatCode>
                <c:ptCount val="198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12</c:v>
                </c:pt>
                <c:pt idx="4">
                  <c:v>13</c:v>
                </c:pt>
                <c:pt idx="5">
                  <c:v>17</c:v>
                </c:pt>
                <c:pt idx="6">
                  <c:v>18</c:v>
                </c:pt>
                <c:pt idx="7">
                  <c:v>18</c:v>
                </c:pt>
                <c:pt idx="8">
                  <c:v>19</c:v>
                </c:pt>
                <c:pt idx="9">
                  <c:v>16</c:v>
                </c:pt>
                <c:pt idx="10">
                  <c:v>21</c:v>
                </c:pt>
                <c:pt idx="11">
                  <c:v>22</c:v>
                </c:pt>
                <c:pt idx="12">
                  <c:v>34</c:v>
                </c:pt>
                <c:pt idx="13">
                  <c:v>44</c:v>
                </c:pt>
                <c:pt idx="14">
                  <c:v>65</c:v>
                </c:pt>
                <c:pt idx="15">
                  <c:v>75</c:v>
                </c:pt>
                <c:pt idx="16">
                  <c:v>73</c:v>
                </c:pt>
                <c:pt idx="17">
                  <c:v>74</c:v>
                </c:pt>
                <c:pt idx="18">
                  <c:v>59</c:v>
                </c:pt>
                <c:pt idx="19">
                  <c:v>48</c:v>
                </c:pt>
                <c:pt idx="20">
                  <c:v>26</c:v>
                </c:pt>
                <c:pt idx="21">
                  <c:v>14</c:v>
                </c:pt>
                <c:pt idx="22">
                  <c:v>19</c:v>
                </c:pt>
                <c:pt idx="23">
                  <c:v>19</c:v>
                </c:pt>
                <c:pt idx="24">
                  <c:v>28</c:v>
                </c:pt>
                <c:pt idx="25">
                  <c:v>47</c:v>
                </c:pt>
                <c:pt idx="26">
                  <c:v>54</c:v>
                </c:pt>
                <c:pt idx="27">
                  <c:v>69</c:v>
                </c:pt>
                <c:pt idx="28">
                  <c:v>75</c:v>
                </c:pt>
                <c:pt idx="29">
                  <c:v>74</c:v>
                </c:pt>
                <c:pt idx="30">
                  <c:v>71</c:v>
                </c:pt>
                <c:pt idx="31">
                  <c:v>52</c:v>
                </c:pt>
                <c:pt idx="32">
                  <c:v>43</c:v>
                </c:pt>
                <c:pt idx="33">
                  <c:v>28</c:v>
                </c:pt>
                <c:pt idx="34">
                  <c:v>13</c:v>
                </c:pt>
                <c:pt idx="35">
                  <c:v>8</c:v>
                </c:pt>
                <c:pt idx="36">
                  <c:v>4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5</c:v>
                </c:pt>
                <c:pt idx="43">
                  <c:v>11</c:v>
                </c:pt>
                <c:pt idx="44">
                  <c:v>19</c:v>
                </c:pt>
                <c:pt idx="45">
                  <c:v>36</c:v>
                </c:pt>
                <c:pt idx="46">
                  <c:v>49</c:v>
                </c:pt>
                <c:pt idx="47">
                  <c:v>66</c:v>
                </c:pt>
                <c:pt idx="48">
                  <c:v>74</c:v>
                </c:pt>
                <c:pt idx="49">
                  <c:v>70</c:v>
                </c:pt>
                <c:pt idx="50">
                  <c:v>68</c:v>
                </c:pt>
                <c:pt idx="51">
                  <c:v>54</c:v>
                </c:pt>
                <c:pt idx="52">
                  <c:v>43</c:v>
                </c:pt>
                <c:pt idx="53">
                  <c:v>29</c:v>
                </c:pt>
                <c:pt idx="54">
                  <c:v>18</c:v>
                </c:pt>
                <c:pt idx="55">
                  <c:v>17</c:v>
                </c:pt>
                <c:pt idx="56">
                  <c:v>12</c:v>
                </c:pt>
                <c:pt idx="57">
                  <c:v>10</c:v>
                </c:pt>
                <c:pt idx="58">
                  <c:v>12</c:v>
                </c:pt>
                <c:pt idx="59">
                  <c:v>11</c:v>
                </c:pt>
                <c:pt idx="60">
                  <c:v>12</c:v>
                </c:pt>
                <c:pt idx="61">
                  <c:v>11</c:v>
                </c:pt>
                <c:pt idx="62">
                  <c:v>12</c:v>
                </c:pt>
                <c:pt idx="63">
                  <c:v>12</c:v>
                </c:pt>
                <c:pt idx="64">
                  <c:v>8</c:v>
                </c:pt>
                <c:pt idx="65">
                  <c:v>6</c:v>
                </c:pt>
                <c:pt idx="66">
                  <c:v>4</c:v>
                </c:pt>
                <c:pt idx="67">
                  <c:v>3</c:v>
                </c:pt>
                <c:pt idx="68">
                  <c:v>4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2</c:v>
                </c:pt>
                <c:pt idx="75">
                  <c:v>2</c:v>
                </c:pt>
                <c:pt idx="76">
                  <c:v>3</c:v>
                </c:pt>
                <c:pt idx="77">
                  <c:v>2</c:v>
                </c:pt>
                <c:pt idx="78">
                  <c:v>2</c:v>
                </c:pt>
                <c:pt idx="79">
                  <c:v>3</c:v>
                </c:pt>
                <c:pt idx="80">
                  <c:v>3</c:v>
                </c:pt>
                <c:pt idx="81">
                  <c:v>4</c:v>
                </c:pt>
                <c:pt idx="82">
                  <c:v>6</c:v>
                </c:pt>
                <c:pt idx="83">
                  <c:v>9</c:v>
                </c:pt>
                <c:pt idx="84">
                  <c:v>10</c:v>
                </c:pt>
                <c:pt idx="85">
                  <c:v>10</c:v>
                </c:pt>
                <c:pt idx="86">
                  <c:v>9</c:v>
                </c:pt>
                <c:pt idx="87">
                  <c:v>9</c:v>
                </c:pt>
                <c:pt idx="88">
                  <c:v>7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5</c:v>
                </c:pt>
                <c:pt idx="97">
                  <c:v>4</c:v>
                </c:pt>
                <c:pt idx="98">
                  <c:v>2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6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8</c:v>
                </c:pt>
                <c:pt idx="113">
                  <c:v>9</c:v>
                </c:pt>
                <c:pt idx="114">
                  <c:v>15</c:v>
                </c:pt>
                <c:pt idx="115">
                  <c:v>16</c:v>
                </c:pt>
                <c:pt idx="116">
                  <c:v>18</c:v>
                </c:pt>
                <c:pt idx="117">
                  <c:v>18</c:v>
                </c:pt>
                <c:pt idx="118">
                  <c:v>17</c:v>
                </c:pt>
                <c:pt idx="119">
                  <c:v>19</c:v>
                </c:pt>
                <c:pt idx="120">
                  <c:v>12</c:v>
                </c:pt>
                <c:pt idx="121">
                  <c:v>14</c:v>
                </c:pt>
                <c:pt idx="122">
                  <c:v>15</c:v>
                </c:pt>
                <c:pt idx="123">
                  <c:v>18</c:v>
                </c:pt>
                <c:pt idx="124">
                  <c:v>20</c:v>
                </c:pt>
                <c:pt idx="125">
                  <c:v>18</c:v>
                </c:pt>
                <c:pt idx="126">
                  <c:v>16</c:v>
                </c:pt>
                <c:pt idx="127">
                  <c:v>12</c:v>
                </c:pt>
                <c:pt idx="128">
                  <c:v>9</c:v>
                </c:pt>
                <c:pt idx="129">
                  <c:v>4</c:v>
                </c:pt>
                <c:pt idx="130">
                  <c:v>1</c:v>
                </c:pt>
                <c:pt idx="131">
                  <c:v>2</c:v>
                </c:pt>
                <c:pt idx="132">
                  <c:v>3</c:v>
                </c:pt>
                <c:pt idx="133">
                  <c:v>5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6</c:v>
                </c:pt>
                <c:pt idx="138">
                  <c:v>5</c:v>
                </c:pt>
                <c:pt idx="139">
                  <c:v>3</c:v>
                </c:pt>
                <c:pt idx="140">
                  <c:v>2</c:v>
                </c:pt>
                <c:pt idx="141">
                  <c:v>3</c:v>
                </c:pt>
                <c:pt idx="142">
                  <c:v>6</c:v>
                </c:pt>
                <c:pt idx="143">
                  <c:v>11</c:v>
                </c:pt>
                <c:pt idx="144">
                  <c:v>15</c:v>
                </c:pt>
                <c:pt idx="145">
                  <c:v>19</c:v>
                </c:pt>
                <c:pt idx="146">
                  <c:v>22</c:v>
                </c:pt>
                <c:pt idx="147">
                  <c:v>24</c:v>
                </c:pt>
                <c:pt idx="148">
                  <c:v>25</c:v>
                </c:pt>
                <c:pt idx="149">
                  <c:v>20</c:v>
                </c:pt>
                <c:pt idx="150">
                  <c:v>18</c:v>
                </c:pt>
                <c:pt idx="151">
                  <c:v>14</c:v>
                </c:pt>
                <c:pt idx="152">
                  <c:v>10</c:v>
                </c:pt>
                <c:pt idx="153">
                  <c:v>8</c:v>
                </c:pt>
                <c:pt idx="154">
                  <c:v>5</c:v>
                </c:pt>
                <c:pt idx="155">
                  <c:v>5</c:v>
                </c:pt>
                <c:pt idx="156">
                  <c:v>3</c:v>
                </c:pt>
                <c:pt idx="157">
                  <c:v>3</c:v>
                </c:pt>
                <c:pt idx="158">
                  <c:v>2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3</c:v>
                </c:pt>
                <c:pt idx="163">
                  <c:v>6</c:v>
                </c:pt>
                <c:pt idx="164">
                  <c:v>9</c:v>
                </c:pt>
                <c:pt idx="165">
                  <c:v>15</c:v>
                </c:pt>
                <c:pt idx="166">
                  <c:v>20</c:v>
                </c:pt>
                <c:pt idx="167">
                  <c:v>24</c:v>
                </c:pt>
                <c:pt idx="168">
                  <c:v>28</c:v>
                </c:pt>
                <c:pt idx="169">
                  <c:v>27</c:v>
                </c:pt>
                <c:pt idx="170">
                  <c:v>24</c:v>
                </c:pt>
                <c:pt idx="171">
                  <c:v>18</c:v>
                </c:pt>
                <c:pt idx="172">
                  <c:v>12</c:v>
                </c:pt>
                <c:pt idx="173">
                  <c:v>8</c:v>
                </c:pt>
                <c:pt idx="174">
                  <c:v>3</c:v>
                </c:pt>
                <c:pt idx="175">
                  <c:v>2</c:v>
                </c:pt>
                <c:pt idx="176">
                  <c:v>3</c:v>
                </c:pt>
                <c:pt idx="177">
                  <c:v>5</c:v>
                </c:pt>
                <c:pt idx="178">
                  <c:v>5</c:v>
                </c:pt>
                <c:pt idx="179">
                  <c:v>6</c:v>
                </c:pt>
                <c:pt idx="180">
                  <c:v>6</c:v>
                </c:pt>
                <c:pt idx="181">
                  <c:v>5</c:v>
                </c:pt>
                <c:pt idx="182">
                  <c:v>6</c:v>
                </c:pt>
                <c:pt idx="183">
                  <c:v>5</c:v>
                </c:pt>
                <c:pt idx="184">
                  <c:v>6</c:v>
                </c:pt>
                <c:pt idx="185">
                  <c:v>6</c:v>
                </c:pt>
                <c:pt idx="186">
                  <c:v>7</c:v>
                </c:pt>
                <c:pt idx="187">
                  <c:v>9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6</c:v>
                </c:pt>
                <c:pt idx="193">
                  <c:v>4</c:v>
                </c:pt>
                <c:pt idx="194">
                  <c:v>3</c:v>
                </c:pt>
                <c:pt idx="195">
                  <c:v>2</c:v>
                </c:pt>
                <c:pt idx="196">
                  <c:v>1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FA-4671-BEF9-14D8F0E37DFF}"/>
            </c:ext>
          </c:extLst>
        </c:ser>
        <c:ser>
          <c:idx val="9"/>
          <c:order val="9"/>
          <c:tx>
            <c:strRef>
              <c:f>'Infected FF'!$K$2</c:f>
              <c:strCache>
                <c:ptCount val="1"/>
                <c:pt idx="0">
                  <c:v>Run 10</c:v>
                </c:pt>
              </c:strCache>
            </c:strRef>
          </c:tx>
          <c:spPr>
            <a:ln w="19050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FF'!$K$3:$K$200</c:f>
              <c:numCache>
                <c:formatCode>General</c:formatCode>
                <c:ptCount val="198"/>
                <c:pt idx="0">
                  <c:v>2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21</c:v>
                </c:pt>
                <c:pt idx="11">
                  <c:v>26</c:v>
                </c:pt>
                <c:pt idx="12">
                  <c:v>27</c:v>
                </c:pt>
                <c:pt idx="13">
                  <c:v>35</c:v>
                </c:pt>
                <c:pt idx="14">
                  <c:v>34</c:v>
                </c:pt>
                <c:pt idx="15">
                  <c:v>38</c:v>
                </c:pt>
                <c:pt idx="16">
                  <c:v>41</c:v>
                </c:pt>
                <c:pt idx="17">
                  <c:v>51</c:v>
                </c:pt>
                <c:pt idx="18">
                  <c:v>63</c:v>
                </c:pt>
                <c:pt idx="19">
                  <c:v>66</c:v>
                </c:pt>
                <c:pt idx="20">
                  <c:v>73</c:v>
                </c:pt>
                <c:pt idx="21">
                  <c:v>72</c:v>
                </c:pt>
                <c:pt idx="22">
                  <c:v>71</c:v>
                </c:pt>
                <c:pt idx="23">
                  <c:v>59</c:v>
                </c:pt>
                <c:pt idx="24">
                  <c:v>53</c:v>
                </c:pt>
                <c:pt idx="25">
                  <c:v>47</c:v>
                </c:pt>
                <c:pt idx="26">
                  <c:v>49</c:v>
                </c:pt>
                <c:pt idx="27">
                  <c:v>47</c:v>
                </c:pt>
                <c:pt idx="28">
                  <c:v>48</c:v>
                </c:pt>
                <c:pt idx="29">
                  <c:v>51</c:v>
                </c:pt>
                <c:pt idx="30">
                  <c:v>43</c:v>
                </c:pt>
                <c:pt idx="31">
                  <c:v>38</c:v>
                </c:pt>
                <c:pt idx="32">
                  <c:v>33</c:v>
                </c:pt>
                <c:pt idx="33">
                  <c:v>31</c:v>
                </c:pt>
                <c:pt idx="34">
                  <c:v>30</c:v>
                </c:pt>
                <c:pt idx="35">
                  <c:v>30</c:v>
                </c:pt>
                <c:pt idx="36">
                  <c:v>32</c:v>
                </c:pt>
                <c:pt idx="37">
                  <c:v>36</c:v>
                </c:pt>
                <c:pt idx="38">
                  <c:v>35</c:v>
                </c:pt>
                <c:pt idx="39">
                  <c:v>38</c:v>
                </c:pt>
                <c:pt idx="40">
                  <c:v>32</c:v>
                </c:pt>
                <c:pt idx="41">
                  <c:v>28</c:v>
                </c:pt>
                <c:pt idx="42">
                  <c:v>24</c:v>
                </c:pt>
                <c:pt idx="43">
                  <c:v>20</c:v>
                </c:pt>
                <c:pt idx="44">
                  <c:v>16</c:v>
                </c:pt>
                <c:pt idx="45">
                  <c:v>11</c:v>
                </c:pt>
                <c:pt idx="46">
                  <c:v>11</c:v>
                </c:pt>
                <c:pt idx="47">
                  <c:v>8</c:v>
                </c:pt>
                <c:pt idx="48">
                  <c:v>7</c:v>
                </c:pt>
                <c:pt idx="49">
                  <c:v>5</c:v>
                </c:pt>
                <c:pt idx="50">
                  <c:v>3</c:v>
                </c:pt>
                <c:pt idx="51">
                  <c:v>2</c:v>
                </c:pt>
                <c:pt idx="52">
                  <c:v>3</c:v>
                </c:pt>
                <c:pt idx="53">
                  <c:v>2</c:v>
                </c:pt>
                <c:pt idx="54">
                  <c:v>4</c:v>
                </c:pt>
                <c:pt idx="55">
                  <c:v>7</c:v>
                </c:pt>
                <c:pt idx="56">
                  <c:v>8</c:v>
                </c:pt>
                <c:pt idx="57">
                  <c:v>15</c:v>
                </c:pt>
                <c:pt idx="58">
                  <c:v>17</c:v>
                </c:pt>
                <c:pt idx="59">
                  <c:v>22</c:v>
                </c:pt>
                <c:pt idx="60">
                  <c:v>24</c:v>
                </c:pt>
                <c:pt idx="61">
                  <c:v>26</c:v>
                </c:pt>
                <c:pt idx="62">
                  <c:v>29</c:v>
                </c:pt>
                <c:pt idx="63">
                  <c:v>26</c:v>
                </c:pt>
                <c:pt idx="64">
                  <c:v>25</c:v>
                </c:pt>
                <c:pt idx="65">
                  <c:v>22</c:v>
                </c:pt>
                <c:pt idx="66">
                  <c:v>20</c:v>
                </c:pt>
                <c:pt idx="67">
                  <c:v>18</c:v>
                </c:pt>
                <c:pt idx="68">
                  <c:v>14</c:v>
                </c:pt>
                <c:pt idx="69">
                  <c:v>12</c:v>
                </c:pt>
                <c:pt idx="70">
                  <c:v>9</c:v>
                </c:pt>
                <c:pt idx="71">
                  <c:v>8</c:v>
                </c:pt>
                <c:pt idx="72">
                  <c:v>8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7</c:v>
                </c:pt>
                <c:pt idx="77">
                  <c:v>8</c:v>
                </c:pt>
                <c:pt idx="78">
                  <c:v>10</c:v>
                </c:pt>
                <c:pt idx="79">
                  <c:v>9</c:v>
                </c:pt>
                <c:pt idx="80">
                  <c:v>11</c:v>
                </c:pt>
                <c:pt idx="81">
                  <c:v>10</c:v>
                </c:pt>
                <c:pt idx="82">
                  <c:v>10</c:v>
                </c:pt>
                <c:pt idx="83">
                  <c:v>9</c:v>
                </c:pt>
                <c:pt idx="84">
                  <c:v>6</c:v>
                </c:pt>
                <c:pt idx="85">
                  <c:v>7</c:v>
                </c:pt>
                <c:pt idx="86">
                  <c:v>5</c:v>
                </c:pt>
                <c:pt idx="87">
                  <c:v>4</c:v>
                </c:pt>
                <c:pt idx="88">
                  <c:v>3</c:v>
                </c:pt>
                <c:pt idx="89">
                  <c:v>2</c:v>
                </c:pt>
                <c:pt idx="90">
                  <c:v>2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9FA-4671-BEF9-14D8F0E37DFF}"/>
            </c:ext>
          </c:extLst>
        </c:ser>
        <c:ser>
          <c:idx val="10"/>
          <c:order val="10"/>
          <c:tx>
            <c:strRef>
              <c:f>'Infected FF'!$L$2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FF'!$L$3:$L$200</c:f>
              <c:numCache>
                <c:formatCode>General</c:formatCode>
                <c:ptCount val="198"/>
                <c:pt idx="0">
                  <c:v>2</c:v>
                </c:pt>
                <c:pt idx="1">
                  <c:v>4.2</c:v>
                </c:pt>
                <c:pt idx="2">
                  <c:v>8.4</c:v>
                </c:pt>
                <c:pt idx="3">
                  <c:v>15.3</c:v>
                </c:pt>
                <c:pt idx="4">
                  <c:v>22.5</c:v>
                </c:pt>
                <c:pt idx="5">
                  <c:v>32</c:v>
                </c:pt>
                <c:pt idx="6">
                  <c:v>39.9</c:v>
                </c:pt>
                <c:pt idx="7">
                  <c:v>48.6</c:v>
                </c:pt>
                <c:pt idx="8">
                  <c:v>54.3</c:v>
                </c:pt>
                <c:pt idx="9">
                  <c:v>56.6</c:v>
                </c:pt>
                <c:pt idx="10">
                  <c:v>60.3</c:v>
                </c:pt>
                <c:pt idx="11">
                  <c:v>60.1</c:v>
                </c:pt>
                <c:pt idx="12">
                  <c:v>57.8</c:v>
                </c:pt>
                <c:pt idx="13">
                  <c:v>54.2</c:v>
                </c:pt>
                <c:pt idx="14">
                  <c:v>50.6</c:v>
                </c:pt>
                <c:pt idx="15">
                  <c:v>47.3</c:v>
                </c:pt>
                <c:pt idx="16">
                  <c:v>42.6</c:v>
                </c:pt>
                <c:pt idx="17">
                  <c:v>40</c:v>
                </c:pt>
                <c:pt idx="18">
                  <c:v>39.1</c:v>
                </c:pt>
                <c:pt idx="19">
                  <c:v>39</c:v>
                </c:pt>
                <c:pt idx="20">
                  <c:v>39.9</c:v>
                </c:pt>
                <c:pt idx="21">
                  <c:v>39.799999999999997</c:v>
                </c:pt>
                <c:pt idx="22">
                  <c:v>39.9</c:v>
                </c:pt>
                <c:pt idx="23">
                  <c:v>38.1</c:v>
                </c:pt>
                <c:pt idx="24">
                  <c:v>36.799999999999997</c:v>
                </c:pt>
                <c:pt idx="25">
                  <c:v>37.299999999999997</c:v>
                </c:pt>
                <c:pt idx="26">
                  <c:v>37.1</c:v>
                </c:pt>
                <c:pt idx="27">
                  <c:v>39.1</c:v>
                </c:pt>
                <c:pt idx="28">
                  <c:v>40.6</c:v>
                </c:pt>
                <c:pt idx="29">
                  <c:v>42.7</c:v>
                </c:pt>
                <c:pt idx="30">
                  <c:v>42.8</c:v>
                </c:pt>
                <c:pt idx="31">
                  <c:v>38.6</c:v>
                </c:pt>
                <c:pt idx="32">
                  <c:v>36.200000000000003</c:v>
                </c:pt>
                <c:pt idx="33">
                  <c:v>32.299999999999997</c:v>
                </c:pt>
                <c:pt idx="34">
                  <c:v>28.6</c:v>
                </c:pt>
                <c:pt idx="35">
                  <c:v>26.6</c:v>
                </c:pt>
                <c:pt idx="36">
                  <c:v>25.5</c:v>
                </c:pt>
                <c:pt idx="37">
                  <c:v>25</c:v>
                </c:pt>
                <c:pt idx="38">
                  <c:v>25.5</c:v>
                </c:pt>
                <c:pt idx="39">
                  <c:v>25</c:v>
                </c:pt>
                <c:pt idx="40">
                  <c:v>25.7</c:v>
                </c:pt>
                <c:pt idx="41">
                  <c:v>24.6</c:v>
                </c:pt>
                <c:pt idx="42">
                  <c:v>23.9</c:v>
                </c:pt>
                <c:pt idx="43">
                  <c:v>25</c:v>
                </c:pt>
                <c:pt idx="44">
                  <c:v>23.4</c:v>
                </c:pt>
                <c:pt idx="45">
                  <c:v>24.2</c:v>
                </c:pt>
                <c:pt idx="46">
                  <c:v>23.5</c:v>
                </c:pt>
                <c:pt idx="47">
                  <c:v>23.7</c:v>
                </c:pt>
                <c:pt idx="48">
                  <c:v>24</c:v>
                </c:pt>
                <c:pt idx="49">
                  <c:v>23.4</c:v>
                </c:pt>
                <c:pt idx="50">
                  <c:v>22.2</c:v>
                </c:pt>
                <c:pt idx="51">
                  <c:v>21</c:v>
                </c:pt>
                <c:pt idx="52">
                  <c:v>20.100000000000001</c:v>
                </c:pt>
                <c:pt idx="53">
                  <c:v>19.5</c:v>
                </c:pt>
                <c:pt idx="54">
                  <c:v>18.399999999999999</c:v>
                </c:pt>
                <c:pt idx="55">
                  <c:v>18.399999999999999</c:v>
                </c:pt>
                <c:pt idx="56">
                  <c:v>19</c:v>
                </c:pt>
                <c:pt idx="57">
                  <c:v>19</c:v>
                </c:pt>
                <c:pt idx="58">
                  <c:v>19.100000000000001</c:v>
                </c:pt>
                <c:pt idx="59">
                  <c:v>17.399999999999999</c:v>
                </c:pt>
                <c:pt idx="60">
                  <c:v>16.7</c:v>
                </c:pt>
                <c:pt idx="61">
                  <c:v>14.7</c:v>
                </c:pt>
                <c:pt idx="62">
                  <c:v>13.3</c:v>
                </c:pt>
                <c:pt idx="63">
                  <c:v>11.9</c:v>
                </c:pt>
                <c:pt idx="64">
                  <c:v>10.199999999999999</c:v>
                </c:pt>
                <c:pt idx="65">
                  <c:v>10.4</c:v>
                </c:pt>
                <c:pt idx="66">
                  <c:v>10.6</c:v>
                </c:pt>
                <c:pt idx="67">
                  <c:v>10.6</c:v>
                </c:pt>
                <c:pt idx="68">
                  <c:v>10.5</c:v>
                </c:pt>
                <c:pt idx="69">
                  <c:v>10.5</c:v>
                </c:pt>
                <c:pt idx="70">
                  <c:v>9.4</c:v>
                </c:pt>
                <c:pt idx="71">
                  <c:v>8.1</c:v>
                </c:pt>
                <c:pt idx="72">
                  <c:v>7</c:v>
                </c:pt>
                <c:pt idx="73">
                  <c:v>6.2</c:v>
                </c:pt>
                <c:pt idx="74">
                  <c:v>5.9</c:v>
                </c:pt>
                <c:pt idx="75">
                  <c:v>5.8</c:v>
                </c:pt>
                <c:pt idx="76">
                  <c:v>6.3</c:v>
                </c:pt>
                <c:pt idx="77">
                  <c:v>7.9</c:v>
                </c:pt>
                <c:pt idx="78">
                  <c:v>8</c:v>
                </c:pt>
                <c:pt idx="79">
                  <c:v>7.8</c:v>
                </c:pt>
                <c:pt idx="80">
                  <c:v>7.8</c:v>
                </c:pt>
                <c:pt idx="81">
                  <c:v>6.7</c:v>
                </c:pt>
                <c:pt idx="82">
                  <c:v>6.2</c:v>
                </c:pt>
                <c:pt idx="83">
                  <c:v>4.4000000000000004</c:v>
                </c:pt>
                <c:pt idx="84">
                  <c:v>3.4</c:v>
                </c:pt>
                <c:pt idx="85">
                  <c:v>3.3</c:v>
                </c:pt>
                <c:pt idx="86">
                  <c:v>2.5</c:v>
                </c:pt>
                <c:pt idx="87">
                  <c:v>2.6</c:v>
                </c:pt>
                <c:pt idx="88">
                  <c:v>2.6</c:v>
                </c:pt>
                <c:pt idx="89">
                  <c:v>2.2999999999999998</c:v>
                </c:pt>
                <c:pt idx="90">
                  <c:v>2.9</c:v>
                </c:pt>
                <c:pt idx="91">
                  <c:v>2.7</c:v>
                </c:pt>
                <c:pt idx="92">
                  <c:v>2.8</c:v>
                </c:pt>
                <c:pt idx="93">
                  <c:v>3.1</c:v>
                </c:pt>
                <c:pt idx="94">
                  <c:v>3.2</c:v>
                </c:pt>
                <c:pt idx="95">
                  <c:v>3.5</c:v>
                </c:pt>
                <c:pt idx="96">
                  <c:v>2.8</c:v>
                </c:pt>
                <c:pt idx="97">
                  <c:v>3.3</c:v>
                </c:pt>
                <c:pt idx="98">
                  <c:v>3</c:v>
                </c:pt>
                <c:pt idx="99">
                  <c:v>2.6</c:v>
                </c:pt>
                <c:pt idx="100">
                  <c:v>2.2000000000000002</c:v>
                </c:pt>
                <c:pt idx="101">
                  <c:v>1.7</c:v>
                </c:pt>
                <c:pt idx="102">
                  <c:v>1.6</c:v>
                </c:pt>
                <c:pt idx="103">
                  <c:v>1</c:v>
                </c:pt>
                <c:pt idx="104">
                  <c:v>1</c:v>
                </c:pt>
                <c:pt idx="105">
                  <c:v>1.1000000000000001</c:v>
                </c:pt>
                <c:pt idx="106">
                  <c:v>1.2</c:v>
                </c:pt>
                <c:pt idx="107">
                  <c:v>1.4</c:v>
                </c:pt>
                <c:pt idx="108">
                  <c:v>1.7</c:v>
                </c:pt>
                <c:pt idx="109">
                  <c:v>2.2000000000000002</c:v>
                </c:pt>
                <c:pt idx="110">
                  <c:v>2.4</c:v>
                </c:pt>
                <c:pt idx="111">
                  <c:v>2.2999999999999998</c:v>
                </c:pt>
                <c:pt idx="112">
                  <c:v>2.6</c:v>
                </c:pt>
                <c:pt idx="113">
                  <c:v>3</c:v>
                </c:pt>
                <c:pt idx="114">
                  <c:v>3.6</c:v>
                </c:pt>
                <c:pt idx="115">
                  <c:v>3.6</c:v>
                </c:pt>
                <c:pt idx="116">
                  <c:v>3.7</c:v>
                </c:pt>
                <c:pt idx="117">
                  <c:v>3.6</c:v>
                </c:pt>
                <c:pt idx="118">
                  <c:v>3.1</c:v>
                </c:pt>
                <c:pt idx="119">
                  <c:v>2.8</c:v>
                </c:pt>
                <c:pt idx="120">
                  <c:v>1.9</c:v>
                </c:pt>
                <c:pt idx="121">
                  <c:v>1.7</c:v>
                </c:pt>
                <c:pt idx="122">
                  <c:v>1.6</c:v>
                </c:pt>
                <c:pt idx="123">
                  <c:v>1.8</c:v>
                </c:pt>
                <c:pt idx="124">
                  <c:v>2</c:v>
                </c:pt>
                <c:pt idx="125">
                  <c:v>1.8</c:v>
                </c:pt>
                <c:pt idx="126">
                  <c:v>1.6</c:v>
                </c:pt>
                <c:pt idx="127">
                  <c:v>1.2</c:v>
                </c:pt>
                <c:pt idx="128">
                  <c:v>0.9</c:v>
                </c:pt>
                <c:pt idx="129">
                  <c:v>0.4</c:v>
                </c:pt>
                <c:pt idx="130">
                  <c:v>0.1</c:v>
                </c:pt>
                <c:pt idx="131">
                  <c:v>0.2</c:v>
                </c:pt>
                <c:pt idx="132">
                  <c:v>0.3</c:v>
                </c:pt>
                <c:pt idx="133">
                  <c:v>0.5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0.6</c:v>
                </c:pt>
                <c:pt idx="138">
                  <c:v>0.5</c:v>
                </c:pt>
                <c:pt idx="139">
                  <c:v>0.3</c:v>
                </c:pt>
                <c:pt idx="140">
                  <c:v>0.2</c:v>
                </c:pt>
                <c:pt idx="141">
                  <c:v>0.3</c:v>
                </c:pt>
                <c:pt idx="142">
                  <c:v>0.6</c:v>
                </c:pt>
                <c:pt idx="143">
                  <c:v>1.1000000000000001</c:v>
                </c:pt>
                <c:pt idx="144">
                  <c:v>1.5</c:v>
                </c:pt>
                <c:pt idx="145">
                  <c:v>1.9</c:v>
                </c:pt>
                <c:pt idx="146">
                  <c:v>2.2000000000000002</c:v>
                </c:pt>
                <c:pt idx="147">
                  <c:v>2.4</c:v>
                </c:pt>
                <c:pt idx="148">
                  <c:v>2.5</c:v>
                </c:pt>
                <c:pt idx="149">
                  <c:v>2</c:v>
                </c:pt>
                <c:pt idx="150">
                  <c:v>1.8</c:v>
                </c:pt>
                <c:pt idx="151">
                  <c:v>1.4</c:v>
                </c:pt>
                <c:pt idx="152">
                  <c:v>1</c:v>
                </c:pt>
                <c:pt idx="153">
                  <c:v>0.8</c:v>
                </c:pt>
                <c:pt idx="154">
                  <c:v>0.5</c:v>
                </c:pt>
                <c:pt idx="155">
                  <c:v>0.5</c:v>
                </c:pt>
                <c:pt idx="156">
                  <c:v>0.3</c:v>
                </c:pt>
                <c:pt idx="157">
                  <c:v>0.3</c:v>
                </c:pt>
                <c:pt idx="158">
                  <c:v>0.2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0.3</c:v>
                </c:pt>
                <c:pt idx="163">
                  <c:v>0.6</c:v>
                </c:pt>
                <c:pt idx="164">
                  <c:v>0.9</c:v>
                </c:pt>
                <c:pt idx="165">
                  <c:v>1.5</c:v>
                </c:pt>
                <c:pt idx="166">
                  <c:v>2</c:v>
                </c:pt>
                <c:pt idx="167">
                  <c:v>2.4</c:v>
                </c:pt>
                <c:pt idx="168">
                  <c:v>2.8</c:v>
                </c:pt>
                <c:pt idx="169">
                  <c:v>2.7</c:v>
                </c:pt>
                <c:pt idx="170">
                  <c:v>2.4</c:v>
                </c:pt>
                <c:pt idx="171">
                  <c:v>1.8</c:v>
                </c:pt>
                <c:pt idx="172">
                  <c:v>1.2</c:v>
                </c:pt>
                <c:pt idx="173">
                  <c:v>0.8</c:v>
                </c:pt>
                <c:pt idx="174">
                  <c:v>0.3</c:v>
                </c:pt>
                <c:pt idx="175">
                  <c:v>0.2</c:v>
                </c:pt>
                <c:pt idx="176">
                  <c:v>0.3</c:v>
                </c:pt>
                <c:pt idx="177">
                  <c:v>0.5</c:v>
                </c:pt>
                <c:pt idx="178">
                  <c:v>0.5</c:v>
                </c:pt>
                <c:pt idx="179">
                  <c:v>0.6</c:v>
                </c:pt>
                <c:pt idx="180">
                  <c:v>0.6</c:v>
                </c:pt>
                <c:pt idx="181">
                  <c:v>0.5</c:v>
                </c:pt>
                <c:pt idx="182">
                  <c:v>0.6</c:v>
                </c:pt>
                <c:pt idx="183">
                  <c:v>0.5</c:v>
                </c:pt>
                <c:pt idx="184">
                  <c:v>0.6</c:v>
                </c:pt>
                <c:pt idx="185">
                  <c:v>0.6</c:v>
                </c:pt>
                <c:pt idx="186">
                  <c:v>0.7</c:v>
                </c:pt>
                <c:pt idx="187">
                  <c:v>0.9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0.6</c:v>
                </c:pt>
                <c:pt idx="193">
                  <c:v>0.4</c:v>
                </c:pt>
                <c:pt idx="194">
                  <c:v>0.3</c:v>
                </c:pt>
                <c:pt idx="195">
                  <c:v>0.2</c:v>
                </c:pt>
                <c:pt idx="196">
                  <c:v>0.1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9FA-4671-BEF9-14D8F0E37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90784"/>
        <c:axId val="1318262624"/>
      </c:scatterChart>
      <c:valAx>
        <c:axId val="107739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62624"/>
        <c:crosses val="autoZero"/>
        <c:crossBetween val="midCat"/>
      </c:valAx>
      <c:valAx>
        <c:axId val="1318262624"/>
        <c:scaling>
          <c:orientation val="minMax"/>
          <c:max val="1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0784"/>
        <c:crosses val="autoZero"/>
        <c:crossBetween val="midCat"/>
        <c:majorUnit val="200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'Infected FF'!$B$2</c:f>
              <c:strCache>
                <c:ptCount val="1"/>
                <c:pt idx="0">
                  <c:v>Run 1</c:v>
                </c:pt>
              </c:strCache>
            </c:strRef>
          </c:tx>
          <c:spPr>
            <a:ln w="19050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FF'!$B$3:$B$200</c:f>
              <c:numCache>
                <c:formatCode>General</c:formatCode>
                <c:ptCount val="198"/>
                <c:pt idx="0">
                  <c:v>2</c:v>
                </c:pt>
                <c:pt idx="1">
                  <c:v>5</c:v>
                </c:pt>
                <c:pt idx="2">
                  <c:v>14</c:v>
                </c:pt>
                <c:pt idx="3">
                  <c:v>22</c:v>
                </c:pt>
                <c:pt idx="4">
                  <c:v>35</c:v>
                </c:pt>
                <c:pt idx="5">
                  <c:v>50</c:v>
                </c:pt>
                <c:pt idx="6">
                  <c:v>68</c:v>
                </c:pt>
                <c:pt idx="7">
                  <c:v>81</c:v>
                </c:pt>
                <c:pt idx="8">
                  <c:v>85</c:v>
                </c:pt>
                <c:pt idx="9">
                  <c:v>82</c:v>
                </c:pt>
                <c:pt idx="10">
                  <c:v>74</c:v>
                </c:pt>
                <c:pt idx="11">
                  <c:v>63</c:v>
                </c:pt>
                <c:pt idx="12">
                  <c:v>49</c:v>
                </c:pt>
                <c:pt idx="13">
                  <c:v>40</c:v>
                </c:pt>
                <c:pt idx="14">
                  <c:v>35</c:v>
                </c:pt>
                <c:pt idx="15">
                  <c:v>39</c:v>
                </c:pt>
                <c:pt idx="16">
                  <c:v>44</c:v>
                </c:pt>
                <c:pt idx="17">
                  <c:v>52</c:v>
                </c:pt>
                <c:pt idx="18">
                  <c:v>53</c:v>
                </c:pt>
                <c:pt idx="19">
                  <c:v>61</c:v>
                </c:pt>
                <c:pt idx="20">
                  <c:v>68</c:v>
                </c:pt>
                <c:pt idx="21">
                  <c:v>67</c:v>
                </c:pt>
                <c:pt idx="22">
                  <c:v>63</c:v>
                </c:pt>
                <c:pt idx="23">
                  <c:v>52</c:v>
                </c:pt>
                <c:pt idx="24">
                  <c:v>45</c:v>
                </c:pt>
                <c:pt idx="25">
                  <c:v>32</c:v>
                </c:pt>
                <c:pt idx="26">
                  <c:v>17</c:v>
                </c:pt>
                <c:pt idx="27">
                  <c:v>10</c:v>
                </c:pt>
                <c:pt idx="28">
                  <c:v>9</c:v>
                </c:pt>
                <c:pt idx="29">
                  <c:v>14</c:v>
                </c:pt>
                <c:pt idx="30">
                  <c:v>21</c:v>
                </c:pt>
                <c:pt idx="31">
                  <c:v>22</c:v>
                </c:pt>
                <c:pt idx="32">
                  <c:v>24</c:v>
                </c:pt>
                <c:pt idx="33">
                  <c:v>27</c:v>
                </c:pt>
                <c:pt idx="34">
                  <c:v>24</c:v>
                </c:pt>
                <c:pt idx="35">
                  <c:v>20</c:v>
                </c:pt>
                <c:pt idx="36">
                  <c:v>17</c:v>
                </c:pt>
                <c:pt idx="37">
                  <c:v>15</c:v>
                </c:pt>
                <c:pt idx="38">
                  <c:v>16</c:v>
                </c:pt>
                <c:pt idx="39">
                  <c:v>15</c:v>
                </c:pt>
                <c:pt idx="40">
                  <c:v>17</c:v>
                </c:pt>
                <c:pt idx="41">
                  <c:v>17</c:v>
                </c:pt>
                <c:pt idx="42">
                  <c:v>14</c:v>
                </c:pt>
                <c:pt idx="43">
                  <c:v>13</c:v>
                </c:pt>
                <c:pt idx="44">
                  <c:v>10</c:v>
                </c:pt>
                <c:pt idx="45">
                  <c:v>7</c:v>
                </c:pt>
                <c:pt idx="46">
                  <c:v>4</c:v>
                </c:pt>
                <c:pt idx="47">
                  <c:v>4</c:v>
                </c:pt>
                <c:pt idx="48">
                  <c:v>9</c:v>
                </c:pt>
                <c:pt idx="49">
                  <c:v>15</c:v>
                </c:pt>
                <c:pt idx="50">
                  <c:v>20</c:v>
                </c:pt>
                <c:pt idx="51">
                  <c:v>26</c:v>
                </c:pt>
                <c:pt idx="52">
                  <c:v>30</c:v>
                </c:pt>
                <c:pt idx="53">
                  <c:v>35</c:v>
                </c:pt>
                <c:pt idx="54">
                  <c:v>30</c:v>
                </c:pt>
                <c:pt idx="55">
                  <c:v>28</c:v>
                </c:pt>
                <c:pt idx="56">
                  <c:v>23</c:v>
                </c:pt>
                <c:pt idx="57">
                  <c:v>19</c:v>
                </c:pt>
                <c:pt idx="58">
                  <c:v>16</c:v>
                </c:pt>
                <c:pt idx="59">
                  <c:v>10</c:v>
                </c:pt>
                <c:pt idx="60">
                  <c:v>15</c:v>
                </c:pt>
                <c:pt idx="61">
                  <c:v>13</c:v>
                </c:pt>
                <c:pt idx="62">
                  <c:v>15</c:v>
                </c:pt>
                <c:pt idx="63">
                  <c:v>15</c:v>
                </c:pt>
                <c:pt idx="64">
                  <c:v>16</c:v>
                </c:pt>
                <c:pt idx="65">
                  <c:v>20</c:v>
                </c:pt>
                <c:pt idx="66">
                  <c:v>18</c:v>
                </c:pt>
                <c:pt idx="67">
                  <c:v>17</c:v>
                </c:pt>
                <c:pt idx="68">
                  <c:v>17</c:v>
                </c:pt>
                <c:pt idx="69">
                  <c:v>16</c:v>
                </c:pt>
                <c:pt idx="70">
                  <c:v>13</c:v>
                </c:pt>
                <c:pt idx="71">
                  <c:v>8</c:v>
                </c:pt>
                <c:pt idx="72">
                  <c:v>4</c:v>
                </c:pt>
                <c:pt idx="73">
                  <c:v>3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B8-40BA-8B44-661811836872}"/>
            </c:ext>
          </c:extLst>
        </c:ser>
        <c:ser>
          <c:idx val="1"/>
          <c:order val="1"/>
          <c:tx>
            <c:strRef>
              <c:f>'Infected FF'!$C$2</c:f>
              <c:strCache>
                <c:ptCount val="1"/>
                <c:pt idx="0">
                  <c:v>Run 2</c:v>
                </c:pt>
              </c:strCache>
            </c:strRef>
          </c:tx>
          <c:spPr>
            <a:ln w="19050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FF'!$C$3:$C$200</c:f>
              <c:numCache>
                <c:formatCode>General</c:formatCode>
                <c:ptCount val="198"/>
                <c:pt idx="0">
                  <c:v>2</c:v>
                </c:pt>
                <c:pt idx="1">
                  <c:v>3</c:v>
                </c:pt>
                <c:pt idx="2">
                  <c:v>7</c:v>
                </c:pt>
                <c:pt idx="3">
                  <c:v>17</c:v>
                </c:pt>
                <c:pt idx="4">
                  <c:v>33</c:v>
                </c:pt>
                <c:pt idx="5">
                  <c:v>48</c:v>
                </c:pt>
                <c:pt idx="6">
                  <c:v>64</c:v>
                </c:pt>
                <c:pt idx="7">
                  <c:v>89</c:v>
                </c:pt>
                <c:pt idx="8">
                  <c:v>92</c:v>
                </c:pt>
                <c:pt idx="9">
                  <c:v>86</c:v>
                </c:pt>
                <c:pt idx="10">
                  <c:v>74</c:v>
                </c:pt>
                <c:pt idx="11">
                  <c:v>61</c:v>
                </c:pt>
                <c:pt idx="12">
                  <c:v>45</c:v>
                </c:pt>
                <c:pt idx="13">
                  <c:v>25</c:v>
                </c:pt>
                <c:pt idx="14">
                  <c:v>23</c:v>
                </c:pt>
                <c:pt idx="15">
                  <c:v>24</c:v>
                </c:pt>
                <c:pt idx="16">
                  <c:v>29</c:v>
                </c:pt>
                <c:pt idx="17">
                  <c:v>36</c:v>
                </c:pt>
                <c:pt idx="18">
                  <c:v>42</c:v>
                </c:pt>
                <c:pt idx="19">
                  <c:v>41</c:v>
                </c:pt>
                <c:pt idx="20">
                  <c:v>42</c:v>
                </c:pt>
                <c:pt idx="21">
                  <c:v>41</c:v>
                </c:pt>
                <c:pt idx="22">
                  <c:v>35</c:v>
                </c:pt>
                <c:pt idx="23">
                  <c:v>28</c:v>
                </c:pt>
                <c:pt idx="24">
                  <c:v>24</c:v>
                </c:pt>
                <c:pt idx="25">
                  <c:v>25</c:v>
                </c:pt>
                <c:pt idx="26">
                  <c:v>27</c:v>
                </c:pt>
                <c:pt idx="27">
                  <c:v>34</c:v>
                </c:pt>
                <c:pt idx="28">
                  <c:v>44</c:v>
                </c:pt>
                <c:pt idx="29">
                  <c:v>54</c:v>
                </c:pt>
                <c:pt idx="30">
                  <c:v>56</c:v>
                </c:pt>
                <c:pt idx="31">
                  <c:v>54</c:v>
                </c:pt>
                <c:pt idx="32">
                  <c:v>48</c:v>
                </c:pt>
                <c:pt idx="33">
                  <c:v>41</c:v>
                </c:pt>
                <c:pt idx="34">
                  <c:v>30</c:v>
                </c:pt>
                <c:pt idx="35">
                  <c:v>24</c:v>
                </c:pt>
                <c:pt idx="36">
                  <c:v>22</c:v>
                </c:pt>
                <c:pt idx="37">
                  <c:v>20</c:v>
                </c:pt>
                <c:pt idx="38">
                  <c:v>24</c:v>
                </c:pt>
                <c:pt idx="39">
                  <c:v>28</c:v>
                </c:pt>
                <c:pt idx="40">
                  <c:v>34</c:v>
                </c:pt>
                <c:pt idx="41">
                  <c:v>37</c:v>
                </c:pt>
                <c:pt idx="42">
                  <c:v>44</c:v>
                </c:pt>
                <c:pt idx="43">
                  <c:v>50</c:v>
                </c:pt>
                <c:pt idx="44">
                  <c:v>52</c:v>
                </c:pt>
                <c:pt idx="45">
                  <c:v>50</c:v>
                </c:pt>
                <c:pt idx="46">
                  <c:v>51</c:v>
                </c:pt>
                <c:pt idx="47">
                  <c:v>47</c:v>
                </c:pt>
                <c:pt idx="48">
                  <c:v>44</c:v>
                </c:pt>
                <c:pt idx="49">
                  <c:v>43</c:v>
                </c:pt>
                <c:pt idx="50">
                  <c:v>36</c:v>
                </c:pt>
                <c:pt idx="51">
                  <c:v>32</c:v>
                </c:pt>
                <c:pt idx="52">
                  <c:v>24</c:v>
                </c:pt>
                <c:pt idx="53">
                  <c:v>21</c:v>
                </c:pt>
                <c:pt idx="54">
                  <c:v>20</c:v>
                </c:pt>
                <c:pt idx="55">
                  <c:v>17</c:v>
                </c:pt>
                <c:pt idx="56">
                  <c:v>21</c:v>
                </c:pt>
                <c:pt idx="57">
                  <c:v>24</c:v>
                </c:pt>
                <c:pt idx="58">
                  <c:v>27</c:v>
                </c:pt>
                <c:pt idx="59">
                  <c:v>26</c:v>
                </c:pt>
                <c:pt idx="60">
                  <c:v>19</c:v>
                </c:pt>
                <c:pt idx="61">
                  <c:v>15</c:v>
                </c:pt>
                <c:pt idx="62">
                  <c:v>10</c:v>
                </c:pt>
                <c:pt idx="63">
                  <c:v>5</c:v>
                </c:pt>
                <c:pt idx="64">
                  <c:v>2</c:v>
                </c:pt>
                <c:pt idx="65">
                  <c:v>4</c:v>
                </c:pt>
                <c:pt idx="66">
                  <c:v>7</c:v>
                </c:pt>
                <c:pt idx="67">
                  <c:v>8</c:v>
                </c:pt>
                <c:pt idx="68">
                  <c:v>9</c:v>
                </c:pt>
                <c:pt idx="69">
                  <c:v>10</c:v>
                </c:pt>
                <c:pt idx="70">
                  <c:v>9</c:v>
                </c:pt>
                <c:pt idx="71">
                  <c:v>6</c:v>
                </c:pt>
                <c:pt idx="72">
                  <c:v>3</c:v>
                </c:pt>
                <c:pt idx="73">
                  <c:v>2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B8-40BA-8B44-661811836872}"/>
            </c:ext>
          </c:extLst>
        </c:ser>
        <c:ser>
          <c:idx val="2"/>
          <c:order val="2"/>
          <c:tx>
            <c:strRef>
              <c:f>'Infected FF'!$D$2</c:f>
              <c:strCache>
                <c:ptCount val="1"/>
                <c:pt idx="0">
                  <c:v>Run 3</c:v>
                </c:pt>
              </c:strCache>
            </c:strRef>
          </c:tx>
          <c:spPr>
            <a:ln w="19050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FF'!$D$3:$D$200</c:f>
              <c:numCache>
                <c:formatCode>General</c:formatCode>
                <c:ptCount val="198"/>
                <c:pt idx="0">
                  <c:v>2</c:v>
                </c:pt>
                <c:pt idx="1">
                  <c:v>6</c:v>
                </c:pt>
                <c:pt idx="2">
                  <c:v>11</c:v>
                </c:pt>
                <c:pt idx="3">
                  <c:v>20</c:v>
                </c:pt>
                <c:pt idx="4">
                  <c:v>27</c:v>
                </c:pt>
                <c:pt idx="5">
                  <c:v>34</c:v>
                </c:pt>
                <c:pt idx="6">
                  <c:v>38</c:v>
                </c:pt>
                <c:pt idx="7">
                  <c:v>46</c:v>
                </c:pt>
                <c:pt idx="8">
                  <c:v>52</c:v>
                </c:pt>
                <c:pt idx="9">
                  <c:v>61</c:v>
                </c:pt>
                <c:pt idx="10">
                  <c:v>71</c:v>
                </c:pt>
                <c:pt idx="11">
                  <c:v>70</c:v>
                </c:pt>
                <c:pt idx="12">
                  <c:v>74</c:v>
                </c:pt>
                <c:pt idx="13">
                  <c:v>70</c:v>
                </c:pt>
                <c:pt idx="14">
                  <c:v>62</c:v>
                </c:pt>
                <c:pt idx="15">
                  <c:v>51</c:v>
                </c:pt>
                <c:pt idx="16">
                  <c:v>46</c:v>
                </c:pt>
                <c:pt idx="17">
                  <c:v>46</c:v>
                </c:pt>
                <c:pt idx="18">
                  <c:v>44</c:v>
                </c:pt>
                <c:pt idx="19">
                  <c:v>42</c:v>
                </c:pt>
                <c:pt idx="20">
                  <c:v>44</c:v>
                </c:pt>
                <c:pt idx="21">
                  <c:v>41</c:v>
                </c:pt>
                <c:pt idx="22">
                  <c:v>33</c:v>
                </c:pt>
                <c:pt idx="23">
                  <c:v>31</c:v>
                </c:pt>
                <c:pt idx="24">
                  <c:v>26</c:v>
                </c:pt>
                <c:pt idx="25">
                  <c:v>25</c:v>
                </c:pt>
                <c:pt idx="26">
                  <c:v>24</c:v>
                </c:pt>
                <c:pt idx="27">
                  <c:v>27</c:v>
                </c:pt>
                <c:pt idx="28">
                  <c:v>28</c:v>
                </c:pt>
                <c:pt idx="29">
                  <c:v>27</c:v>
                </c:pt>
                <c:pt idx="30">
                  <c:v>26</c:v>
                </c:pt>
                <c:pt idx="31">
                  <c:v>23</c:v>
                </c:pt>
                <c:pt idx="32">
                  <c:v>19</c:v>
                </c:pt>
                <c:pt idx="33">
                  <c:v>14</c:v>
                </c:pt>
                <c:pt idx="34">
                  <c:v>9</c:v>
                </c:pt>
                <c:pt idx="35">
                  <c:v>8</c:v>
                </c:pt>
                <c:pt idx="36">
                  <c:v>9</c:v>
                </c:pt>
                <c:pt idx="37">
                  <c:v>8</c:v>
                </c:pt>
                <c:pt idx="38">
                  <c:v>12</c:v>
                </c:pt>
                <c:pt idx="39">
                  <c:v>12</c:v>
                </c:pt>
                <c:pt idx="40">
                  <c:v>16</c:v>
                </c:pt>
                <c:pt idx="41">
                  <c:v>16</c:v>
                </c:pt>
                <c:pt idx="42">
                  <c:v>15</c:v>
                </c:pt>
                <c:pt idx="43">
                  <c:v>14</c:v>
                </c:pt>
                <c:pt idx="44">
                  <c:v>11</c:v>
                </c:pt>
                <c:pt idx="45">
                  <c:v>9</c:v>
                </c:pt>
                <c:pt idx="46">
                  <c:v>5</c:v>
                </c:pt>
                <c:pt idx="47">
                  <c:v>4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B8-40BA-8B44-661811836872}"/>
            </c:ext>
          </c:extLst>
        </c:ser>
        <c:ser>
          <c:idx val="3"/>
          <c:order val="3"/>
          <c:tx>
            <c:strRef>
              <c:f>'Infected FF'!$E$2</c:f>
              <c:strCache>
                <c:ptCount val="1"/>
                <c:pt idx="0">
                  <c:v>Run 4</c:v>
                </c:pt>
              </c:strCache>
            </c:strRef>
          </c:tx>
          <c:spPr>
            <a:ln w="19050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FF'!$E$3:$E$200</c:f>
              <c:numCache>
                <c:formatCode>General</c:formatCode>
                <c:ptCount val="198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13</c:v>
                </c:pt>
                <c:pt idx="4">
                  <c:v>20</c:v>
                </c:pt>
                <c:pt idx="5">
                  <c:v>39</c:v>
                </c:pt>
                <c:pt idx="6">
                  <c:v>52</c:v>
                </c:pt>
                <c:pt idx="7">
                  <c:v>67</c:v>
                </c:pt>
                <c:pt idx="8">
                  <c:v>84</c:v>
                </c:pt>
                <c:pt idx="9">
                  <c:v>90</c:v>
                </c:pt>
                <c:pt idx="10">
                  <c:v>89</c:v>
                </c:pt>
                <c:pt idx="11">
                  <c:v>73</c:v>
                </c:pt>
                <c:pt idx="12">
                  <c:v>60</c:v>
                </c:pt>
                <c:pt idx="13">
                  <c:v>49</c:v>
                </c:pt>
                <c:pt idx="14">
                  <c:v>31</c:v>
                </c:pt>
                <c:pt idx="15">
                  <c:v>20</c:v>
                </c:pt>
                <c:pt idx="16">
                  <c:v>20</c:v>
                </c:pt>
                <c:pt idx="17">
                  <c:v>24</c:v>
                </c:pt>
                <c:pt idx="18">
                  <c:v>31</c:v>
                </c:pt>
                <c:pt idx="19">
                  <c:v>36</c:v>
                </c:pt>
                <c:pt idx="20">
                  <c:v>43</c:v>
                </c:pt>
                <c:pt idx="21">
                  <c:v>46</c:v>
                </c:pt>
                <c:pt idx="22">
                  <c:v>50</c:v>
                </c:pt>
                <c:pt idx="23">
                  <c:v>50</c:v>
                </c:pt>
                <c:pt idx="24">
                  <c:v>52</c:v>
                </c:pt>
                <c:pt idx="25">
                  <c:v>50</c:v>
                </c:pt>
                <c:pt idx="26">
                  <c:v>53</c:v>
                </c:pt>
                <c:pt idx="27">
                  <c:v>59</c:v>
                </c:pt>
                <c:pt idx="28">
                  <c:v>58</c:v>
                </c:pt>
                <c:pt idx="29">
                  <c:v>68</c:v>
                </c:pt>
                <c:pt idx="30">
                  <c:v>67</c:v>
                </c:pt>
                <c:pt idx="31">
                  <c:v>68</c:v>
                </c:pt>
                <c:pt idx="32">
                  <c:v>63</c:v>
                </c:pt>
                <c:pt idx="33">
                  <c:v>56</c:v>
                </c:pt>
                <c:pt idx="34">
                  <c:v>56</c:v>
                </c:pt>
                <c:pt idx="35">
                  <c:v>44</c:v>
                </c:pt>
                <c:pt idx="36">
                  <c:v>38</c:v>
                </c:pt>
                <c:pt idx="37">
                  <c:v>30</c:v>
                </c:pt>
                <c:pt idx="38">
                  <c:v>24</c:v>
                </c:pt>
                <c:pt idx="39">
                  <c:v>19</c:v>
                </c:pt>
                <c:pt idx="40">
                  <c:v>12</c:v>
                </c:pt>
                <c:pt idx="41">
                  <c:v>11</c:v>
                </c:pt>
                <c:pt idx="42">
                  <c:v>10</c:v>
                </c:pt>
                <c:pt idx="43">
                  <c:v>15</c:v>
                </c:pt>
                <c:pt idx="44">
                  <c:v>16</c:v>
                </c:pt>
                <c:pt idx="45">
                  <c:v>22</c:v>
                </c:pt>
                <c:pt idx="46">
                  <c:v>22</c:v>
                </c:pt>
                <c:pt idx="47">
                  <c:v>19</c:v>
                </c:pt>
                <c:pt idx="48">
                  <c:v>16</c:v>
                </c:pt>
                <c:pt idx="49">
                  <c:v>12</c:v>
                </c:pt>
                <c:pt idx="50">
                  <c:v>11</c:v>
                </c:pt>
                <c:pt idx="51">
                  <c:v>5</c:v>
                </c:pt>
                <c:pt idx="52">
                  <c:v>5</c:v>
                </c:pt>
                <c:pt idx="53">
                  <c:v>6</c:v>
                </c:pt>
                <c:pt idx="54">
                  <c:v>8</c:v>
                </c:pt>
                <c:pt idx="55">
                  <c:v>12</c:v>
                </c:pt>
                <c:pt idx="56">
                  <c:v>15</c:v>
                </c:pt>
                <c:pt idx="57">
                  <c:v>20</c:v>
                </c:pt>
                <c:pt idx="58">
                  <c:v>26</c:v>
                </c:pt>
                <c:pt idx="59">
                  <c:v>29</c:v>
                </c:pt>
                <c:pt idx="60">
                  <c:v>32</c:v>
                </c:pt>
                <c:pt idx="61">
                  <c:v>28</c:v>
                </c:pt>
                <c:pt idx="62">
                  <c:v>26</c:v>
                </c:pt>
                <c:pt idx="63">
                  <c:v>21</c:v>
                </c:pt>
                <c:pt idx="64">
                  <c:v>14</c:v>
                </c:pt>
                <c:pt idx="65">
                  <c:v>10</c:v>
                </c:pt>
                <c:pt idx="66">
                  <c:v>5</c:v>
                </c:pt>
                <c:pt idx="67">
                  <c:v>5</c:v>
                </c:pt>
                <c:pt idx="68">
                  <c:v>4</c:v>
                </c:pt>
                <c:pt idx="69">
                  <c:v>5</c:v>
                </c:pt>
                <c:pt idx="70">
                  <c:v>5</c:v>
                </c:pt>
                <c:pt idx="71">
                  <c:v>4</c:v>
                </c:pt>
                <c:pt idx="72">
                  <c:v>4</c:v>
                </c:pt>
                <c:pt idx="73">
                  <c:v>3</c:v>
                </c:pt>
                <c:pt idx="74">
                  <c:v>2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B8-40BA-8B44-661811836872}"/>
            </c:ext>
          </c:extLst>
        </c:ser>
        <c:ser>
          <c:idx val="4"/>
          <c:order val="4"/>
          <c:tx>
            <c:strRef>
              <c:f>'Infected FF'!$F$2</c:f>
              <c:strCache>
                <c:ptCount val="1"/>
                <c:pt idx="0">
                  <c:v>Run 5</c:v>
                </c:pt>
              </c:strCache>
            </c:strRef>
          </c:tx>
          <c:spPr>
            <a:ln w="19050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FF'!$F$3:$F$200</c:f>
              <c:numCache>
                <c:formatCode>General</c:formatCode>
                <c:ptCount val="198"/>
                <c:pt idx="0">
                  <c:v>2</c:v>
                </c:pt>
                <c:pt idx="1">
                  <c:v>4</c:v>
                </c:pt>
                <c:pt idx="2">
                  <c:v>9</c:v>
                </c:pt>
                <c:pt idx="3">
                  <c:v>15</c:v>
                </c:pt>
                <c:pt idx="4">
                  <c:v>23</c:v>
                </c:pt>
                <c:pt idx="5">
                  <c:v>33</c:v>
                </c:pt>
                <c:pt idx="6">
                  <c:v>41</c:v>
                </c:pt>
                <c:pt idx="7">
                  <c:v>48</c:v>
                </c:pt>
                <c:pt idx="8">
                  <c:v>58</c:v>
                </c:pt>
                <c:pt idx="9">
                  <c:v>69</c:v>
                </c:pt>
                <c:pt idx="10">
                  <c:v>95</c:v>
                </c:pt>
                <c:pt idx="11">
                  <c:v>112</c:v>
                </c:pt>
                <c:pt idx="12">
                  <c:v>109</c:v>
                </c:pt>
                <c:pt idx="13">
                  <c:v>108</c:v>
                </c:pt>
                <c:pt idx="14">
                  <c:v>94</c:v>
                </c:pt>
                <c:pt idx="15">
                  <c:v>81</c:v>
                </c:pt>
                <c:pt idx="16">
                  <c:v>49</c:v>
                </c:pt>
                <c:pt idx="17">
                  <c:v>24</c:v>
                </c:pt>
                <c:pt idx="18">
                  <c:v>22</c:v>
                </c:pt>
                <c:pt idx="19">
                  <c:v>23</c:v>
                </c:pt>
                <c:pt idx="20">
                  <c:v>33</c:v>
                </c:pt>
                <c:pt idx="21">
                  <c:v>39</c:v>
                </c:pt>
                <c:pt idx="22">
                  <c:v>42</c:v>
                </c:pt>
                <c:pt idx="23">
                  <c:v>49</c:v>
                </c:pt>
                <c:pt idx="24">
                  <c:v>48</c:v>
                </c:pt>
                <c:pt idx="25">
                  <c:v>52</c:v>
                </c:pt>
                <c:pt idx="26">
                  <c:v>45</c:v>
                </c:pt>
                <c:pt idx="27">
                  <c:v>43</c:v>
                </c:pt>
                <c:pt idx="28">
                  <c:v>41</c:v>
                </c:pt>
                <c:pt idx="29">
                  <c:v>32</c:v>
                </c:pt>
                <c:pt idx="30">
                  <c:v>32</c:v>
                </c:pt>
                <c:pt idx="31">
                  <c:v>20</c:v>
                </c:pt>
                <c:pt idx="32">
                  <c:v>17</c:v>
                </c:pt>
                <c:pt idx="33">
                  <c:v>19</c:v>
                </c:pt>
                <c:pt idx="34">
                  <c:v>20</c:v>
                </c:pt>
                <c:pt idx="35">
                  <c:v>28</c:v>
                </c:pt>
                <c:pt idx="36">
                  <c:v>31</c:v>
                </c:pt>
                <c:pt idx="37">
                  <c:v>39</c:v>
                </c:pt>
                <c:pt idx="38">
                  <c:v>51</c:v>
                </c:pt>
                <c:pt idx="39">
                  <c:v>45</c:v>
                </c:pt>
                <c:pt idx="40">
                  <c:v>53</c:v>
                </c:pt>
                <c:pt idx="41">
                  <c:v>52</c:v>
                </c:pt>
                <c:pt idx="42">
                  <c:v>49</c:v>
                </c:pt>
                <c:pt idx="43">
                  <c:v>44</c:v>
                </c:pt>
                <c:pt idx="44">
                  <c:v>33</c:v>
                </c:pt>
                <c:pt idx="45">
                  <c:v>30</c:v>
                </c:pt>
                <c:pt idx="46">
                  <c:v>21</c:v>
                </c:pt>
                <c:pt idx="47">
                  <c:v>14</c:v>
                </c:pt>
                <c:pt idx="48">
                  <c:v>10</c:v>
                </c:pt>
                <c:pt idx="49">
                  <c:v>6</c:v>
                </c:pt>
                <c:pt idx="50">
                  <c:v>4</c:v>
                </c:pt>
                <c:pt idx="51">
                  <c:v>3</c:v>
                </c:pt>
                <c:pt idx="52">
                  <c:v>4</c:v>
                </c:pt>
                <c:pt idx="53">
                  <c:v>6</c:v>
                </c:pt>
                <c:pt idx="54">
                  <c:v>10</c:v>
                </c:pt>
                <c:pt idx="55">
                  <c:v>15</c:v>
                </c:pt>
                <c:pt idx="56">
                  <c:v>21</c:v>
                </c:pt>
                <c:pt idx="57">
                  <c:v>24</c:v>
                </c:pt>
                <c:pt idx="58">
                  <c:v>24</c:v>
                </c:pt>
                <c:pt idx="59">
                  <c:v>22</c:v>
                </c:pt>
                <c:pt idx="60">
                  <c:v>20</c:v>
                </c:pt>
                <c:pt idx="61">
                  <c:v>15</c:v>
                </c:pt>
                <c:pt idx="62">
                  <c:v>9</c:v>
                </c:pt>
                <c:pt idx="63">
                  <c:v>11</c:v>
                </c:pt>
                <c:pt idx="64">
                  <c:v>9</c:v>
                </c:pt>
                <c:pt idx="65">
                  <c:v>11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14</c:v>
                </c:pt>
                <c:pt idx="70">
                  <c:v>12</c:v>
                </c:pt>
                <c:pt idx="71">
                  <c:v>12</c:v>
                </c:pt>
                <c:pt idx="72">
                  <c:v>5</c:v>
                </c:pt>
                <c:pt idx="73">
                  <c:v>6</c:v>
                </c:pt>
                <c:pt idx="74">
                  <c:v>9</c:v>
                </c:pt>
                <c:pt idx="75">
                  <c:v>10</c:v>
                </c:pt>
                <c:pt idx="76">
                  <c:v>14</c:v>
                </c:pt>
                <c:pt idx="77">
                  <c:v>15</c:v>
                </c:pt>
                <c:pt idx="78">
                  <c:v>16</c:v>
                </c:pt>
                <c:pt idx="79">
                  <c:v>16</c:v>
                </c:pt>
                <c:pt idx="80">
                  <c:v>12</c:v>
                </c:pt>
                <c:pt idx="81">
                  <c:v>10</c:v>
                </c:pt>
                <c:pt idx="82">
                  <c:v>6</c:v>
                </c:pt>
                <c:pt idx="83">
                  <c:v>3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B8-40BA-8B44-661811836872}"/>
            </c:ext>
          </c:extLst>
        </c:ser>
        <c:ser>
          <c:idx val="5"/>
          <c:order val="5"/>
          <c:tx>
            <c:strRef>
              <c:f>'Infected FF'!$G$2</c:f>
              <c:strCache>
                <c:ptCount val="1"/>
                <c:pt idx="0">
                  <c:v>Run 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FF'!$G$3:$G$200</c:f>
              <c:numCache>
                <c:formatCode>General</c:formatCode>
                <c:ptCount val="198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17</c:v>
                </c:pt>
                <c:pt idx="6">
                  <c:v>19</c:v>
                </c:pt>
                <c:pt idx="7">
                  <c:v>29</c:v>
                </c:pt>
                <c:pt idx="8">
                  <c:v>39</c:v>
                </c:pt>
                <c:pt idx="9">
                  <c:v>51</c:v>
                </c:pt>
                <c:pt idx="10">
                  <c:v>68</c:v>
                </c:pt>
                <c:pt idx="11">
                  <c:v>89</c:v>
                </c:pt>
                <c:pt idx="12">
                  <c:v>103</c:v>
                </c:pt>
                <c:pt idx="13">
                  <c:v>102</c:v>
                </c:pt>
                <c:pt idx="14">
                  <c:v>99</c:v>
                </c:pt>
                <c:pt idx="15">
                  <c:v>88</c:v>
                </c:pt>
                <c:pt idx="16">
                  <c:v>71</c:v>
                </c:pt>
                <c:pt idx="17">
                  <c:v>44</c:v>
                </c:pt>
                <c:pt idx="18">
                  <c:v>30</c:v>
                </c:pt>
                <c:pt idx="19">
                  <c:v>22</c:v>
                </c:pt>
                <c:pt idx="20">
                  <c:v>18</c:v>
                </c:pt>
                <c:pt idx="21">
                  <c:v>20</c:v>
                </c:pt>
                <c:pt idx="22">
                  <c:v>22</c:v>
                </c:pt>
                <c:pt idx="23">
                  <c:v>25</c:v>
                </c:pt>
                <c:pt idx="24">
                  <c:v>23</c:v>
                </c:pt>
                <c:pt idx="25">
                  <c:v>26</c:v>
                </c:pt>
                <c:pt idx="26">
                  <c:v>22</c:v>
                </c:pt>
                <c:pt idx="27">
                  <c:v>19</c:v>
                </c:pt>
                <c:pt idx="28">
                  <c:v>15</c:v>
                </c:pt>
                <c:pt idx="29">
                  <c:v>11</c:v>
                </c:pt>
                <c:pt idx="30">
                  <c:v>11</c:v>
                </c:pt>
                <c:pt idx="31">
                  <c:v>8</c:v>
                </c:pt>
                <c:pt idx="32">
                  <c:v>11</c:v>
                </c:pt>
                <c:pt idx="33">
                  <c:v>11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13</c:v>
                </c:pt>
                <c:pt idx="38">
                  <c:v>12</c:v>
                </c:pt>
                <c:pt idx="39">
                  <c:v>14</c:v>
                </c:pt>
                <c:pt idx="40">
                  <c:v>14</c:v>
                </c:pt>
                <c:pt idx="41">
                  <c:v>16</c:v>
                </c:pt>
                <c:pt idx="42">
                  <c:v>16</c:v>
                </c:pt>
                <c:pt idx="43">
                  <c:v>18</c:v>
                </c:pt>
                <c:pt idx="44">
                  <c:v>17</c:v>
                </c:pt>
                <c:pt idx="45">
                  <c:v>15</c:v>
                </c:pt>
                <c:pt idx="46">
                  <c:v>14</c:v>
                </c:pt>
                <c:pt idx="47">
                  <c:v>12</c:v>
                </c:pt>
                <c:pt idx="48">
                  <c:v>12</c:v>
                </c:pt>
                <c:pt idx="49">
                  <c:v>13</c:v>
                </c:pt>
                <c:pt idx="50">
                  <c:v>13</c:v>
                </c:pt>
                <c:pt idx="51">
                  <c:v>16</c:v>
                </c:pt>
                <c:pt idx="52">
                  <c:v>20</c:v>
                </c:pt>
                <c:pt idx="53">
                  <c:v>23</c:v>
                </c:pt>
                <c:pt idx="54">
                  <c:v>25</c:v>
                </c:pt>
                <c:pt idx="55">
                  <c:v>22</c:v>
                </c:pt>
                <c:pt idx="56">
                  <c:v>24</c:v>
                </c:pt>
                <c:pt idx="57">
                  <c:v>22</c:v>
                </c:pt>
                <c:pt idx="58">
                  <c:v>18</c:v>
                </c:pt>
                <c:pt idx="59">
                  <c:v>16</c:v>
                </c:pt>
                <c:pt idx="60">
                  <c:v>14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17</c:v>
                </c:pt>
                <c:pt idx="65">
                  <c:v>20</c:v>
                </c:pt>
                <c:pt idx="66">
                  <c:v>22</c:v>
                </c:pt>
                <c:pt idx="67">
                  <c:v>23</c:v>
                </c:pt>
                <c:pt idx="68">
                  <c:v>24</c:v>
                </c:pt>
                <c:pt idx="69">
                  <c:v>23</c:v>
                </c:pt>
                <c:pt idx="70">
                  <c:v>21</c:v>
                </c:pt>
                <c:pt idx="71">
                  <c:v>17</c:v>
                </c:pt>
                <c:pt idx="72">
                  <c:v>14</c:v>
                </c:pt>
                <c:pt idx="73">
                  <c:v>13</c:v>
                </c:pt>
                <c:pt idx="74">
                  <c:v>10</c:v>
                </c:pt>
                <c:pt idx="75">
                  <c:v>10</c:v>
                </c:pt>
                <c:pt idx="76">
                  <c:v>11</c:v>
                </c:pt>
                <c:pt idx="77">
                  <c:v>13</c:v>
                </c:pt>
                <c:pt idx="78">
                  <c:v>15</c:v>
                </c:pt>
                <c:pt idx="79">
                  <c:v>12</c:v>
                </c:pt>
                <c:pt idx="80">
                  <c:v>12</c:v>
                </c:pt>
                <c:pt idx="81">
                  <c:v>10</c:v>
                </c:pt>
                <c:pt idx="82">
                  <c:v>9</c:v>
                </c:pt>
                <c:pt idx="83">
                  <c:v>6</c:v>
                </c:pt>
                <c:pt idx="84">
                  <c:v>4</c:v>
                </c:pt>
                <c:pt idx="85">
                  <c:v>4</c:v>
                </c:pt>
                <c:pt idx="86">
                  <c:v>5</c:v>
                </c:pt>
                <c:pt idx="87">
                  <c:v>7</c:v>
                </c:pt>
                <c:pt idx="88">
                  <c:v>10</c:v>
                </c:pt>
                <c:pt idx="89">
                  <c:v>12</c:v>
                </c:pt>
                <c:pt idx="90">
                  <c:v>11</c:v>
                </c:pt>
                <c:pt idx="91">
                  <c:v>10</c:v>
                </c:pt>
                <c:pt idx="92">
                  <c:v>7</c:v>
                </c:pt>
                <c:pt idx="93">
                  <c:v>5</c:v>
                </c:pt>
                <c:pt idx="94">
                  <c:v>3</c:v>
                </c:pt>
                <c:pt idx="95">
                  <c:v>4</c:v>
                </c:pt>
                <c:pt idx="96">
                  <c:v>6</c:v>
                </c:pt>
                <c:pt idx="97">
                  <c:v>9</c:v>
                </c:pt>
                <c:pt idx="98">
                  <c:v>9</c:v>
                </c:pt>
                <c:pt idx="99">
                  <c:v>9</c:v>
                </c:pt>
                <c:pt idx="100">
                  <c:v>8</c:v>
                </c:pt>
                <c:pt idx="101">
                  <c:v>5</c:v>
                </c:pt>
                <c:pt idx="102">
                  <c:v>5</c:v>
                </c:pt>
                <c:pt idx="103">
                  <c:v>3</c:v>
                </c:pt>
                <c:pt idx="104">
                  <c:v>4</c:v>
                </c:pt>
                <c:pt idx="105">
                  <c:v>5</c:v>
                </c:pt>
                <c:pt idx="106">
                  <c:v>6</c:v>
                </c:pt>
                <c:pt idx="107">
                  <c:v>7</c:v>
                </c:pt>
                <c:pt idx="108">
                  <c:v>6</c:v>
                </c:pt>
                <c:pt idx="109">
                  <c:v>9</c:v>
                </c:pt>
                <c:pt idx="110">
                  <c:v>11</c:v>
                </c:pt>
                <c:pt idx="111">
                  <c:v>12</c:v>
                </c:pt>
                <c:pt idx="112">
                  <c:v>15</c:v>
                </c:pt>
                <c:pt idx="113">
                  <c:v>19</c:v>
                </c:pt>
                <c:pt idx="114">
                  <c:v>20</c:v>
                </c:pt>
                <c:pt idx="115">
                  <c:v>20</c:v>
                </c:pt>
                <c:pt idx="116">
                  <c:v>19</c:v>
                </c:pt>
                <c:pt idx="117">
                  <c:v>18</c:v>
                </c:pt>
                <c:pt idx="118">
                  <c:v>14</c:v>
                </c:pt>
                <c:pt idx="119">
                  <c:v>9</c:v>
                </c:pt>
                <c:pt idx="120">
                  <c:v>7</c:v>
                </c:pt>
                <c:pt idx="121">
                  <c:v>3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B8-40BA-8B44-661811836872}"/>
            </c:ext>
          </c:extLst>
        </c:ser>
        <c:ser>
          <c:idx val="6"/>
          <c:order val="6"/>
          <c:tx>
            <c:strRef>
              <c:f>'Infected FF'!$H$2</c:f>
              <c:strCache>
                <c:ptCount val="1"/>
                <c:pt idx="0">
                  <c:v>Run 7</c:v>
                </c:pt>
              </c:strCache>
            </c:strRef>
          </c:tx>
          <c:spPr>
            <a:ln w="19050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FF'!$H$3:$H$200</c:f>
              <c:numCache>
                <c:formatCode>General</c:formatCode>
                <c:ptCount val="198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14</c:v>
                </c:pt>
                <c:pt idx="5">
                  <c:v>16</c:v>
                </c:pt>
                <c:pt idx="6">
                  <c:v>19</c:v>
                </c:pt>
                <c:pt idx="7">
                  <c:v>20</c:v>
                </c:pt>
                <c:pt idx="8">
                  <c:v>25</c:v>
                </c:pt>
                <c:pt idx="9">
                  <c:v>26</c:v>
                </c:pt>
                <c:pt idx="10">
                  <c:v>29</c:v>
                </c:pt>
                <c:pt idx="11">
                  <c:v>31</c:v>
                </c:pt>
                <c:pt idx="12">
                  <c:v>33</c:v>
                </c:pt>
                <c:pt idx="13">
                  <c:v>34</c:v>
                </c:pt>
                <c:pt idx="14">
                  <c:v>33</c:v>
                </c:pt>
                <c:pt idx="15">
                  <c:v>32</c:v>
                </c:pt>
                <c:pt idx="16">
                  <c:v>28</c:v>
                </c:pt>
                <c:pt idx="17">
                  <c:v>28</c:v>
                </c:pt>
                <c:pt idx="18">
                  <c:v>27</c:v>
                </c:pt>
                <c:pt idx="19">
                  <c:v>29</c:v>
                </c:pt>
                <c:pt idx="20">
                  <c:v>31</c:v>
                </c:pt>
                <c:pt idx="21">
                  <c:v>36</c:v>
                </c:pt>
                <c:pt idx="22">
                  <c:v>43</c:v>
                </c:pt>
                <c:pt idx="23">
                  <c:v>46</c:v>
                </c:pt>
                <c:pt idx="24">
                  <c:v>47</c:v>
                </c:pt>
                <c:pt idx="25">
                  <c:v>54</c:v>
                </c:pt>
                <c:pt idx="26">
                  <c:v>64</c:v>
                </c:pt>
                <c:pt idx="27">
                  <c:v>70</c:v>
                </c:pt>
                <c:pt idx="28">
                  <c:v>79</c:v>
                </c:pt>
                <c:pt idx="29">
                  <c:v>85</c:v>
                </c:pt>
                <c:pt idx="30">
                  <c:v>88</c:v>
                </c:pt>
                <c:pt idx="31">
                  <c:v>82</c:v>
                </c:pt>
                <c:pt idx="32">
                  <c:v>71</c:v>
                </c:pt>
                <c:pt idx="33">
                  <c:v>60</c:v>
                </c:pt>
                <c:pt idx="34">
                  <c:v>48</c:v>
                </c:pt>
                <c:pt idx="35">
                  <c:v>42</c:v>
                </c:pt>
                <c:pt idx="36">
                  <c:v>41</c:v>
                </c:pt>
                <c:pt idx="37">
                  <c:v>38</c:v>
                </c:pt>
                <c:pt idx="38">
                  <c:v>39</c:v>
                </c:pt>
                <c:pt idx="39">
                  <c:v>37</c:v>
                </c:pt>
                <c:pt idx="40">
                  <c:v>35</c:v>
                </c:pt>
                <c:pt idx="41">
                  <c:v>33</c:v>
                </c:pt>
                <c:pt idx="42">
                  <c:v>27</c:v>
                </c:pt>
                <c:pt idx="43">
                  <c:v>27</c:v>
                </c:pt>
                <c:pt idx="44">
                  <c:v>21</c:v>
                </c:pt>
                <c:pt idx="45">
                  <c:v>19</c:v>
                </c:pt>
                <c:pt idx="46">
                  <c:v>16</c:v>
                </c:pt>
                <c:pt idx="47">
                  <c:v>14</c:v>
                </c:pt>
                <c:pt idx="48">
                  <c:v>12</c:v>
                </c:pt>
                <c:pt idx="49">
                  <c:v>12</c:v>
                </c:pt>
                <c:pt idx="50">
                  <c:v>10</c:v>
                </c:pt>
                <c:pt idx="51">
                  <c:v>9</c:v>
                </c:pt>
                <c:pt idx="52">
                  <c:v>8</c:v>
                </c:pt>
                <c:pt idx="53">
                  <c:v>5</c:v>
                </c:pt>
                <c:pt idx="54">
                  <c:v>4</c:v>
                </c:pt>
                <c:pt idx="55">
                  <c:v>4</c:v>
                </c:pt>
                <c:pt idx="56">
                  <c:v>5</c:v>
                </c:pt>
                <c:pt idx="57">
                  <c:v>8</c:v>
                </c:pt>
                <c:pt idx="58">
                  <c:v>9</c:v>
                </c:pt>
                <c:pt idx="59">
                  <c:v>11</c:v>
                </c:pt>
                <c:pt idx="60">
                  <c:v>12</c:v>
                </c:pt>
                <c:pt idx="61">
                  <c:v>11</c:v>
                </c:pt>
                <c:pt idx="62">
                  <c:v>11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11</c:v>
                </c:pt>
                <c:pt idx="67">
                  <c:v>10</c:v>
                </c:pt>
                <c:pt idx="68">
                  <c:v>9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16</c:v>
                </c:pt>
                <c:pt idx="73">
                  <c:v>15</c:v>
                </c:pt>
                <c:pt idx="74">
                  <c:v>17</c:v>
                </c:pt>
                <c:pt idx="75">
                  <c:v>15</c:v>
                </c:pt>
                <c:pt idx="76">
                  <c:v>13</c:v>
                </c:pt>
                <c:pt idx="77">
                  <c:v>12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FB8-40BA-8B44-661811836872}"/>
            </c:ext>
          </c:extLst>
        </c:ser>
        <c:ser>
          <c:idx val="7"/>
          <c:order val="7"/>
          <c:tx>
            <c:strRef>
              <c:f>'Infected FF'!$I$2</c:f>
              <c:strCache>
                <c:ptCount val="1"/>
                <c:pt idx="0">
                  <c:v>Run 8</c:v>
                </c:pt>
              </c:strCache>
            </c:strRef>
          </c:tx>
          <c:spPr>
            <a:ln w="19050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FF'!$I$3:$I$200</c:f>
              <c:numCache>
                <c:formatCode>General</c:formatCode>
                <c:ptCount val="198"/>
                <c:pt idx="0">
                  <c:v>2</c:v>
                </c:pt>
                <c:pt idx="1">
                  <c:v>5</c:v>
                </c:pt>
                <c:pt idx="2">
                  <c:v>12</c:v>
                </c:pt>
                <c:pt idx="3">
                  <c:v>23</c:v>
                </c:pt>
                <c:pt idx="4">
                  <c:v>31</c:v>
                </c:pt>
                <c:pt idx="5">
                  <c:v>44</c:v>
                </c:pt>
                <c:pt idx="6">
                  <c:v>56</c:v>
                </c:pt>
                <c:pt idx="7">
                  <c:v>67</c:v>
                </c:pt>
                <c:pt idx="8">
                  <c:v>67</c:v>
                </c:pt>
                <c:pt idx="9">
                  <c:v>64</c:v>
                </c:pt>
                <c:pt idx="10">
                  <c:v>61</c:v>
                </c:pt>
                <c:pt idx="11">
                  <c:v>54</c:v>
                </c:pt>
                <c:pt idx="12">
                  <c:v>44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25</c:v>
                </c:pt>
                <c:pt idx="17">
                  <c:v>21</c:v>
                </c:pt>
                <c:pt idx="18">
                  <c:v>20</c:v>
                </c:pt>
                <c:pt idx="19">
                  <c:v>22</c:v>
                </c:pt>
                <c:pt idx="20">
                  <c:v>21</c:v>
                </c:pt>
                <c:pt idx="21">
                  <c:v>22</c:v>
                </c:pt>
                <c:pt idx="22">
                  <c:v>21</c:v>
                </c:pt>
                <c:pt idx="23">
                  <c:v>22</c:v>
                </c:pt>
                <c:pt idx="24">
                  <c:v>22</c:v>
                </c:pt>
                <c:pt idx="25">
                  <c:v>15</c:v>
                </c:pt>
                <c:pt idx="26">
                  <c:v>16</c:v>
                </c:pt>
                <c:pt idx="27">
                  <c:v>13</c:v>
                </c:pt>
                <c:pt idx="28">
                  <c:v>9</c:v>
                </c:pt>
                <c:pt idx="29">
                  <c:v>11</c:v>
                </c:pt>
                <c:pt idx="30">
                  <c:v>13</c:v>
                </c:pt>
                <c:pt idx="31">
                  <c:v>19</c:v>
                </c:pt>
                <c:pt idx="32">
                  <c:v>33</c:v>
                </c:pt>
                <c:pt idx="33">
                  <c:v>36</c:v>
                </c:pt>
                <c:pt idx="34">
                  <c:v>44</c:v>
                </c:pt>
                <c:pt idx="35">
                  <c:v>50</c:v>
                </c:pt>
                <c:pt idx="36">
                  <c:v>49</c:v>
                </c:pt>
                <c:pt idx="37">
                  <c:v>48</c:v>
                </c:pt>
                <c:pt idx="38">
                  <c:v>39</c:v>
                </c:pt>
                <c:pt idx="39">
                  <c:v>39</c:v>
                </c:pt>
                <c:pt idx="40">
                  <c:v>41</c:v>
                </c:pt>
                <c:pt idx="41">
                  <c:v>33</c:v>
                </c:pt>
                <c:pt idx="42">
                  <c:v>35</c:v>
                </c:pt>
                <c:pt idx="43">
                  <c:v>38</c:v>
                </c:pt>
                <c:pt idx="44">
                  <c:v>39</c:v>
                </c:pt>
                <c:pt idx="45">
                  <c:v>43</c:v>
                </c:pt>
                <c:pt idx="46">
                  <c:v>42</c:v>
                </c:pt>
                <c:pt idx="47">
                  <c:v>49</c:v>
                </c:pt>
                <c:pt idx="48">
                  <c:v>54</c:v>
                </c:pt>
                <c:pt idx="49">
                  <c:v>56</c:v>
                </c:pt>
                <c:pt idx="50">
                  <c:v>56</c:v>
                </c:pt>
                <c:pt idx="51">
                  <c:v>62</c:v>
                </c:pt>
                <c:pt idx="52">
                  <c:v>63</c:v>
                </c:pt>
                <c:pt idx="53">
                  <c:v>68</c:v>
                </c:pt>
                <c:pt idx="54">
                  <c:v>65</c:v>
                </c:pt>
                <c:pt idx="55">
                  <c:v>62</c:v>
                </c:pt>
                <c:pt idx="56">
                  <c:v>61</c:v>
                </c:pt>
                <c:pt idx="57">
                  <c:v>48</c:v>
                </c:pt>
                <c:pt idx="58">
                  <c:v>42</c:v>
                </c:pt>
                <c:pt idx="59">
                  <c:v>27</c:v>
                </c:pt>
                <c:pt idx="60">
                  <c:v>19</c:v>
                </c:pt>
                <c:pt idx="61">
                  <c:v>12</c:v>
                </c:pt>
                <c:pt idx="62">
                  <c:v>5</c:v>
                </c:pt>
                <c:pt idx="63">
                  <c:v>4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5</c:v>
                </c:pt>
                <c:pt idx="68">
                  <c:v>6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10</c:v>
                </c:pt>
                <c:pt idx="74">
                  <c:v>11</c:v>
                </c:pt>
                <c:pt idx="75">
                  <c:v>14</c:v>
                </c:pt>
                <c:pt idx="76">
                  <c:v>15</c:v>
                </c:pt>
                <c:pt idx="77">
                  <c:v>29</c:v>
                </c:pt>
                <c:pt idx="78">
                  <c:v>33</c:v>
                </c:pt>
                <c:pt idx="79">
                  <c:v>34</c:v>
                </c:pt>
                <c:pt idx="80">
                  <c:v>36</c:v>
                </c:pt>
                <c:pt idx="81">
                  <c:v>29</c:v>
                </c:pt>
                <c:pt idx="82">
                  <c:v>27</c:v>
                </c:pt>
                <c:pt idx="83">
                  <c:v>13</c:v>
                </c:pt>
                <c:pt idx="84">
                  <c:v>8</c:v>
                </c:pt>
                <c:pt idx="85">
                  <c:v>8</c:v>
                </c:pt>
                <c:pt idx="86">
                  <c:v>4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12</c:v>
                </c:pt>
                <c:pt idx="91">
                  <c:v>12</c:v>
                </c:pt>
                <c:pt idx="92">
                  <c:v>14</c:v>
                </c:pt>
                <c:pt idx="93">
                  <c:v>19</c:v>
                </c:pt>
                <c:pt idx="94">
                  <c:v>22</c:v>
                </c:pt>
                <c:pt idx="95">
                  <c:v>24</c:v>
                </c:pt>
                <c:pt idx="96">
                  <c:v>17</c:v>
                </c:pt>
                <c:pt idx="97">
                  <c:v>20</c:v>
                </c:pt>
                <c:pt idx="98">
                  <c:v>19</c:v>
                </c:pt>
                <c:pt idx="99">
                  <c:v>14</c:v>
                </c:pt>
                <c:pt idx="100">
                  <c:v>11</c:v>
                </c:pt>
                <c:pt idx="101">
                  <c:v>9</c:v>
                </c:pt>
                <c:pt idx="102">
                  <c:v>8</c:v>
                </c:pt>
                <c:pt idx="103">
                  <c:v>4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6</c:v>
                </c:pt>
                <c:pt idx="111">
                  <c:v>4</c:v>
                </c:pt>
                <c:pt idx="112">
                  <c:v>3</c:v>
                </c:pt>
                <c:pt idx="113">
                  <c:v>2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FB8-40BA-8B44-661811836872}"/>
            </c:ext>
          </c:extLst>
        </c:ser>
        <c:ser>
          <c:idx val="8"/>
          <c:order val="8"/>
          <c:tx>
            <c:strRef>
              <c:f>'Infected FF'!$J$2</c:f>
              <c:strCache>
                <c:ptCount val="1"/>
                <c:pt idx="0">
                  <c:v>Run 9</c:v>
                </c:pt>
              </c:strCache>
            </c:strRef>
          </c:tx>
          <c:spPr>
            <a:ln w="19050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FF'!$J$3:$J$200</c:f>
              <c:numCache>
                <c:formatCode>General</c:formatCode>
                <c:ptCount val="198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12</c:v>
                </c:pt>
                <c:pt idx="4">
                  <c:v>13</c:v>
                </c:pt>
                <c:pt idx="5">
                  <c:v>17</c:v>
                </c:pt>
                <c:pt idx="6">
                  <c:v>18</c:v>
                </c:pt>
                <c:pt idx="7">
                  <c:v>18</c:v>
                </c:pt>
                <c:pt idx="8">
                  <c:v>19</c:v>
                </c:pt>
                <c:pt idx="9">
                  <c:v>16</c:v>
                </c:pt>
                <c:pt idx="10">
                  <c:v>21</c:v>
                </c:pt>
                <c:pt idx="11">
                  <c:v>22</c:v>
                </c:pt>
                <c:pt idx="12">
                  <c:v>34</c:v>
                </c:pt>
                <c:pt idx="13">
                  <c:v>44</c:v>
                </c:pt>
                <c:pt idx="14">
                  <c:v>65</c:v>
                </c:pt>
                <c:pt idx="15">
                  <c:v>75</c:v>
                </c:pt>
                <c:pt idx="16">
                  <c:v>73</c:v>
                </c:pt>
                <c:pt idx="17">
                  <c:v>74</c:v>
                </c:pt>
                <c:pt idx="18">
                  <c:v>59</c:v>
                </c:pt>
                <c:pt idx="19">
                  <c:v>48</c:v>
                </c:pt>
                <c:pt idx="20">
                  <c:v>26</c:v>
                </c:pt>
                <c:pt idx="21">
                  <c:v>14</c:v>
                </c:pt>
                <c:pt idx="22">
                  <c:v>19</c:v>
                </c:pt>
                <c:pt idx="23">
                  <c:v>19</c:v>
                </c:pt>
                <c:pt idx="24">
                  <c:v>28</c:v>
                </c:pt>
                <c:pt idx="25">
                  <c:v>47</c:v>
                </c:pt>
                <c:pt idx="26">
                  <c:v>54</c:v>
                </c:pt>
                <c:pt idx="27">
                  <c:v>69</c:v>
                </c:pt>
                <c:pt idx="28">
                  <c:v>75</c:v>
                </c:pt>
                <c:pt idx="29">
                  <c:v>74</c:v>
                </c:pt>
                <c:pt idx="30">
                  <c:v>71</c:v>
                </c:pt>
                <c:pt idx="31">
                  <c:v>52</c:v>
                </c:pt>
                <c:pt idx="32">
                  <c:v>43</c:v>
                </c:pt>
                <c:pt idx="33">
                  <c:v>28</c:v>
                </c:pt>
                <c:pt idx="34">
                  <c:v>13</c:v>
                </c:pt>
                <c:pt idx="35">
                  <c:v>8</c:v>
                </c:pt>
                <c:pt idx="36">
                  <c:v>4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5</c:v>
                </c:pt>
                <c:pt idx="43">
                  <c:v>11</c:v>
                </c:pt>
                <c:pt idx="44">
                  <c:v>19</c:v>
                </c:pt>
                <c:pt idx="45">
                  <c:v>36</c:v>
                </c:pt>
                <c:pt idx="46">
                  <c:v>49</c:v>
                </c:pt>
                <c:pt idx="47">
                  <c:v>66</c:v>
                </c:pt>
                <c:pt idx="48">
                  <c:v>74</c:v>
                </c:pt>
                <c:pt idx="49">
                  <c:v>70</c:v>
                </c:pt>
                <c:pt idx="50">
                  <c:v>68</c:v>
                </c:pt>
                <c:pt idx="51">
                  <c:v>54</c:v>
                </c:pt>
                <c:pt idx="52">
                  <c:v>43</c:v>
                </c:pt>
                <c:pt idx="53">
                  <c:v>29</c:v>
                </c:pt>
                <c:pt idx="54">
                  <c:v>18</c:v>
                </c:pt>
                <c:pt idx="55">
                  <c:v>17</c:v>
                </c:pt>
                <c:pt idx="56">
                  <c:v>12</c:v>
                </c:pt>
                <c:pt idx="57">
                  <c:v>10</c:v>
                </c:pt>
                <c:pt idx="58">
                  <c:v>12</c:v>
                </c:pt>
                <c:pt idx="59">
                  <c:v>11</c:v>
                </c:pt>
                <c:pt idx="60">
                  <c:v>12</c:v>
                </c:pt>
                <c:pt idx="61">
                  <c:v>11</c:v>
                </c:pt>
                <c:pt idx="62">
                  <c:v>12</c:v>
                </c:pt>
                <c:pt idx="63">
                  <c:v>12</c:v>
                </c:pt>
                <c:pt idx="64">
                  <c:v>8</c:v>
                </c:pt>
                <c:pt idx="65">
                  <c:v>6</c:v>
                </c:pt>
                <c:pt idx="66">
                  <c:v>4</c:v>
                </c:pt>
                <c:pt idx="67">
                  <c:v>3</c:v>
                </c:pt>
                <c:pt idx="68">
                  <c:v>4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2</c:v>
                </c:pt>
                <c:pt idx="75">
                  <c:v>2</c:v>
                </c:pt>
                <c:pt idx="76">
                  <c:v>3</c:v>
                </c:pt>
                <c:pt idx="77">
                  <c:v>2</c:v>
                </c:pt>
                <c:pt idx="78">
                  <c:v>2</c:v>
                </c:pt>
                <c:pt idx="79">
                  <c:v>3</c:v>
                </c:pt>
                <c:pt idx="80">
                  <c:v>3</c:v>
                </c:pt>
                <c:pt idx="81">
                  <c:v>4</c:v>
                </c:pt>
                <c:pt idx="82">
                  <c:v>6</c:v>
                </c:pt>
                <c:pt idx="83">
                  <c:v>9</c:v>
                </c:pt>
                <c:pt idx="84">
                  <c:v>10</c:v>
                </c:pt>
                <c:pt idx="85">
                  <c:v>10</c:v>
                </c:pt>
                <c:pt idx="86">
                  <c:v>9</c:v>
                </c:pt>
                <c:pt idx="87">
                  <c:v>9</c:v>
                </c:pt>
                <c:pt idx="88">
                  <c:v>7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5</c:v>
                </c:pt>
                <c:pt idx="97">
                  <c:v>4</c:v>
                </c:pt>
                <c:pt idx="98">
                  <c:v>2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6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8</c:v>
                </c:pt>
                <c:pt idx="113">
                  <c:v>9</c:v>
                </c:pt>
                <c:pt idx="114">
                  <c:v>15</c:v>
                </c:pt>
                <c:pt idx="115">
                  <c:v>16</c:v>
                </c:pt>
                <c:pt idx="116">
                  <c:v>18</c:v>
                </c:pt>
                <c:pt idx="117">
                  <c:v>18</c:v>
                </c:pt>
                <c:pt idx="118">
                  <c:v>17</c:v>
                </c:pt>
                <c:pt idx="119">
                  <c:v>19</c:v>
                </c:pt>
                <c:pt idx="120">
                  <c:v>12</c:v>
                </c:pt>
                <c:pt idx="121">
                  <c:v>14</c:v>
                </c:pt>
                <c:pt idx="122">
                  <c:v>15</c:v>
                </c:pt>
                <c:pt idx="123">
                  <c:v>18</c:v>
                </c:pt>
                <c:pt idx="124">
                  <c:v>20</c:v>
                </c:pt>
                <c:pt idx="125">
                  <c:v>18</c:v>
                </c:pt>
                <c:pt idx="126">
                  <c:v>16</c:v>
                </c:pt>
                <c:pt idx="127">
                  <c:v>12</c:v>
                </c:pt>
                <c:pt idx="128">
                  <c:v>9</c:v>
                </c:pt>
                <c:pt idx="129">
                  <c:v>4</c:v>
                </c:pt>
                <c:pt idx="130">
                  <c:v>1</c:v>
                </c:pt>
                <c:pt idx="131">
                  <c:v>2</c:v>
                </c:pt>
                <c:pt idx="132">
                  <c:v>3</c:v>
                </c:pt>
                <c:pt idx="133">
                  <c:v>5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6</c:v>
                </c:pt>
                <c:pt idx="138">
                  <c:v>5</c:v>
                </c:pt>
                <c:pt idx="139">
                  <c:v>3</c:v>
                </c:pt>
                <c:pt idx="140">
                  <c:v>2</c:v>
                </c:pt>
                <c:pt idx="141">
                  <c:v>3</c:v>
                </c:pt>
                <c:pt idx="142">
                  <c:v>6</c:v>
                </c:pt>
                <c:pt idx="143">
                  <c:v>11</c:v>
                </c:pt>
                <c:pt idx="144">
                  <c:v>15</c:v>
                </c:pt>
                <c:pt idx="145">
                  <c:v>19</c:v>
                </c:pt>
                <c:pt idx="146">
                  <c:v>22</c:v>
                </c:pt>
                <c:pt idx="147">
                  <c:v>24</c:v>
                </c:pt>
                <c:pt idx="148">
                  <c:v>25</c:v>
                </c:pt>
                <c:pt idx="149">
                  <c:v>20</c:v>
                </c:pt>
                <c:pt idx="150">
                  <c:v>18</c:v>
                </c:pt>
                <c:pt idx="151">
                  <c:v>14</c:v>
                </c:pt>
                <c:pt idx="152">
                  <c:v>10</c:v>
                </c:pt>
                <c:pt idx="153">
                  <c:v>8</c:v>
                </c:pt>
                <c:pt idx="154">
                  <c:v>5</c:v>
                </c:pt>
                <c:pt idx="155">
                  <c:v>5</c:v>
                </c:pt>
                <c:pt idx="156">
                  <c:v>3</c:v>
                </c:pt>
                <c:pt idx="157">
                  <c:v>3</c:v>
                </c:pt>
                <c:pt idx="158">
                  <c:v>2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3</c:v>
                </c:pt>
                <c:pt idx="163">
                  <c:v>6</c:v>
                </c:pt>
                <c:pt idx="164">
                  <c:v>9</c:v>
                </c:pt>
                <c:pt idx="165">
                  <c:v>15</c:v>
                </c:pt>
                <c:pt idx="166">
                  <c:v>20</c:v>
                </c:pt>
                <c:pt idx="167">
                  <c:v>24</c:v>
                </c:pt>
                <c:pt idx="168">
                  <c:v>28</c:v>
                </c:pt>
                <c:pt idx="169">
                  <c:v>27</c:v>
                </c:pt>
                <c:pt idx="170">
                  <c:v>24</c:v>
                </c:pt>
                <c:pt idx="171">
                  <c:v>18</c:v>
                </c:pt>
                <c:pt idx="172">
                  <c:v>12</c:v>
                </c:pt>
                <c:pt idx="173">
                  <c:v>8</c:v>
                </c:pt>
                <c:pt idx="174">
                  <c:v>3</c:v>
                </c:pt>
                <c:pt idx="175">
                  <c:v>2</c:v>
                </c:pt>
                <c:pt idx="176">
                  <c:v>3</c:v>
                </c:pt>
                <c:pt idx="177">
                  <c:v>5</c:v>
                </c:pt>
                <c:pt idx="178">
                  <c:v>5</c:v>
                </c:pt>
                <c:pt idx="179">
                  <c:v>6</c:v>
                </c:pt>
                <c:pt idx="180">
                  <c:v>6</c:v>
                </c:pt>
                <c:pt idx="181">
                  <c:v>5</c:v>
                </c:pt>
                <c:pt idx="182">
                  <c:v>6</c:v>
                </c:pt>
                <c:pt idx="183">
                  <c:v>5</c:v>
                </c:pt>
                <c:pt idx="184">
                  <c:v>6</c:v>
                </c:pt>
                <c:pt idx="185">
                  <c:v>6</c:v>
                </c:pt>
                <c:pt idx="186">
                  <c:v>7</c:v>
                </c:pt>
                <c:pt idx="187">
                  <c:v>9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6</c:v>
                </c:pt>
                <c:pt idx="193">
                  <c:v>4</c:v>
                </c:pt>
                <c:pt idx="194">
                  <c:v>3</c:v>
                </c:pt>
                <c:pt idx="195">
                  <c:v>2</c:v>
                </c:pt>
                <c:pt idx="196">
                  <c:v>1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FB8-40BA-8B44-661811836872}"/>
            </c:ext>
          </c:extLst>
        </c:ser>
        <c:ser>
          <c:idx val="9"/>
          <c:order val="9"/>
          <c:tx>
            <c:strRef>
              <c:f>'Infected FF'!$K$2</c:f>
              <c:strCache>
                <c:ptCount val="1"/>
                <c:pt idx="0">
                  <c:v>Run 10</c:v>
                </c:pt>
              </c:strCache>
            </c:strRef>
          </c:tx>
          <c:spPr>
            <a:ln w="19050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FF'!$K$3:$K$200</c:f>
              <c:numCache>
                <c:formatCode>General</c:formatCode>
                <c:ptCount val="198"/>
                <c:pt idx="0">
                  <c:v>2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21</c:v>
                </c:pt>
                <c:pt idx="11">
                  <c:v>26</c:v>
                </c:pt>
                <c:pt idx="12">
                  <c:v>27</c:v>
                </c:pt>
                <c:pt idx="13">
                  <c:v>35</c:v>
                </c:pt>
                <c:pt idx="14">
                  <c:v>34</c:v>
                </c:pt>
                <c:pt idx="15">
                  <c:v>38</c:v>
                </c:pt>
                <c:pt idx="16">
                  <c:v>41</c:v>
                </c:pt>
                <c:pt idx="17">
                  <c:v>51</c:v>
                </c:pt>
                <c:pt idx="18">
                  <c:v>63</c:v>
                </c:pt>
                <c:pt idx="19">
                  <c:v>66</c:v>
                </c:pt>
                <c:pt idx="20">
                  <c:v>73</c:v>
                </c:pt>
                <c:pt idx="21">
                  <c:v>72</c:v>
                </c:pt>
                <c:pt idx="22">
                  <c:v>71</c:v>
                </c:pt>
                <c:pt idx="23">
                  <c:v>59</c:v>
                </c:pt>
                <c:pt idx="24">
                  <c:v>53</c:v>
                </c:pt>
                <c:pt idx="25">
                  <c:v>47</c:v>
                </c:pt>
                <c:pt idx="26">
                  <c:v>49</c:v>
                </c:pt>
                <c:pt idx="27">
                  <c:v>47</c:v>
                </c:pt>
                <c:pt idx="28">
                  <c:v>48</c:v>
                </c:pt>
                <c:pt idx="29">
                  <c:v>51</c:v>
                </c:pt>
                <c:pt idx="30">
                  <c:v>43</c:v>
                </c:pt>
                <c:pt idx="31">
                  <c:v>38</c:v>
                </c:pt>
                <c:pt idx="32">
                  <c:v>33</c:v>
                </c:pt>
                <c:pt idx="33">
                  <c:v>31</c:v>
                </c:pt>
                <c:pt idx="34">
                  <c:v>30</c:v>
                </c:pt>
                <c:pt idx="35">
                  <c:v>30</c:v>
                </c:pt>
                <c:pt idx="36">
                  <c:v>32</c:v>
                </c:pt>
                <c:pt idx="37">
                  <c:v>36</c:v>
                </c:pt>
                <c:pt idx="38">
                  <c:v>35</c:v>
                </c:pt>
                <c:pt idx="39">
                  <c:v>38</c:v>
                </c:pt>
                <c:pt idx="40">
                  <c:v>32</c:v>
                </c:pt>
                <c:pt idx="41">
                  <c:v>28</c:v>
                </c:pt>
                <c:pt idx="42">
                  <c:v>24</c:v>
                </c:pt>
                <c:pt idx="43">
                  <c:v>20</c:v>
                </c:pt>
                <c:pt idx="44">
                  <c:v>16</c:v>
                </c:pt>
                <c:pt idx="45">
                  <c:v>11</c:v>
                </c:pt>
                <c:pt idx="46">
                  <c:v>11</c:v>
                </c:pt>
                <c:pt idx="47">
                  <c:v>8</c:v>
                </c:pt>
                <c:pt idx="48">
                  <c:v>7</c:v>
                </c:pt>
                <c:pt idx="49">
                  <c:v>5</c:v>
                </c:pt>
                <c:pt idx="50">
                  <c:v>3</c:v>
                </c:pt>
                <c:pt idx="51">
                  <c:v>2</c:v>
                </c:pt>
                <c:pt idx="52">
                  <c:v>3</c:v>
                </c:pt>
                <c:pt idx="53">
                  <c:v>2</c:v>
                </c:pt>
                <c:pt idx="54">
                  <c:v>4</c:v>
                </c:pt>
                <c:pt idx="55">
                  <c:v>7</c:v>
                </c:pt>
                <c:pt idx="56">
                  <c:v>8</c:v>
                </c:pt>
                <c:pt idx="57">
                  <c:v>15</c:v>
                </c:pt>
                <c:pt idx="58">
                  <c:v>17</c:v>
                </c:pt>
                <c:pt idx="59">
                  <c:v>22</c:v>
                </c:pt>
                <c:pt idx="60">
                  <c:v>24</c:v>
                </c:pt>
                <c:pt idx="61">
                  <c:v>26</c:v>
                </c:pt>
                <c:pt idx="62">
                  <c:v>29</c:v>
                </c:pt>
                <c:pt idx="63">
                  <c:v>26</c:v>
                </c:pt>
                <c:pt idx="64">
                  <c:v>25</c:v>
                </c:pt>
                <c:pt idx="65">
                  <c:v>22</c:v>
                </c:pt>
                <c:pt idx="66">
                  <c:v>20</c:v>
                </c:pt>
                <c:pt idx="67">
                  <c:v>18</c:v>
                </c:pt>
                <c:pt idx="68">
                  <c:v>14</c:v>
                </c:pt>
                <c:pt idx="69">
                  <c:v>12</c:v>
                </c:pt>
                <c:pt idx="70">
                  <c:v>9</c:v>
                </c:pt>
                <c:pt idx="71">
                  <c:v>8</c:v>
                </c:pt>
                <c:pt idx="72">
                  <c:v>8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7</c:v>
                </c:pt>
                <c:pt idx="77">
                  <c:v>8</c:v>
                </c:pt>
                <c:pt idx="78">
                  <c:v>10</c:v>
                </c:pt>
                <c:pt idx="79">
                  <c:v>9</c:v>
                </c:pt>
                <c:pt idx="80">
                  <c:v>11</c:v>
                </c:pt>
                <c:pt idx="81">
                  <c:v>10</c:v>
                </c:pt>
                <c:pt idx="82">
                  <c:v>10</c:v>
                </c:pt>
                <c:pt idx="83">
                  <c:v>9</c:v>
                </c:pt>
                <c:pt idx="84">
                  <c:v>6</c:v>
                </c:pt>
                <c:pt idx="85">
                  <c:v>7</c:v>
                </c:pt>
                <c:pt idx="86">
                  <c:v>5</c:v>
                </c:pt>
                <c:pt idx="87">
                  <c:v>4</c:v>
                </c:pt>
                <c:pt idx="88">
                  <c:v>3</c:v>
                </c:pt>
                <c:pt idx="89">
                  <c:v>2</c:v>
                </c:pt>
                <c:pt idx="90">
                  <c:v>2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FB8-40BA-8B44-661811836872}"/>
            </c:ext>
          </c:extLst>
        </c:ser>
        <c:ser>
          <c:idx val="10"/>
          <c:order val="10"/>
          <c:tx>
            <c:strRef>
              <c:f>'Infected FF'!$L$2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'Infected FF'!$L$3:$L$200</c:f>
              <c:numCache>
                <c:formatCode>General</c:formatCode>
                <c:ptCount val="198"/>
                <c:pt idx="0">
                  <c:v>2</c:v>
                </c:pt>
                <c:pt idx="1">
                  <c:v>4.2</c:v>
                </c:pt>
                <c:pt idx="2">
                  <c:v>8.4</c:v>
                </c:pt>
                <c:pt idx="3">
                  <c:v>15.3</c:v>
                </c:pt>
                <c:pt idx="4">
                  <c:v>22.5</c:v>
                </c:pt>
                <c:pt idx="5">
                  <c:v>32</c:v>
                </c:pt>
                <c:pt idx="6">
                  <c:v>39.9</c:v>
                </c:pt>
                <c:pt idx="7">
                  <c:v>48.6</c:v>
                </c:pt>
                <c:pt idx="8">
                  <c:v>54.3</c:v>
                </c:pt>
                <c:pt idx="9">
                  <c:v>56.6</c:v>
                </c:pt>
                <c:pt idx="10">
                  <c:v>60.3</c:v>
                </c:pt>
                <c:pt idx="11">
                  <c:v>60.1</c:v>
                </c:pt>
                <c:pt idx="12">
                  <c:v>57.8</c:v>
                </c:pt>
                <c:pt idx="13">
                  <c:v>54.2</c:v>
                </c:pt>
                <c:pt idx="14">
                  <c:v>50.6</c:v>
                </c:pt>
                <c:pt idx="15">
                  <c:v>47.3</c:v>
                </c:pt>
                <c:pt idx="16">
                  <c:v>42.6</c:v>
                </c:pt>
                <c:pt idx="17">
                  <c:v>40</c:v>
                </c:pt>
                <c:pt idx="18">
                  <c:v>39.1</c:v>
                </c:pt>
                <c:pt idx="19">
                  <c:v>39</c:v>
                </c:pt>
                <c:pt idx="20">
                  <c:v>39.9</c:v>
                </c:pt>
                <c:pt idx="21">
                  <c:v>39.799999999999997</c:v>
                </c:pt>
                <c:pt idx="22">
                  <c:v>39.9</c:v>
                </c:pt>
                <c:pt idx="23">
                  <c:v>38.1</c:v>
                </c:pt>
                <c:pt idx="24">
                  <c:v>36.799999999999997</c:v>
                </c:pt>
                <c:pt idx="25">
                  <c:v>37.299999999999997</c:v>
                </c:pt>
                <c:pt idx="26">
                  <c:v>37.1</c:v>
                </c:pt>
                <c:pt idx="27">
                  <c:v>39.1</c:v>
                </c:pt>
                <c:pt idx="28">
                  <c:v>40.6</c:v>
                </c:pt>
                <c:pt idx="29">
                  <c:v>42.7</c:v>
                </c:pt>
                <c:pt idx="30">
                  <c:v>42.8</c:v>
                </c:pt>
                <c:pt idx="31">
                  <c:v>38.6</c:v>
                </c:pt>
                <c:pt idx="32">
                  <c:v>36.200000000000003</c:v>
                </c:pt>
                <c:pt idx="33">
                  <c:v>32.299999999999997</c:v>
                </c:pt>
                <c:pt idx="34">
                  <c:v>28.6</c:v>
                </c:pt>
                <c:pt idx="35">
                  <c:v>26.6</c:v>
                </c:pt>
                <c:pt idx="36">
                  <c:v>25.5</c:v>
                </c:pt>
                <c:pt idx="37">
                  <c:v>25</c:v>
                </c:pt>
                <c:pt idx="38">
                  <c:v>25.5</c:v>
                </c:pt>
                <c:pt idx="39">
                  <c:v>25</c:v>
                </c:pt>
                <c:pt idx="40">
                  <c:v>25.7</c:v>
                </c:pt>
                <c:pt idx="41">
                  <c:v>24.6</c:v>
                </c:pt>
                <c:pt idx="42">
                  <c:v>23.9</c:v>
                </c:pt>
                <c:pt idx="43">
                  <c:v>25</c:v>
                </c:pt>
                <c:pt idx="44">
                  <c:v>23.4</c:v>
                </c:pt>
                <c:pt idx="45">
                  <c:v>24.2</c:v>
                </c:pt>
                <c:pt idx="46">
                  <c:v>23.5</c:v>
                </c:pt>
                <c:pt idx="47">
                  <c:v>23.7</c:v>
                </c:pt>
                <c:pt idx="48">
                  <c:v>24</c:v>
                </c:pt>
                <c:pt idx="49">
                  <c:v>23.4</c:v>
                </c:pt>
                <c:pt idx="50">
                  <c:v>22.2</c:v>
                </c:pt>
                <c:pt idx="51">
                  <c:v>21</c:v>
                </c:pt>
                <c:pt idx="52">
                  <c:v>20.100000000000001</c:v>
                </c:pt>
                <c:pt idx="53">
                  <c:v>19.5</c:v>
                </c:pt>
                <c:pt idx="54">
                  <c:v>18.399999999999999</c:v>
                </c:pt>
                <c:pt idx="55">
                  <c:v>18.399999999999999</c:v>
                </c:pt>
                <c:pt idx="56">
                  <c:v>19</c:v>
                </c:pt>
                <c:pt idx="57">
                  <c:v>19</c:v>
                </c:pt>
                <c:pt idx="58">
                  <c:v>19.100000000000001</c:v>
                </c:pt>
                <c:pt idx="59">
                  <c:v>17.399999999999999</c:v>
                </c:pt>
                <c:pt idx="60">
                  <c:v>16.7</c:v>
                </c:pt>
                <c:pt idx="61">
                  <c:v>14.7</c:v>
                </c:pt>
                <c:pt idx="62">
                  <c:v>13.3</c:v>
                </c:pt>
                <c:pt idx="63">
                  <c:v>11.9</c:v>
                </c:pt>
                <c:pt idx="64">
                  <c:v>10.199999999999999</c:v>
                </c:pt>
                <c:pt idx="65">
                  <c:v>10.4</c:v>
                </c:pt>
                <c:pt idx="66">
                  <c:v>10.6</c:v>
                </c:pt>
                <c:pt idx="67">
                  <c:v>10.6</c:v>
                </c:pt>
                <c:pt idx="68">
                  <c:v>10.5</c:v>
                </c:pt>
                <c:pt idx="69">
                  <c:v>10.5</c:v>
                </c:pt>
                <c:pt idx="70">
                  <c:v>9.4</c:v>
                </c:pt>
                <c:pt idx="71">
                  <c:v>8.1</c:v>
                </c:pt>
                <c:pt idx="72">
                  <c:v>7</c:v>
                </c:pt>
                <c:pt idx="73">
                  <c:v>6.2</c:v>
                </c:pt>
                <c:pt idx="74">
                  <c:v>5.9</c:v>
                </c:pt>
                <c:pt idx="75">
                  <c:v>5.8</c:v>
                </c:pt>
                <c:pt idx="76">
                  <c:v>6.3</c:v>
                </c:pt>
                <c:pt idx="77">
                  <c:v>7.9</c:v>
                </c:pt>
                <c:pt idx="78">
                  <c:v>8</c:v>
                </c:pt>
                <c:pt idx="79">
                  <c:v>7.8</c:v>
                </c:pt>
                <c:pt idx="80">
                  <c:v>7.8</c:v>
                </c:pt>
                <c:pt idx="81">
                  <c:v>6.7</c:v>
                </c:pt>
                <c:pt idx="82">
                  <c:v>6.2</c:v>
                </c:pt>
                <c:pt idx="83">
                  <c:v>4.4000000000000004</c:v>
                </c:pt>
                <c:pt idx="84">
                  <c:v>3.4</c:v>
                </c:pt>
                <c:pt idx="85">
                  <c:v>3.3</c:v>
                </c:pt>
                <c:pt idx="86">
                  <c:v>2.5</c:v>
                </c:pt>
                <c:pt idx="87">
                  <c:v>2.6</c:v>
                </c:pt>
                <c:pt idx="88">
                  <c:v>2.6</c:v>
                </c:pt>
                <c:pt idx="89">
                  <c:v>2.2999999999999998</c:v>
                </c:pt>
                <c:pt idx="90">
                  <c:v>2.9</c:v>
                </c:pt>
                <c:pt idx="91">
                  <c:v>2.7</c:v>
                </c:pt>
                <c:pt idx="92">
                  <c:v>2.8</c:v>
                </c:pt>
                <c:pt idx="93">
                  <c:v>3.1</c:v>
                </c:pt>
                <c:pt idx="94">
                  <c:v>3.2</c:v>
                </c:pt>
                <c:pt idx="95">
                  <c:v>3.5</c:v>
                </c:pt>
                <c:pt idx="96">
                  <c:v>2.8</c:v>
                </c:pt>
                <c:pt idx="97">
                  <c:v>3.3</c:v>
                </c:pt>
                <c:pt idx="98">
                  <c:v>3</c:v>
                </c:pt>
                <c:pt idx="99">
                  <c:v>2.6</c:v>
                </c:pt>
                <c:pt idx="100">
                  <c:v>2.2000000000000002</c:v>
                </c:pt>
                <c:pt idx="101">
                  <c:v>1.7</c:v>
                </c:pt>
                <c:pt idx="102">
                  <c:v>1.6</c:v>
                </c:pt>
                <c:pt idx="103">
                  <c:v>1</c:v>
                </c:pt>
                <c:pt idx="104">
                  <c:v>1</c:v>
                </c:pt>
                <c:pt idx="105">
                  <c:v>1.1000000000000001</c:v>
                </c:pt>
                <c:pt idx="106">
                  <c:v>1.2</c:v>
                </c:pt>
                <c:pt idx="107">
                  <c:v>1.4</c:v>
                </c:pt>
                <c:pt idx="108">
                  <c:v>1.7</c:v>
                </c:pt>
                <c:pt idx="109">
                  <c:v>2.2000000000000002</c:v>
                </c:pt>
                <c:pt idx="110">
                  <c:v>2.4</c:v>
                </c:pt>
                <c:pt idx="111">
                  <c:v>2.2999999999999998</c:v>
                </c:pt>
                <c:pt idx="112">
                  <c:v>2.6</c:v>
                </c:pt>
                <c:pt idx="113">
                  <c:v>3</c:v>
                </c:pt>
                <c:pt idx="114">
                  <c:v>3.6</c:v>
                </c:pt>
                <c:pt idx="115">
                  <c:v>3.6</c:v>
                </c:pt>
                <c:pt idx="116">
                  <c:v>3.7</c:v>
                </c:pt>
                <c:pt idx="117">
                  <c:v>3.6</c:v>
                </c:pt>
                <c:pt idx="118">
                  <c:v>3.1</c:v>
                </c:pt>
                <c:pt idx="119">
                  <c:v>2.8</c:v>
                </c:pt>
                <c:pt idx="120">
                  <c:v>1.9</c:v>
                </c:pt>
                <c:pt idx="121">
                  <c:v>1.7</c:v>
                </c:pt>
                <c:pt idx="122">
                  <c:v>1.6</c:v>
                </c:pt>
                <c:pt idx="123">
                  <c:v>1.8</c:v>
                </c:pt>
                <c:pt idx="124">
                  <c:v>2</c:v>
                </c:pt>
                <c:pt idx="125">
                  <c:v>1.8</c:v>
                </c:pt>
                <c:pt idx="126">
                  <c:v>1.6</c:v>
                </c:pt>
                <c:pt idx="127">
                  <c:v>1.2</c:v>
                </c:pt>
                <c:pt idx="128">
                  <c:v>0.9</c:v>
                </c:pt>
                <c:pt idx="129">
                  <c:v>0.4</c:v>
                </c:pt>
                <c:pt idx="130">
                  <c:v>0.1</c:v>
                </c:pt>
                <c:pt idx="131">
                  <c:v>0.2</c:v>
                </c:pt>
                <c:pt idx="132">
                  <c:v>0.3</c:v>
                </c:pt>
                <c:pt idx="133">
                  <c:v>0.5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0.6</c:v>
                </c:pt>
                <c:pt idx="138">
                  <c:v>0.5</c:v>
                </c:pt>
                <c:pt idx="139">
                  <c:v>0.3</c:v>
                </c:pt>
                <c:pt idx="140">
                  <c:v>0.2</c:v>
                </c:pt>
                <c:pt idx="141">
                  <c:v>0.3</c:v>
                </c:pt>
                <c:pt idx="142">
                  <c:v>0.6</c:v>
                </c:pt>
                <c:pt idx="143">
                  <c:v>1.1000000000000001</c:v>
                </c:pt>
                <c:pt idx="144">
                  <c:v>1.5</c:v>
                </c:pt>
                <c:pt idx="145">
                  <c:v>1.9</c:v>
                </c:pt>
                <c:pt idx="146">
                  <c:v>2.2000000000000002</c:v>
                </c:pt>
                <c:pt idx="147">
                  <c:v>2.4</c:v>
                </c:pt>
                <c:pt idx="148">
                  <c:v>2.5</c:v>
                </c:pt>
                <c:pt idx="149">
                  <c:v>2</c:v>
                </c:pt>
                <c:pt idx="150">
                  <c:v>1.8</c:v>
                </c:pt>
                <c:pt idx="151">
                  <c:v>1.4</c:v>
                </c:pt>
                <c:pt idx="152">
                  <c:v>1</c:v>
                </c:pt>
                <c:pt idx="153">
                  <c:v>0.8</c:v>
                </c:pt>
                <c:pt idx="154">
                  <c:v>0.5</c:v>
                </c:pt>
                <c:pt idx="155">
                  <c:v>0.5</c:v>
                </c:pt>
                <c:pt idx="156">
                  <c:v>0.3</c:v>
                </c:pt>
                <c:pt idx="157">
                  <c:v>0.3</c:v>
                </c:pt>
                <c:pt idx="158">
                  <c:v>0.2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0.3</c:v>
                </c:pt>
                <c:pt idx="163">
                  <c:v>0.6</c:v>
                </c:pt>
                <c:pt idx="164">
                  <c:v>0.9</c:v>
                </c:pt>
                <c:pt idx="165">
                  <c:v>1.5</c:v>
                </c:pt>
                <c:pt idx="166">
                  <c:v>2</c:v>
                </c:pt>
                <c:pt idx="167">
                  <c:v>2.4</c:v>
                </c:pt>
                <c:pt idx="168">
                  <c:v>2.8</c:v>
                </c:pt>
                <c:pt idx="169">
                  <c:v>2.7</c:v>
                </c:pt>
                <c:pt idx="170">
                  <c:v>2.4</c:v>
                </c:pt>
                <c:pt idx="171">
                  <c:v>1.8</c:v>
                </c:pt>
                <c:pt idx="172">
                  <c:v>1.2</c:v>
                </c:pt>
                <c:pt idx="173">
                  <c:v>0.8</c:v>
                </c:pt>
                <c:pt idx="174">
                  <c:v>0.3</c:v>
                </c:pt>
                <c:pt idx="175">
                  <c:v>0.2</c:v>
                </c:pt>
                <c:pt idx="176">
                  <c:v>0.3</c:v>
                </c:pt>
                <c:pt idx="177">
                  <c:v>0.5</c:v>
                </c:pt>
                <c:pt idx="178">
                  <c:v>0.5</c:v>
                </c:pt>
                <c:pt idx="179">
                  <c:v>0.6</c:v>
                </c:pt>
                <c:pt idx="180">
                  <c:v>0.6</c:v>
                </c:pt>
                <c:pt idx="181">
                  <c:v>0.5</c:v>
                </c:pt>
                <c:pt idx="182">
                  <c:v>0.6</c:v>
                </c:pt>
                <c:pt idx="183">
                  <c:v>0.5</c:v>
                </c:pt>
                <c:pt idx="184">
                  <c:v>0.6</c:v>
                </c:pt>
                <c:pt idx="185">
                  <c:v>0.6</c:v>
                </c:pt>
                <c:pt idx="186">
                  <c:v>0.7</c:v>
                </c:pt>
                <c:pt idx="187">
                  <c:v>0.9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0.6</c:v>
                </c:pt>
                <c:pt idx="193">
                  <c:v>0.4</c:v>
                </c:pt>
                <c:pt idx="194">
                  <c:v>0.3</c:v>
                </c:pt>
                <c:pt idx="195">
                  <c:v>0.2</c:v>
                </c:pt>
                <c:pt idx="196">
                  <c:v>0.1</c:v>
                </c:pt>
                <c:pt idx="1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FB8-40BA-8B44-661811836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90784"/>
        <c:axId val="1318262624"/>
      </c:scatterChart>
      <c:valAx>
        <c:axId val="107739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62624"/>
        <c:crosses val="autoZero"/>
        <c:crossBetween val="midCat"/>
      </c:valAx>
      <c:valAx>
        <c:axId val="1318262624"/>
        <c:scaling>
          <c:orientation val="minMax"/>
          <c:max val="15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0784"/>
        <c:crosses val="autoZero"/>
        <c:crossBetween val="midCat"/>
        <c:majorUnit val="50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449607394346923E-2"/>
          <c:y val="0.21826187717265358"/>
          <c:w val="0.89004413391302439"/>
          <c:h val="0.5307834782529357"/>
        </c:manualLayout>
      </c:layout>
      <c:lineChart>
        <c:grouping val="standard"/>
        <c:varyColors val="0"/>
        <c:ser>
          <c:idx val="0"/>
          <c:order val="0"/>
          <c:tx>
            <c:strRef>
              <c:f>'Infected FF'!$B$2</c:f>
              <c:strCache>
                <c:ptCount val="1"/>
                <c:pt idx="0">
                  <c:v>Run 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cat>
          <c:val>
            <c:numRef>
              <c:f>'Infected FF'!$B$3:$B$200</c:f>
              <c:numCache>
                <c:formatCode>General</c:formatCode>
                <c:ptCount val="198"/>
                <c:pt idx="0">
                  <c:v>2</c:v>
                </c:pt>
                <c:pt idx="1">
                  <c:v>5</c:v>
                </c:pt>
                <c:pt idx="2">
                  <c:v>14</c:v>
                </c:pt>
                <c:pt idx="3">
                  <c:v>22</c:v>
                </c:pt>
                <c:pt idx="4">
                  <c:v>35</c:v>
                </c:pt>
                <c:pt idx="5">
                  <c:v>50</c:v>
                </c:pt>
                <c:pt idx="6">
                  <c:v>68</c:v>
                </c:pt>
                <c:pt idx="7">
                  <c:v>81</c:v>
                </c:pt>
                <c:pt idx="8">
                  <c:v>85</c:v>
                </c:pt>
                <c:pt idx="9">
                  <c:v>82</c:v>
                </c:pt>
                <c:pt idx="10">
                  <c:v>74</c:v>
                </c:pt>
                <c:pt idx="11">
                  <c:v>63</c:v>
                </c:pt>
                <c:pt idx="12">
                  <c:v>49</c:v>
                </c:pt>
                <c:pt idx="13">
                  <c:v>40</c:v>
                </c:pt>
                <c:pt idx="14">
                  <c:v>35</c:v>
                </c:pt>
                <c:pt idx="15">
                  <c:v>39</c:v>
                </c:pt>
                <c:pt idx="16">
                  <c:v>44</c:v>
                </c:pt>
                <c:pt idx="17">
                  <c:v>52</c:v>
                </c:pt>
                <c:pt idx="18">
                  <c:v>53</c:v>
                </c:pt>
                <c:pt idx="19">
                  <c:v>61</c:v>
                </c:pt>
                <c:pt idx="20">
                  <c:v>68</c:v>
                </c:pt>
                <c:pt idx="21">
                  <c:v>67</c:v>
                </c:pt>
                <c:pt idx="22">
                  <c:v>63</c:v>
                </c:pt>
                <c:pt idx="23">
                  <c:v>52</c:v>
                </c:pt>
                <c:pt idx="24">
                  <c:v>45</c:v>
                </c:pt>
                <c:pt idx="25">
                  <c:v>32</c:v>
                </c:pt>
                <c:pt idx="26">
                  <c:v>17</c:v>
                </c:pt>
                <c:pt idx="27">
                  <c:v>10</c:v>
                </c:pt>
                <c:pt idx="28">
                  <c:v>9</c:v>
                </c:pt>
                <c:pt idx="29">
                  <c:v>14</c:v>
                </c:pt>
                <c:pt idx="30">
                  <c:v>21</c:v>
                </c:pt>
                <c:pt idx="31">
                  <c:v>22</c:v>
                </c:pt>
                <c:pt idx="32">
                  <c:v>24</c:v>
                </c:pt>
                <c:pt idx="33">
                  <c:v>27</c:v>
                </c:pt>
                <c:pt idx="34">
                  <c:v>24</c:v>
                </c:pt>
                <c:pt idx="35">
                  <c:v>20</c:v>
                </c:pt>
                <c:pt idx="36">
                  <c:v>17</c:v>
                </c:pt>
                <c:pt idx="37">
                  <c:v>15</c:v>
                </c:pt>
                <c:pt idx="38">
                  <c:v>16</c:v>
                </c:pt>
                <c:pt idx="39">
                  <c:v>15</c:v>
                </c:pt>
                <c:pt idx="40">
                  <c:v>17</c:v>
                </c:pt>
                <c:pt idx="41">
                  <c:v>17</c:v>
                </c:pt>
                <c:pt idx="42">
                  <c:v>14</c:v>
                </c:pt>
                <c:pt idx="43">
                  <c:v>13</c:v>
                </c:pt>
                <c:pt idx="44">
                  <c:v>10</c:v>
                </c:pt>
                <c:pt idx="45">
                  <c:v>7</c:v>
                </c:pt>
                <c:pt idx="46">
                  <c:v>4</c:v>
                </c:pt>
                <c:pt idx="47">
                  <c:v>4</c:v>
                </c:pt>
                <c:pt idx="48">
                  <c:v>9</c:v>
                </c:pt>
                <c:pt idx="49">
                  <c:v>15</c:v>
                </c:pt>
                <c:pt idx="50">
                  <c:v>20</c:v>
                </c:pt>
                <c:pt idx="51">
                  <c:v>26</c:v>
                </c:pt>
                <c:pt idx="52">
                  <c:v>30</c:v>
                </c:pt>
                <c:pt idx="53">
                  <c:v>35</c:v>
                </c:pt>
                <c:pt idx="54">
                  <c:v>30</c:v>
                </c:pt>
                <c:pt idx="55">
                  <c:v>28</c:v>
                </c:pt>
                <c:pt idx="56">
                  <c:v>23</c:v>
                </c:pt>
                <c:pt idx="57">
                  <c:v>19</c:v>
                </c:pt>
                <c:pt idx="58">
                  <c:v>16</c:v>
                </c:pt>
                <c:pt idx="59">
                  <c:v>10</c:v>
                </c:pt>
                <c:pt idx="60">
                  <c:v>15</c:v>
                </c:pt>
                <c:pt idx="61">
                  <c:v>13</c:v>
                </c:pt>
                <c:pt idx="62">
                  <c:v>15</c:v>
                </c:pt>
                <c:pt idx="63">
                  <c:v>15</c:v>
                </c:pt>
                <c:pt idx="64">
                  <c:v>16</c:v>
                </c:pt>
                <c:pt idx="65">
                  <c:v>20</c:v>
                </c:pt>
                <c:pt idx="66">
                  <c:v>18</c:v>
                </c:pt>
                <c:pt idx="67">
                  <c:v>17</c:v>
                </c:pt>
                <c:pt idx="68">
                  <c:v>17</c:v>
                </c:pt>
                <c:pt idx="69">
                  <c:v>16</c:v>
                </c:pt>
                <c:pt idx="70">
                  <c:v>13</c:v>
                </c:pt>
                <c:pt idx="71">
                  <c:v>8</c:v>
                </c:pt>
                <c:pt idx="72">
                  <c:v>4</c:v>
                </c:pt>
                <c:pt idx="73">
                  <c:v>3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C8-4CA1-9706-6F9759098FBC}"/>
            </c:ext>
          </c:extLst>
        </c:ser>
        <c:ser>
          <c:idx val="1"/>
          <c:order val="1"/>
          <c:tx>
            <c:strRef>
              <c:f>'Infected FF'!$C$2</c:f>
              <c:strCache>
                <c:ptCount val="1"/>
                <c:pt idx="0">
                  <c:v>Run 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cat>
          <c:val>
            <c:numRef>
              <c:f>'Infected FF'!$C$3:$C$200</c:f>
              <c:numCache>
                <c:formatCode>General</c:formatCode>
                <c:ptCount val="198"/>
                <c:pt idx="0">
                  <c:v>2</c:v>
                </c:pt>
                <c:pt idx="1">
                  <c:v>3</c:v>
                </c:pt>
                <c:pt idx="2">
                  <c:v>7</c:v>
                </c:pt>
                <c:pt idx="3">
                  <c:v>17</c:v>
                </c:pt>
                <c:pt idx="4">
                  <c:v>33</c:v>
                </c:pt>
                <c:pt idx="5">
                  <c:v>48</c:v>
                </c:pt>
                <c:pt idx="6">
                  <c:v>64</c:v>
                </c:pt>
                <c:pt idx="7">
                  <c:v>89</c:v>
                </c:pt>
                <c:pt idx="8">
                  <c:v>92</c:v>
                </c:pt>
                <c:pt idx="9">
                  <c:v>86</c:v>
                </c:pt>
                <c:pt idx="10">
                  <c:v>74</c:v>
                </c:pt>
                <c:pt idx="11">
                  <c:v>61</c:v>
                </c:pt>
                <c:pt idx="12">
                  <c:v>45</c:v>
                </c:pt>
                <c:pt idx="13">
                  <c:v>25</c:v>
                </c:pt>
                <c:pt idx="14">
                  <c:v>23</c:v>
                </c:pt>
                <c:pt idx="15">
                  <c:v>24</c:v>
                </c:pt>
                <c:pt idx="16">
                  <c:v>29</c:v>
                </c:pt>
                <c:pt idx="17">
                  <c:v>36</c:v>
                </c:pt>
                <c:pt idx="18">
                  <c:v>42</c:v>
                </c:pt>
                <c:pt idx="19">
                  <c:v>41</c:v>
                </c:pt>
                <c:pt idx="20">
                  <c:v>42</c:v>
                </c:pt>
                <c:pt idx="21">
                  <c:v>41</c:v>
                </c:pt>
                <c:pt idx="22">
                  <c:v>35</c:v>
                </c:pt>
                <c:pt idx="23">
                  <c:v>28</c:v>
                </c:pt>
                <c:pt idx="24">
                  <c:v>24</c:v>
                </c:pt>
                <c:pt idx="25">
                  <c:v>25</c:v>
                </c:pt>
                <c:pt idx="26">
                  <c:v>27</c:v>
                </c:pt>
                <c:pt idx="27">
                  <c:v>34</c:v>
                </c:pt>
                <c:pt idx="28">
                  <c:v>44</c:v>
                </c:pt>
                <c:pt idx="29">
                  <c:v>54</c:v>
                </c:pt>
                <c:pt idx="30">
                  <c:v>56</c:v>
                </c:pt>
                <c:pt idx="31">
                  <c:v>54</c:v>
                </c:pt>
                <c:pt idx="32">
                  <c:v>48</c:v>
                </c:pt>
                <c:pt idx="33">
                  <c:v>41</c:v>
                </c:pt>
                <c:pt idx="34">
                  <c:v>30</c:v>
                </c:pt>
                <c:pt idx="35">
                  <c:v>24</c:v>
                </c:pt>
                <c:pt idx="36">
                  <c:v>22</c:v>
                </c:pt>
                <c:pt idx="37">
                  <c:v>20</c:v>
                </c:pt>
                <c:pt idx="38">
                  <c:v>24</c:v>
                </c:pt>
                <c:pt idx="39">
                  <c:v>28</c:v>
                </c:pt>
                <c:pt idx="40">
                  <c:v>34</c:v>
                </c:pt>
                <c:pt idx="41">
                  <c:v>37</c:v>
                </c:pt>
                <c:pt idx="42">
                  <c:v>44</c:v>
                </c:pt>
                <c:pt idx="43">
                  <c:v>50</c:v>
                </c:pt>
                <c:pt idx="44">
                  <c:v>52</c:v>
                </c:pt>
                <c:pt idx="45">
                  <c:v>50</c:v>
                </c:pt>
                <c:pt idx="46">
                  <c:v>51</c:v>
                </c:pt>
                <c:pt idx="47">
                  <c:v>47</c:v>
                </c:pt>
                <c:pt idx="48">
                  <c:v>44</c:v>
                </c:pt>
                <c:pt idx="49">
                  <c:v>43</c:v>
                </c:pt>
                <c:pt idx="50">
                  <c:v>36</c:v>
                </c:pt>
                <c:pt idx="51">
                  <c:v>32</c:v>
                </c:pt>
                <c:pt idx="52">
                  <c:v>24</c:v>
                </c:pt>
                <c:pt idx="53">
                  <c:v>21</c:v>
                </c:pt>
                <c:pt idx="54">
                  <c:v>20</c:v>
                </c:pt>
                <c:pt idx="55">
                  <c:v>17</c:v>
                </c:pt>
                <c:pt idx="56">
                  <c:v>21</c:v>
                </c:pt>
                <c:pt idx="57">
                  <c:v>24</c:v>
                </c:pt>
                <c:pt idx="58">
                  <c:v>27</c:v>
                </c:pt>
                <c:pt idx="59">
                  <c:v>26</c:v>
                </c:pt>
                <c:pt idx="60">
                  <c:v>19</c:v>
                </c:pt>
                <c:pt idx="61">
                  <c:v>15</c:v>
                </c:pt>
                <c:pt idx="62">
                  <c:v>10</c:v>
                </c:pt>
                <c:pt idx="63">
                  <c:v>5</c:v>
                </c:pt>
                <c:pt idx="64">
                  <c:v>2</c:v>
                </c:pt>
                <c:pt idx="65">
                  <c:v>4</c:v>
                </c:pt>
                <c:pt idx="66">
                  <c:v>7</c:v>
                </c:pt>
                <c:pt idx="67">
                  <c:v>8</c:v>
                </c:pt>
                <c:pt idx="68">
                  <c:v>9</c:v>
                </c:pt>
                <c:pt idx="69">
                  <c:v>10</c:v>
                </c:pt>
                <c:pt idx="70">
                  <c:v>9</c:v>
                </c:pt>
                <c:pt idx="71">
                  <c:v>6</c:v>
                </c:pt>
                <c:pt idx="72">
                  <c:v>3</c:v>
                </c:pt>
                <c:pt idx="73">
                  <c:v>2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C8-4CA1-9706-6F9759098FBC}"/>
            </c:ext>
          </c:extLst>
        </c:ser>
        <c:ser>
          <c:idx val="2"/>
          <c:order val="2"/>
          <c:tx>
            <c:strRef>
              <c:f>'Infected FF'!$D$2</c:f>
              <c:strCache>
                <c:ptCount val="1"/>
                <c:pt idx="0">
                  <c:v>Run 3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cat>
          <c:val>
            <c:numRef>
              <c:f>'Infected FF'!$D$3:$D$200</c:f>
              <c:numCache>
                <c:formatCode>General</c:formatCode>
                <c:ptCount val="198"/>
                <c:pt idx="0">
                  <c:v>2</c:v>
                </c:pt>
                <c:pt idx="1">
                  <c:v>6</c:v>
                </c:pt>
                <c:pt idx="2">
                  <c:v>11</c:v>
                </c:pt>
                <c:pt idx="3">
                  <c:v>20</c:v>
                </c:pt>
                <c:pt idx="4">
                  <c:v>27</c:v>
                </c:pt>
                <c:pt idx="5">
                  <c:v>34</c:v>
                </c:pt>
                <c:pt idx="6">
                  <c:v>38</c:v>
                </c:pt>
                <c:pt idx="7">
                  <c:v>46</c:v>
                </c:pt>
                <c:pt idx="8">
                  <c:v>52</c:v>
                </c:pt>
                <c:pt idx="9">
                  <c:v>61</c:v>
                </c:pt>
                <c:pt idx="10">
                  <c:v>71</c:v>
                </c:pt>
                <c:pt idx="11">
                  <c:v>70</c:v>
                </c:pt>
                <c:pt idx="12">
                  <c:v>74</c:v>
                </c:pt>
                <c:pt idx="13">
                  <c:v>70</c:v>
                </c:pt>
                <c:pt idx="14">
                  <c:v>62</c:v>
                </c:pt>
                <c:pt idx="15">
                  <c:v>51</c:v>
                </c:pt>
                <c:pt idx="16">
                  <c:v>46</c:v>
                </c:pt>
                <c:pt idx="17">
                  <c:v>46</c:v>
                </c:pt>
                <c:pt idx="18">
                  <c:v>44</c:v>
                </c:pt>
                <c:pt idx="19">
                  <c:v>42</c:v>
                </c:pt>
                <c:pt idx="20">
                  <c:v>44</c:v>
                </c:pt>
                <c:pt idx="21">
                  <c:v>41</c:v>
                </c:pt>
                <c:pt idx="22">
                  <c:v>33</c:v>
                </c:pt>
                <c:pt idx="23">
                  <c:v>31</c:v>
                </c:pt>
                <c:pt idx="24">
                  <c:v>26</c:v>
                </c:pt>
                <c:pt idx="25">
                  <c:v>25</c:v>
                </c:pt>
                <c:pt idx="26">
                  <c:v>24</c:v>
                </c:pt>
                <c:pt idx="27">
                  <c:v>27</c:v>
                </c:pt>
                <c:pt idx="28">
                  <c:v>28</c:v>
                </c:pt>
                <c:pt idx="29">
                  <c:v>27</c:v>
                </c:pt>
                <c:pt idx="30">
                  <c:v>26</c:v>
                </c:pt>
                <c:pt idx="31">
                  <c:v>23</c:v>
                </c:pt>
                <c:pt idx="32">
                  <c:v>19</c:v>
                </c:pt>
                <c:pt idx="33">
                  <c:v>14</c:v>
                </c:pt>
                <c:pt idx="34">
                  <c:v>9</c:v>
                </c:pt>
                <c:pt idx="35">
                  <c:v>8</c:v>
                </c:pt>
                <c:pt idx="36">
                  <c:v>9</c:v>
                </c:pt>
                <c:pt idx="37">
                  <c:v>8</c:v>
                </c:pt>
                <c:pt idx="38">
                  <c:v>12</c:v>
                </c:pt>
                <c:pt idx="39">
                  <c:v>12</c:v>
                </c:pt>
                <c:pt idx="40">
                  <c:v>16</c:v>
                </c:pt>
                <c:pt idx="41">
                  <c:v>16</c:v>
                </c:pt>
                <c:pt idx="42">
                  <c:v>15</c:v>
                </c:pt>
                <c:pt idx="43">
                  <c:v>14</c:v>
                </c:pt>
                <c:pt idx="44">
                  <c:v>11</c:v>
                </c:pt>
                <c:pt idx="45">
                  <c:v>9</c:v>
                </c:pt>
                <c:pt idx="46">
                  <c:v>5</c:v>
                </c:pt>
                <c:pt idx="47">
                  <c:v>4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C8-4CA1-9706-6F9759098FBC}"/>
            </c:ext>
          </c:extLst>
        </c:ser>
        <c:ser>
          <c:idx val="3"/>
          <c:order val="3"/>
          <c:tx>
            <c:strRef>
              <c:f>'Infected FF'!$E$2</c:f>
              <c:strCache>
                <c:ptCount val="1"/>
                <c:pt idx="0">
                  <c:v>Run 4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cat>
          <c:val>
            <c:numRef>
              <c:f>'Infected FF'!$E$3:$E$200</c:f>
              <c:numCache>
                <c:formatCode>General</c:formatCode>
                <c:ptCount val="198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13</c:v>
                </c:pt>
                <c:pt idx="4">
                  <c:v>20</c:v>
                </c:pt>
                <c:pt idx="5">
                  <c:v>39</c:v>
                </c:pt>
                <c:pt idx="6">
                  <c:v>52</c:v>
                </c:pt>
                <c:pt idx="7">
                  <c:v>67</c:v>
                </c:pt>
                <c:pt idx="8">
                  <c:v>84</c:v>
                </c:pt>
                <c:pt idx="9">
                  <c:v>90</c:v>
                </c:pt>
                <c:pt idx="10">
                  <c:v>89</c:v>
                </c:pt>
                <c:pt idx="11">
                  <c:v>73</c:v>
                </c:pt>
                <c:pt idx="12">
                  <c:v>60</c:v>
                </c:pt>
                <c:pt idx="13">
                  <c:v>49</c:v>
                </c:pt>
                <c:pt idx="14">
                  <c:v>31</c:v>
                </c:pt>
                <c:pt idx="15">
                  <c:v>20</c:v>
                </c:pt>
                <c:pt idx="16">
                  <c:v>20</c:v>
                </c:pt>
                <c:pt idx="17">
                  <c:v>24</c:v>
                </c:pt>
                <c:pt idx="18">
                  <c:v>31</c:v>
                </c:pt>
                <c:pt idx="19">
                  <c:v>36</c:v>
                </c:pt>
                <c:pt idx="20">
                  <c:v>43</c:v>
                </c:pt>
                <c:pt idx="21">
                  <c:v>46</c:v>
                </c:pt>
                <c:pt idx="22">
                  <c:v>50</c:v>
                </c:pt>
                <c:pt idx="23">
                  <c:v>50</c:v>
                </c:pt>
                <c:pt idx="24">
                  <c:v>52</c:v>
                </c:pt>
                <c:pt idx="25">
                  <c:v>50</c:v>
                </c:pt>
                <c:pt idx="26">
                  <c:v>53</c:v>
                </c:pt>
                <c:pt idx="27">
                  <c:v>59</c:v>
                </c:pt>
                <c:pt idx="28">
                  <c:v>58</c:v>
                </c:pt>
                <c:pt idx="29">
                  <c:v>68</c:v>
                </c:pt>
                <c:pt idx="30">
                  <c:v>67</c:v>
                </c:pt>
                <c:pt idx="31">
                  <c:v>68</c:v>
                </c:pt>
                <c:pt idx="32">
                  <c:v>63</c:v>
                </c:pt>
                <c:pt idx="33">
                  <c:v>56</c:v>
                </c:pt>
                <c:pt idx="34">
                  <c:v>56</c:v>
                </c:pt>
                <c:pt idx="35">
                  <c:v>44</c:v>
                </c:pt>
                <c:pt idx="36">
                  <c:v>38</c:v>
                </c:pt>
                <c:pt idx="37">
                  <c:v>30</c:v>
                </c:pt>
                <c:pt idx="38">
                  <c:v>24</c:v>
                </c:pt>
                <c:pt idx="39">
                  <c:v>19</c:v>
                </c:pt>
                <c:pt idx="40">
                  <c:v>12</c:v>
                </c:pt>
                <c:pt idx="41">
                  <c:v>11</c:v>
                </c:pt>
                <c:pt idx="42">
                  <c:v>10</c:v>
                </c:pt>
                <c:pt idx="43">
                  <c:v>15</c:v>
                </c:pt>
                <c:pt idx="44">
                  <c:v>16</c:v>
                </c:pt>
                <c:pt idx="45">
                  <c:v>22</c:v>
                </c:pt>
                <c:pt idx="46">
                  <c:v>22</c:v>
                </c:pt>
                <c:pt idx="47">
                  <c:v>19</c:v>
                </c:pt>
                <c:pt idx="48">
                  <c:v>16</c:v>
                </c:pt>
                <c:pt idx="49">
                  <c:v>12</c:v>
                </c:pt>
                <c:pt idx="50">
                  <c:v>11</c:v>
                </c:pt>
                <c:pt idx="51">
                  <c:v>5</c:v>
                </c:pt>
                <c:pt idx="52">
                  <c:v>5</c:v>
                </c:pt>
                <c:pt idx="53">
                  <c:v>6</c:v>
                </c:pt>
                <c:pt idx="54">
                  <c:v>8</c:v>
                </c:pt>
                <c:pt idx="55">
                  <c:v>12</c:v>
                </c:pt>
                <c:pt idx="56">
                  <c:v>15</c:v>
                </c:pt>
                <c:pt idx="57">
                  <c:v>20</c:v>
                </c:pt>
                <c:pt idx="58">
                  <c:v>26</c:v>
                </c:pt>
                <c:pt idx="59">
                  <c:v>29</c:v>
                </c:pt>
                <c:pt idx="60">
                  <c:v>32</c:v>
                </c:pt>
                <c:pt idx="61">
                  <c:v>28</c:v>
                </c:pt>
                <c:pt idx="62">
                  <c:v>26</c:v>
                </c:pt>
                <c:pt idx="63">
                  <c:v>21</c:v>
                </c:pt>
                <c:pt idx="64">
                  <c:v>14</c:v>
                </c:pt>
                <c:pt idx="65">
                  <c:v>10</c:v>
                </c:pt>
                <c:pt idx="66">
                  <c:v>5</c:v>
                </c:pt>
                <c:pt idx="67">
                  <c:v>5</c:v>
                </c:pt>
                <c:pt idx="68">
                  <c:v>4</c:v>
                </c:pt>
                <c:pt idx="69">
                  <c:v>5</c:v>
                </c:pt>
                <c:pt idx="70">
                  <c:v>5</c:v>
                </c:pt>
                <c:pt idx="71">
                  <c:v>4</c:v>
                </c:pt>
                <c:pt idx="72">
                  <c:v>4</c:v>
                </c:pt>
                <c:pt idx="73">
                  <c:v>3</c:v>
                </c:pt>
                <c:pt idx="74">
                  <c:v>2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C8-4CA1-9706-6F9759098FBC}"/>
            </c:ext>
          </c:extLst>
        </c:ser>
        <c:ser>
          <c:idx val="4"/>
          <c:order val="4"/>
          <c:tx>
            <c:strRef>
              <c:f>'Infected FF'!$F$2</c:f>
              <c:strCache>
                <c:ptCount val="1"/>
                <c:pt idx="0">
                  <c:v>Run 5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cat>
          <c:val>
            <c:numRef>
              <c:f>'Infected FF'!$F$3:$F$200</c:f>
              <c:numCache>
                <c:formatCode>General</c:formatCode>
                <c:ptCount val="198"/>
                <c:pt idx="0">
                  <c:v>2</c:v>
                </c:pt>
                <c:pt idx="1">
                  <c:v>4</c:v>
                </c:pt>
                <c:pt idx="2">
                  <c:v>9</c:v>
                </c:pt>
                <c:pt idx="3">
                  <c:v>15</c:v>
                </c:pt>
                <c:pt idx="4">
                  <c:v>23</c:v>
                </c:pt>
                <c:pt idx="5">
                  <c:v>33</c:v>
                </c:pt>
                <c:pt idx="6">
                  <c:v>41</c:v>
                </c:pt>
                <c:pt idx="7">
                  <c:v>48</c:v>
                </c:pt>
                <c:pt idx="8">
                  <c:v>58</c:v>
                </c:pt>
                <c:pt idx="9">
                  <c:v>69</c:v>
                </c:pt>
                <c:pt idx="10">
                  <c:v>95</c:v>
                </c:pt>
                <c:pt idx="11">
                  <c:v>112</c:v>
                </c:pt>
                <c:pt idx="12">
                  <c:v>109</c:v>
                </c:pt>
                <c:pt idx="13">
                  <c:v>108</c:v>
                </c:pt>
                <c:pt idx="14">
                  <c:v>94</c:v>
                </c:pt>
                <c:pt idx="15">
                  <c:v>81</c:v>
                </c:pt>
                <c:pt idx="16">
                  <c:v>49</c:v>
                </c:pt>
                <c:pt idx="17">
                  <c:v>24</c:v>
                </c:pt>
                <c:pt idx="18">
                  <c:v>22</c:v>
                </c:pt>
                <c:pt idx="19">
                  <c:v>23</c:v>
                </c:pt>
                <c:pt idx="20">
                  <c:v>33</c:v>
                </c:pt>
                <c:pt idx="21">
                  <c:v>39</c:v>
                </c:pt>
                <c:pt idx="22">
                  <c:v>42</c:v>
                </c:pt>
                <c:pt idx="23">
                  <c:v>49</c:v>
                </c:pt>
                <c:pt idx="24">
                  <c:v>48</c:v>
                </c:pt>
                <c:pt idx="25">
                  <c:v>52</c:v>
                </c:pt>
                <c:pt idx="26">
                  <c:v>45</c:v>
                </c:pt>
                <c:pt idx="27">
                  <c:v>43</c:v>
                </c:pt>
                <c:pt idx="28">
                  <c:v>41</c:v>
                </c:pt>
                <c:pt idx="29">
                  <c:v>32</c:v>
                </c:pt>
                <c:pt idx="30">
                  <c:v>32</c:v>
                </c:pt>
                <c:pt idx="31">
                  <c:v>20</c:v>
                </c:pt>
                <c:pt idx="32">
                  <c:v>17</c:v>
                </c:pt>
                <c:pt idx="33">
                  <c:v>19</c:v>
                </c:pt>
                <c:pt idx="34">
                  <c:v>20</c:v>
                </c:pt>
                <c:pt idx="35">
                  <c:v>28</c:v>
                </c:pt>
                <c:pt idx="36">
                  <c:v>31</c:v>
                </c:pt>
                <c:pt idx="37">
                  <c:v>39</c:v>
                </c:pt>
                <c:pt idx="38">
                  <c:v>51</c:v>
                </c:pt>
                <c:pt idx="39">
                  <c:v>45</c:v>
                </c:pt>
                <c:pt idx="40">
                  <c:v>53</c:v>
                </c:pt>
                <c:pt idx="41">
                  <c:v>52</c:v>
                </c:pt>
                <c:pt idx="42">
                  <c:v>49</c:v>
                </c:pt>
                <c:pt idx="43">
                  <c:v>44</c:v>
                </c:pt>
                <c:pt idx="44">
                  <c:v>33</c:v>
                </c:pt>
                <c:pt idx="45">
                  <c:v>30</c:v>
                </c:pt>
                <c:pt idx="46">
                  <c:v>21</c:v>
                </c:pt>
                <c:pt idx="47">
                  <c:v>14</c:v>
                </c:pt>
                <c:pt idx="48">
                  <c:v>10</c:v>
                </c:pt>
                <c:pt idx="49">
                  <c:v>6</c:v>
                </c:pt>
                <c:pt idx="50">
                  <c:v>4</c:v>
                </c:pt>
                <c:pt idx="51">
                  <c:v>3</c:v>
                </c:pt>
                <c:pt idx="52">
                  <c:v>4</c:v>
                </c:pt>
                <c:pt idx="53">
                  <c:v>6</c:v>
                </c:pt>
                <c:pt idx="54">
                  <c:v>10</c:v>
                </c:pt>
                <c:pt idx="55">
                  <c:v>15</c:v>
                </c:pt>
                <c:pt idx="56">
                  <c:v>21</c:v>
                </c:pt>
                <c:pt idx="57">
                  <c:v>24</c:v>
                </c:pt>
                <c:pt idx="58">
                  <c:v>24</c:v>
                </c:pt>
                <c:pt idx="59">
                  <c:v>22</c:v>
                </c:pt>
                <c:pt idx="60">
                  <c:v>20</c:v>
                </c:pt>
                <c:pt idx="61">
                  <c:v>15</c:v>
                </c:pt>
                <c:pt idx="62">
                  <c:v>9</c:v>
                </c:pt>
                <c:pt idx="63">
                  <c:v>11</c:v>
                </c:pt>
                <c:pt idx="64">
                  <c:v>9</c:v>
                </c:pt>
                <c:pt idx="65">
                  <c:v>11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14</c:v>
                </c:pt>
                <c:pt idx="70">
                  <c:v>12</c:v>
                </c:pt>
                <c:pt idx="71">
                  <c:v>12</c:v>
                </c:pt>
                <c:pt idx="72">
                  <c:v>5</c:v>
                </c:pt>
                <c:pt idx="73">
                  <c:v>6</c:v>
                </c:pt>
                <c:pt idx="74">
                  <c:v>9</c:v>
                </c:pt>
                <c:pt idx="75">
                  <c:v>10</c:v>
                </c:pt>
                <c:pt idx="76">
                  <c:v>14</c:v>
                </c:pt>
                <c:pt idx="77">
                  <c:v>15</c:v>
                </c:pt>
                <c:pt idx="78">
                  <c:v>16</c:v>
                </c:pt>
                <c:pt idx="79">
                  <c:v>16</c:v>
                </c:pt>
                <c:pt idx="80">
                  <c:v>12</c:v>
                </c:pt>
                <c:pt idx="81">
                  <c:v>10</c:v>
                </c:pt>
                <c:pt idx="82">
                  <c:v>6</c:v>
                </c:pt>
                <c:pt idx="83">
                  <c:v>3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C8-4CA1-9706-6F9759098FBC}"/>
            </c:ext>
          </c:extLst>
        </c:ser>
        <c:ser>
          <c:idx val="5"/>
          <c:order val="5"/>
          <c:tx>
            <c:strRef>
              <c:f>'Infected FF'!$G$2</c:f>
              <c:strCache>
                <c:ptCount val="1"/>
                <c:pt idx="0">
                  <c:v>Run 6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cat>
          <c:val>
            <c:numRef>
              <c:f>'Infected FF'!$G$3:$G$200</c:f>
              <c:numCache>
                <c:formatCode>General</c:formatCode>
                <c:ptCount val="198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17</c:v>
                </c:pt>
                <c:pt idx="6">
                  <c:v>19</c:v>
                </c:pt>
                <c:pt idx="7">
                  <c:v>29</c:v>
                </c:pt>
                <c:pt idx="8">
                  <c:v>39</c:v>
                </c:pt>
                <c:pt idx="9">
                  <c:v>51</c:v>
                </c:pt>
                <c:pt idx="10">
                  <c:v>68</c:v>
                </c:pt>
                <c:pt idx="11">
                  <c:v>89</c:v>
                </c:pt>
                <c:pt idx="12">
                  <c:v>103</c:v>
                </c:pt>
                <c:pt idx="13">
                  <c:v>102</c:v>
                </c:pt>
                <c:pt idx="14">
                  <c:v>99</c:v>
                </c:pt>
                <c:pt idx="15">
                  <c:v>88</c:v>
                </c:pt>
                <c:pt idx="16">
                  <c:v>71</c:v>
                </c:pt>
                <c:pt idx="17">
                  <c:v>44</c:v>
                </c:pt>
                <c:pt idx="18">
                  <c:v>30</c:v>
                </c:pt>
                <c:pt idx="19">
                  <c:v>22</c:v>
                </c:pt>
                <c:pt idx="20">
                  <c:v>18</c:v>
                </c:pt>
                <c:pt idx="21">
                  <c:v>20</c:v>
                </c:pt>
                <c:pt idx="22">
                  <c:v>22</c:v>
                </c:pt>
                <c:pt idx="23">
                  <c:v>25</c:v>
                </c:pt>
                <c:pt idx="24">
                  <c:v>23</c:v>
                </c:pt>
                <c:pt idx="25">
                  <c:v>26</c:v>
                </c:pt>
                <c:pt idx="26">
                  <c:v>22</c:v>
                </c:pt>
                <c:pt idx="27">
                  <c:v>19</c:v>
                </c:pt>
                <c:pt idx="28">
                  <c:v>15</c:v>
                </c:pt>
                <c:pt idx="29">
                  <c:v>11</c:v>
                </c:pt>
                <c:pt idx="30">
                  <c:v>11</c:v>
                </c:pt>
                <c:pt idx="31">
                  <c:v>8</c:v>
                </c:pt>
                <c:pt idx="32">
                  <c:v>11</c:v>
                </c:pt>
                <c:pt idx="33">
                  <c:v>11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13</c:v>
                </c:pt>
                <c:pt idx="38">
                  <c:v>12</c:v>
                </c:pt>
                <c:pt idx="39">
                  <c:v>14</c:v>
                </c:pt>
                <c:pt idx="40">
                  <c:v>14</c:v>
                </c:pt>
                <c:pt idx="41">
                  <c:v>16</c:v>
                </c:pt>
                <c:pt idx="42">
                  <c:v>16</c:v>
                </c:pt>
                <c:pt idx="43">
                  <c:v>18</c:v>
                </c:pt>
                <c:pt idx="44">
                  <c:v>17</c:v>
                </c:pt>
                <c:pt idx="45">
                  <c:v>15</c:v>
                </c:pt>
                <c:pt idx="46">
                  <c:v>14</c:v>
                </c:pt>
                <c:pt idx="47">
                  <c:v>12</c:v>
                </c:pt>
                <c:pt idx="48">
                  <c:v>12</c:v>
                </c:pt>
                <c:pt idx="49">
                  <c:v>13</c:v>
                </c:pt>
                <c:pt idx="50">
                  <c:v>13</c:v>
                </c:pt>
                <c:pt idx="51">
                  <c:v>16</c:v>
                </c:pt>
                <c:pt idx="52">
                  <c:v>20</c:v>
                </c:pt>
                <c:pt idx="53">
                  <c:v>23</c:v>
                </c:pt>
                <c:pt idx="54">
                  <c:v>25</c:v>
                </c:pt>
                <c:pt idx="55">
                  <c:v>22</c:v>
                </c:pt>
                <c:pt idx="56">
                  <c:v>24</c:v>
                </c:pt>
                <c:pt idx="57">
                  <c:v>22</c:v>
                </c:pt>
                <c:pt idx="58">
                  <c:v>18</c:v>
                </c:pt>
                <c:pt idx="59">
                  <c:v>16</c:v>
                </c:pt>
                <c:pt idx="60">
                  <c:v>14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17</c:v>
                </c:pt>
                <c:pt idx="65">
                  <c:v>20</c:v>
                </c:pt>
                <c:pt idx="66">
                  <c:v>22</c:v>
                </c:pt>
                <c:pt idx="67">
                  <c:v>23</c:v>
                </c:pt>
                <c:pt idx="68">
                  <c:v>24</c:v>
                </c:pt>
                <c:pt idx="69">
                  <c:v>23</c:v>
                </c:pt>
                <c:pt idx="70">
                  <c:v>21</c:v>
                </c:pt>
                <c:pt idx="71">
                  <c:v>17</c:v>
                </c:pt>
                <c:pt idx="72">
                  <c:v>14</c:v>
                </c:pt>
                <c:pt idx="73">
                  <c:v>13</c:v>
                </c:pt>
                <c:pt idx="74">
                  <c:v>10</c:v>
                </c:pt>
                <c:pt idx="75">
                  <c:v>10</c:v>
                </c:pt>
                <c:pt idx="76">
                  <c:v>11</c:v>
                </c:pt>
                <c:pt idx="77">
                  <c:v>13</c:v>
                </c:pt>
                <c:pt idx="78">
                  <c:v>15</c:v>
                </c:pt>
                <c:pt idx="79">
                  <c:v>12</c:v>
                </c:pt>
                <c:pt idx="80">
                  <c:v>12</c:v>
                </c:pt>
                <c:pt idx="81">
                  <c:v>10</c:v>
                </c:pt>
                <c:pt idx="82">
                  <c:v>9</c:v>
                </c:pt>
                <c:pt idx="83">
                  <c:v>6</c:v>
                </c:pt>
                <c:pt idx="84">
                  <c:v>4</c:v>
                </c:pt>
                <c:pt idx="85">
                  <c:v>4</c:v>
                </c:pt>
                <c:pt idx="86">
                  <c:v>5</c:v>
                </c:pt>
                <c:pt idx="87">
                  <c:v>7</c:v>
                </c:pt>
                <c:pt idx="88">
                  <c:v>10</c:v>
                </c:pt>
                <c:pt idx="89">
                  <c:v>12</c:v>
                </c:pt>
                <c:pt idx="90">
                  <c:v>11</c:v>
                </c:pt>
                <c:pt idx="91">
                  <c:v>10</c:v>
                </c:pt>
                <c:pt idx="92">
                  <c:v>7</c:v>
                </c:pt>
                <c:pt idx="93">
                  <c:v>5</c:v>
                </c:pt>
                <c:pt idx="94">
                  <c:v>3</c:v>
                </c:pt>
                <c:pt idx="95">
                  <c:v>4</c:v>
                </c:pt>
                <c:pt idx="96">
                  <c:v>6</c:v>
                </c:pt>
                <c:pt idx="97">
                  <c:v>9</c:v>
                </c:pt>
                <c:pt idx="98">
                  <c:v>9</c:v>
                </c:pt>
                <c:pt idx="99">
                  <c:v>9</c:v>
                </c:pt>
                <c:pt idx="100">
                  <c:v>8</c:v>
                </c:pt>
                <c:pt idx="101">
                  <c:v>5</c:v>
                </c:pt>
                <c:pt idx="102">
                  <c:v>5</c:v>
                </c:pt>
                <c:pt idx="103">
                  <c:v>3</c:v>
                </c:pt>
                <c:pt idx="104">
                  <c:v>4</c:v>
                </c:pt>
                <c:pt idx="105">
                  <c:v>5</c:v>
                </c:pt>
                <c:pt idx="106">
                  <c:v>6</c:v>
                </c:pt>
                <c:pt idx="107">
                  <c:v>7</c:v>
                </c:pt>
                <c:pt idx="108">
                  <c:v>6</c:v>
                </c:pt>
                <c:pt idx="109">
                  <c:v>9</c:v>
                </c:pt>
                <c:pt idx="110">
                  <c:v>11</c:v>
                </c:pt>
                <c:pt idx="111">
                  <c:v>12</c:v>
                </c:pt>
                <c:pt idx="112">
                  <c:v>15</c:v>
                </c:pt>
                <c:pt idx="113">
                  <c:v>19</c:v>
                </c:pt>
                <c:pt idx="114">
                  <c:v>20</c:v>
                </c:pt>
                <c:pt idx="115">
                  <c:v>20</c:v>
                </c:pt>
                <c:pt idx="116">
                  <c:v>19</c:v>
                </c:pt>
                <c:pt idx="117">
                  <c:v>18</c:v>
                </c:pt>
                <c:pt idx="118">
                  <c:v>14</c:v>
                </c:pt>
                <c:pt idx="119">
                  <c:v>9</c:v>
                </c:pt>
                <c:pt idx="120">
                  <c:v>7</c:v>
                </c:pt>
                <c:pt idx="121">
                  <c:v>3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C8-4CA1-9706-6F9759098FBC}"/>
            </c:ext>
          </c:extLst>
        </c:ser>
        <c:ser>
          <c:idx val="6"/>
          <c:order val="6"/>
          <c:tx>
            <c:strRef>
              <c:f>'Infected FF'!$H$2</c:f>
              <c:strCache>
                <c:ptCount val="1"/>
                <c:pt idx="0">
                  <c:v>Run 7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cat>
          <c:val>
            <c:numRef>
              <c:f>'Infected FF'!$H$3:$H$200</c:f>
              <c:numCache>
                <c:formatCode>General</c:formatCode>
                <c:ptCount val="198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14</c:v>
                </c:pt>
                <c:pt idx="5">
                  <c:v>16</c:v>
                </c:pt>
                <c:pt idx="6">
                  <c:v>19</c:v>
                </c:pt>
                <c:pt idx="7">
                  <c:v>20</c:v>
                </c:pt>
                <c:pt idx="8">
                  <c:v>25</c:v>
                </c:pt>
                <c:pt idx="9">
                  <c:v>26</c:v>
                </c:pt>
                <c:pt idx="10">
                  <c:v>29</c:v>
                </c:pt>
                <c:pt idx="11">
                  <c:v>31</c:v>
                </c:pt>
                <c:pt idx="12">
                  <c:v>33</c:v>
                </c:pt>
                <c:pt idx="13">
                  <c:v>34</c:v>
                </c:pt>
                <c:pt idx="14">
                  <c:v>33</c:v>
                </c:pt>
                <c:pt idx="15">
                  <c:v>32</c:v>
                </c:pt>
                <c:pt idx="16">
                  <c:v>28</c:v>
                </c:pt>
                <c:pt idx="17">
                  <c:v>28</c:v>
                </c:pt>
                <c:pt idx="18">
                  <c:v>27</c:v>
                </c:pt>
                <c:pt idx="19">
                  <c:v>29</c:v>
                </c:pt>
                <c:pt idx="20">
                  <c:v>31</c:v>
                </c:pt>
                <c:pt idx="21">
                  <c:v>36</c:v>
                </c:pt>
                <c:pt idx="22">
                  <c:v>43</c:v>
                </c:pt>
                <c:pt idx="23">
                  <c:v>46</c:v>
                </c:pt>
                <c:pt idx="24">
                  <c:v>47</c:v>
                </c:pt>
                <c:pt idx="25">
                  <c:v>54</c:v>
                </c:pt>
                <c:pt idx="26">
                  <c:v>64</c:v>
                </c:pt>
                <c:pt idx="27">
                  <c:v>70</c:v>
                </c:pt>
                <c:pt idx="28">
                  <c:v>79</c:v>
                </c:pt>
                <c:pt idx="29">
                  <c:v>85</c:v>
                </c:pt>
                <c:pt idx="30">
                  <c:v>88</c:v>
                </c:pt>
                <c:pt idx="31">
                  <c:v>82</c:v>
                </c:pt>
                <c:pt idx="32">
                  <c:v>71</c:v>
                </c:pt>
                <c:pt idx="33">
                  <c:v>60</c:v>
                </c:pt>
                <c:pt idx="34">
                  <c:v>48</c:v>
                </c:pt>
                <c:pt idx="35">
                  <c:v>42</c:v>
                </c:pt>
                <c:pt idx="36">
                  <c:v>41</c:v>
                </c:pt>
                <c:pt idx="37">
                  <c:v>38</c:v>
                </c:pt>
                <c:pt idx="38">
                  <c:v>39</c:v>
                </c:pt>
                <c:pt idx="39">
                  <c:v>37</c:v>
                </c:pt>
                <c:pt idx="40">
                  <c:v>35</c:v>
                </c:pt>
                <c:pt idx="41">
                  <c:v>33</c:v>
                </c:pt>
                <c:pt idx="42">
                  <c:v>27</c:v>
                </c:pt>
                <c:pt idx="43">
                  <c:v>27</c:v>
                </c:pt>
                <c:pt idx="44">
                  <c:v>21</c:v>
                </c:pt>
                <c:pt idx="45">
                  <c:v>19</c:v>
                </c:pt>
                <c:pt idx="46">
                  <c:v>16</c:v>
                </c:pt>
                <c:pt idx="47">
                  <c:v>14</c:v>
                </c:pt>
                <c:pt idx="48">
                  <c:v>12</c:v>
                </c:pt>
                <c:pt idx="49">
                  <c:v>12</c:v>
                </c:pt>
                <c:pt idx="50">
                  <c:v>10</c:v>
                </c:pt>
                <c:pt idx="51">
                  <c:v>9</c:v>
                </c:pt>
                <c:pt idx="52">
                  <c:v>8</c:v>
                </c:pt>
                <c:pt idx="53">
                  <c:v>5</c:v>
                </c:pt>
                <c:pt idx="54">
                  <c:v>4</c:v>
                </c:pt>
                <c:pt idx="55">
                  <c:v>4</c:v>
                </c:pt>
                <c:pt idx="56">
                  <c:v>5</c:v>
                </c:pt>
                <c:pt idx="57">
                  <c:v>8</c:v>
                </c:pt>
                <c:pt idx="58">
                  <c:v>9</c:v>
                </c:pt>
                <c:pt idx="59">
                  <c:v>11</c:v>
                </c:pt>
                <c:pt idx="60">
                  <c:v>12</c:v>
                </c:pt>
                <c:pt idx="61">
                  <c:v>11</c:v>
                </c:pt>
                <c:pt idx="62">
                  <c:v>11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11</c:v>
                </c:pt>
                <c:pt idx="67">
                  <c:v>10</c:v>
                </c:pt>
                <c:pt idx="68">
                  <c:v>9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16</c:v>
                </c:pt>
                <c:pt idx="73">
                  <c:v>15</c:v>
                </c:pt>
                <c:pt idx="74">
                  <c:v>17</c:v>
                </c:pt>
                <c:pt idx="75">
                  <c:v>15</c:v>
                </c:pt>
                <c:pt idx="76">
                  <c:v>13</c:v>
                </c:pt>
                <c:pt idx="77">
                  <c:v>12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9C8-4CA1-9706-6F9759098FBC}"/>
            </c:ext>
          </c:extLst>
        </c:ser>
        <c:ser>
          <c:idx val="7"/>
          <c:order val="7"/>
          <c:tx>
            <c:strRef>
              <c:f>'Infected FF'!$I$2</c:f>
              <c:strCache>
                <c:ptCount val="1"/>
                <c:pt idx="0">
                  <c:v>Run 8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cat>
          <c:val>
            <c:numRef>
              <c:f>'Infected FF'!$I$3:$I$200</c:f>
              <c:numCache>
                <c:formatCode>General</c:formatCode>
                <c:ptCount val="198"/>
                <c:pt idx="0">
                  <c:v>2</c:v>
                </c:pt>
                <c:pt idx="1">
                  <c:v>5</c:v>
                </c:pt>
                <c:pt idx="2">
                  <c:v>12</c:v>
                </c:pt>
                <c:pt idx="3">
                  <c:v>23</c:v>
                </c:pt>
                <c:pt idx="4">
                  <c:v>31</c:v>
                </c:pt>
                <c:pt idx="5">
                  <c:v>44</c:v>
                </c:pt>
                <c:pt idx="6">
                  <c:v>56</c:v>
                </c:pt>
                <c:pt idx="7">
                  <c:v>67</c:v>
                </c:pt>
                <c:pt idx="8">
                  <c:v>67</c:v>
                </c:pt>
                <c:pt idx="9">
                  <c:v>64</c:v>
                </c:pt>
                <c:pt idx="10">
                  <c:v>61</c:v>
                </c:pt>
                <c:pt idx="11">
                  <c:v>54</c:v>
                </c:pt>
                <c:pt idx="12">
                  <c:v>44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25</c:v>
                </c:pt>
                <c:pt idx="17">
                  <c:v>21</c:v>
                </c:pt>
                <c:pt idx="18">
                  <c:v>20</c:v>
                </c:pt>
                <c:pt idx="19">
                  <c:v>22</c:v>
                </c:pt>
                <c:pt idx="20">
                  <c:v>21</c:v>
                </c:pt>
                <c:pt idx="21">
                  <c:v>22</c:v>
                </c:pt>
                <c:pt idx="22">
                  <c:v>21</c:v>
                </c:pt>
                <c:pt idx="23">
                  <c:v>22</c:v>
                </c:pt>
                <c:pt idx="24">
                  <c:v>22</c:v>
                </c:pt>
                <c:pt idx="25">
                  <c:v>15</c:v>
                </c:pt>
                <c:pt idx="26">
                  <c:v>16</c:v>
                </c:pt>
                <c:pt idx="27">
                  <c:v>13</c:v>
                </c:pt>
                <c:pt idx="28">
                  <c:v>9</c:v>
                </c:pt>
                <c:pt idx="29">
                  <c:v>11</c:v>
                </c:pt>
                <c:pt idx="30">
                  <c:v>13</c:v>
                </c:pt>
                <c:pt idx="31">
                  <c:v>19</c:v>
                </c:pt>
                <c:pt idx="32">
                  <c:v>33</c:v>
                </c:pt>
                <c:pt idx="33">
                  <c:v>36</c:v>
                </c:pt>
                <c:pt idx="34">
                  <c:v>44</c:v>
                </c:pt>
                <c:pt idx="35">
                  <c:v>50</c:v>
                </c:pt>
                <c:pt idx="36">
                  <c:v>49</c:v>
                </c:pt>
                <c:pt idx="37">
                  <c:v>48</c:v>
                </c:pt>
                <c:pt idx="38">
                  <c:v>39</c:v>
                </c:pt>
                <c:pt idx="39">
                  <c:v>39</c:v>
                </c:pt>
                <c:pt idx="40">
                  <c:v>41</c:v>
                </c:pt>
                <c:pt idx="41">
                  <c:v>33</c:v>
                </c:pt>
                <c:pt idx="42">
                  <c:v>35</c:v>
                </c:pt>
                <c:pt idx="43">
                  <c:v>38</c:v>
                </c:pt>
                <c:pt idx="44">
                  <c:v>39</c:v>
                </c:pt>
                <c:pt idx="45">
                  <c:v>43</c:v>
                </c:pt>
                <c:pt idx="46">
                  <c:v>42</c:v>
                </c:pt>
                <c:pt idx="47">
                  <c:v>49</c:v>
                </c:pt>
                <c:pt idx="48">
                  <c:v>54</c:v>
                </c:pt>
                <c:pt idx="49">
                  <c:v>56</c:v>
                </c:pt>
                <c:pt idx="50">
                  <c:v>56</c:v>
                </c:pt>
                <c:pt idx="51">
                  <c:v>62</c:v>
                </c:pt>
                <c:pt idx="52">
                  <c:v>63</c:v>
                </c:pt>
                <c:pt idx="53">
                  <c:v>68</c:v>
                </c:pt>
                <c:pt idx="54">
                  <c:v>65</c:v>
                </c:pt>
                <c:pt idx="55">
                  <c:v>62</c:v>
                </c:pt>
                <c:pt idx="56">
                  <c:v>61</c:v>
                </c:pt>
                <c:pt idx="57">
                  <c:v>48</c:v>
                </c:pt>
                <c:pt idx="58">
                  <c:v>42</c:v>
                </c:pt>
                <c:pt idx="59">
                  <c:v>27</c:v>
                </c:pt>
                <c:pt idx="60">
                  <c:v>19</c:v>
                </c:pt>
                <c:pt idx="61">
                  <c:v>12</c:v>
                </c:pt>
                <c:pt idx="62">
                  <c:v>5</c:v>
                </c:pt>
                <c:pt idx="63">
                  <c:v>4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5</c:v>
                </c:pt>
                <c:pt idx="68">
                  <c:v>6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10</c:v>
                </c:pt>
                <c:pt idx="74">
                  <c:v>11</c:v>
                </c:pt>
                <c:pt idx="75">
                  <c:v>14</c:v>
                </c:pt>
                <c:pt idx="76">
                  <c:v>15</c:v>
                </c:pt>
                <c:pt idx="77">
                  <c:v>29</c:v>
                </c:pt>
                <c:pt idx="78">
                  <c:v>33</c:v>
                </c:pt>
                <c:pt idx="79">
                  <c:v>34</c:v>
                </c:pt>
                <c:pt idx="80">
                  <c:v>36</c:v>
                </c:pt>
                <c:pt idx="81">
                  <c:v>29</c:v>
                </c:pt>
                <c:pt idx="82">
                  <c:v>27</c:v>
                </c:pt>
                <c:pt idx="83">
                  <c:v>13</c:v>
                </c:pt>
                <c:pt idx="84">
                  <c:v>8</c:v>
                </c:pt>
                <c:pt idx="85">
                  <c:v>8</c:v>
                </c:pt>
                <c:pt idx="86">
                  <c:v>4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12</c:v>
                </c:pt>
                <c:pt idx="91">
                  <c:v>12</c:v>
                </c:pt>
                <c:pt idx="92">
                  <c:v>14</c:v>
                </c:pt>
                <c:pt idx="93">
                  <c:v>19</c:v>
                </c:pt>
                <c:pt idx="94">
                  <c:v>22</c:v>
                </c:pt>
                <c:pt idx="95">
                  <c:v>24</c:v>
                </c:pt>
                <c:pt idx="96">
                  <c:v>17</c:v>
                </c:pt>
                <c:pt idx="97">
                  <c:v>20</c:v>
                </c:pt>
                <c:pt idx="98">
                  <c:v>19</c:v>
                </c:pt>
                <c:pt idx="99">
                  <c:v>14</c:v>
                </c:pt>
                <c:pt idx="100">
                  <c:v>11</c:v>
                </c:pt>
                <c:pt idx="101">
                  <c:v>9</c:v>
                </c:pt>
                <c:pt idx="102">
                  <c:v>8</c:v>
                </c:pt>
                <c:pt idx="103">
                  <c:v>4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6</c:v>
                </c:pt>
                <c:pt idx="110">
                  <c:v>6</c:v>
                </c:pt>
                <c:pt idx="111">
                  <c:v>4</c:v>
                </c:pt>
                <c:pt idx="112">
                  <c:v>3</c:v>
                </c:pt>
                <c:pt idx="113">
                  <c:v>2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9C8-4CA1-9706-6F9759098FBC}"/>
            </c:ext>
          </c:extLst>
        </c:ser>
        <c:ser>
          <c:idx val="8"/>
          <c:order val="8"/>
          <c:tx>
            <c:strRef>
              <c:f>'Infected FF'!$J$2</c:f>
              <c:strCache>
                <c:ptCount val="1"/>
                <c:pt idx="0">
                  <c:v>Run 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cat>
          <c:val>
            <c:numRef>
              <c:f>'Infected FF'!$J$3:$J$200</c:f>
              <c:numCache>
                <c:formatCode>General</c:formatCode>
                <c:ptCount val="198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12</c:v>
                </c:pt>
                <c:pt idx="4">
                  <c:v>13</c:v>
                </c:pt>
                <c:pt idx="5">
                  <c:v>17</c:v>
                </c:pt>
                <c:pt idx="6">
                  <c:v>18</c:v>
                </c:pt>
                <c:pt idx="7">
                  <c:v>18</c:v>
                </c:pt>
                <c:pt idx="8">
                  <c:v>19</c:v>
                </c:pt>
                <c:pt idx="9">
                  <c:v>16</c:v>
                </c:pt>
                <c:pt idx="10">
                  <c:v>21</c:v>
                </c:pt>
                <c:pt idx="11">
                  <c:v>22</c:v>
                </c:pt>
                <c:pt idx="12">
                  <c:v>34</c:v>
                </c:pt>
                <c:pt idx="13">
                  <c:v>44</c:v>
                </c:pt>
                <c:pt idx="14">
                  <c:v>65</c:v>
                </c:pt>
                <c:pt idx="15">
                  <c:v>75</c:v>
                </c:pt>
                <c:pt idx="16">
                  <c:v>73</c:v>
                </c:pt>
                <c:pt idx="17">
                  <c:v>74</c:v>
                </c:pt>
                <c:pt idx="18">
                  <c:v>59</c:v>
                </c:pt>
                <c:pt idx="19">
                  <c:v>48</c:v>
                </c:pt>
                <c:pt idx="20">
                  <c:v>26</c:v>
                </c:pt>
                <c:pt idx="21">
                  <c:v>14</c:v>
                </c:pt>
                <c:pt idx="22">
                  <c:v>19</c:v>
                </c:pt>
                <c:pt idx="23">
                  <c:v>19</c:v>
                </c:pt>
                <c:pt idx="24">
                  <c:v>28</c:v>
                </c:pt>
                <c:pt idx="25">
                  <c:v>47</c:v>
                </c:pt>
                <c:pt idx="26">
                  <c:v>54</c:v>
                </c:pt>
                <c:pt idx="27">
                  <c:v>69</c:v>
                </c:pt>
                <c:pt idx="28">
                  <c:v>75</c:v>
                </c:pt>
                <c:pt idx="29">
                  <c:v>74</c:v>
                </c:pt>
                <c:pt idx="30">
                  <c:v>71</c:v>
                </c:pt>
                <c:pt idx="31">
                  <c:v>52</c:v>
                </c:pt>
                <c:pt idx="32">
                  <c:v>43</c:v>
                </c:pt>
                <c:pt idx="33">
                  <c:v>28</c:v>
                </c:pt>
                <c:pt idx="34">
                  <c:v>13</c:v>
                </c:pt>
                <c:pt idx="35">
                  <c:v>8</c:v>
                </c:pt>
                <c:pt idx="36">
                  <c:v>4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5</c:v>
                </c:pt>
                <c:pt idx="43">
                  <c:v>11</c:v>
                </c:pt>
                <c:pt idx="44">
                  <c:v>19</c:v>
                </c:pt>
                <c:pt idx="45">
                  <c:v>36</c:v>
                </c:pt>
                <c:pt idx="46">
                  <c:v>49</c:v>
                </c:pt>
                <c:pt idx="47">
                  <c:v>66</c:v>
                </c:pt>
                <c:pt idx="48">
                  <c:v>74</c:v>
                </c:pt>
                <c:pt idx="49">
                  <c:v>70</c:v>
                </c:pt>
                <c:pt idx="50">
                  <c:v>68</c:v>
                </c:pt>
                <c:pt idx="51">
                  <c:v>54</c:v>
                </c:pt>
                <c:pt idx="52">
                  <c:v>43</c:v>
                </c:pt>
                <c:pt idx="53">
                  <c:v>29</c:v>
                </c:pt>
                <c:pt idx="54">
                  <c:v>18</c:v>
                </c:pt>
                <c:pt idx="55">
                  <c:v>17</c:v>
                </c:pt>
                <c:pt idx="56">
                  <c:v>12</c:v>
                </c:pt>
                <c:pt idx="57">
                  <c:v>10</c:v>
                </c:pt>
                <c:pt idx="58">
                  <c:v>12</c:v>
                </c:pt>
                <c:pt idx="59">
                  <c:v>11</c:v>
                </c:pt>
                <c:pt idx="60">
                  <c:v>12</c:v>
                </c:pt>
                <c:pt idx="61">
                  <c:v>11</c:v>
                </c:pt>
                <c:pt idx="62">
                  <c:v>12</c:v>
                </c:pt>
                <c:pt idx="63">
                  <c:v>12</c:v>
                </c:pt>
                <c:pt idx="64">
                  <c:v>8</c:v>
                </c:pt>
                <c:pt idx="65">
                  <c:v>6</c:v>
                </c:pt>
                <c:pt idx="66">
                  <c:v>4</c:v>
                </c:pt>
                <c:pt idx="67">
                  <c:v>3</c:v>
                </c:pt>
                <c:pt idx="68">
                  <c:v>4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2</c:v>
                </c:pt>
                <c:pt idx="75">
                  <c:v>2</c:v>
                </c:pt>
                <c:pt idx="76">
                  <c:v>3</c:v>
                </c:pt>
                <c:pt idx="77">
                  <c:v>2</c:v>
                </c:pt>
                <c:pt idx="78">
                  <c:v>2</c:v>
                </c:pt>
                <c:pt idx="79">
                  <c:v>3</c:v>
                </c:pt>
                <c:pt idx="80">
                  <c:v>3</c:v>
                </c:pt>
                <c:pt idx="81">
                  <c:v>4</c:v>
                </c:pt>
                <c:pt idx="82">
                  <c:v>6</c:v>
                </c:pt>
                <c:pt idx="83">
                  <c:v>9</c:v>
                </c:pt>
                <c:pt idx="84">
                  <c:v>10</c:v>
                </c:pt>
                <c:pt idx="85">
                  <c:v>10</c:v>
                </c:pt>
                <c:pt idx="86">
                  <c:v>9</c:v>
                </c:pt>
                <c:pt idx="87">
                  <c:v>9</c:v>
                </c:pt>
                <c:pt idx="88">
                  <c:v>7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5</c:v>
                </c:pt>
                <c:pt idx="97">
                  <c:v>4</c:v>
                </c:pt>
                <c:pt idx="98">
                  <c:v>2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6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8</c:v>
                </c:pt>
                <c:pt idx="113">
                  <c:v>9</c:v>
                </c:pt>
                <c:pt idx="114">
                  <c:v>15</c:v>
                </c:pt>
                <c:pt idx="115">
                  <c:v>16</c:v>
                </c:pt>
                <c:pt idx="116">
                  <c:v>18</c:v>
                </c:pt>
                <c:pt idx="117">
                  <c:v>18</c:v>
                </c:pt>
                <c:pt idx="118">
                  <c:v>17</c:v>
                </c:pt>
                <c:pt idx="119">
                  <c:v>19</c:v>
                </c:pt>
                <c:pt idx="120">
                  <c:v>12</c:v>
                </c:pt>
                <c:pt idx="121">
                  <c:v>14</c:v>
                </c:pt>
                <c:pt idx="122">
                  <c:v>15</c:v>
                </c:pt>
                <c:pt idx="123">
                  <c:v>18</c:v>
                </c:pt>
                <c:pt idx="124">
                  <c:v>20</c:v>
                </c:pt>
                <c:pt idx="125">
                  <c:v>18</c:v>
                </c:pt>
                <c:pt idx="126">
                  <c:v>16</c:v>
                </c:pt>
                <c:pt idx="127">
                  <c:v>12</c:v>
                </c:pt>
                <c:pt idx="128">
                  <c:v>9</c:v>
                </c:pt>
                <c:pt idx="129">
                  <c:v>4</c:v>
                </c:pt>
                <c:pt idx="130">
                  <c:v>1</c:v>
                </c:pt>
                <c:pt idx="131">
                  <c:v>2</c:v>
                </c:pt>
                <c:pt idx="132">
                  <c:v>3</c:v>
                </c:pt>
                <c:pt idx="133">
                  <c:v>5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6</c:v>
                </c:pt>
                <c:pt idx="138">
                  <c:v>5</c:v>
                </c:pt>
                <c:pt idx="139">
                  <c:v>3</c:v>
                </c:pt>
                <c:pt idx="140">
                  <c:v>2</c:v>
                </c:pt>
                <c:pt idx="141">
                  <c:v>3</c:v>
                </c:pt>
                <c:pt idx="142">
                  <c:v>6</c:v>
                </c:pt>
                <c:pt idx="143">
                  <c:v>11</c:v>
                </c:pt>
                <c:pt idx="144">
                  <c:v>15</c:v>
                </c:pt>
                <c:pt idx="145">
                  <c:v>19</c:v>
                </c:pt>
                <c:pt idx="146">
                  <c:v>22</c:v>
                </c:pt>
                <c:pt idx="147">
                  <c:v>24</c:v>
                </c:pt>
                <c:pt idx="148">
                  <c:v>25</c:v>
                </c:pt>
                <c:pt idx="149">
                  <c:v>20</c:v>
                </c:pt>
                <c:pt idx="150">
                  <c:v>18</c:v>
                </c:pt>
                <c:pt idx="151">
                  <c:v>14</c:v>
                </c:pt>
                <c:pt idx="152">
                  <c:v>10</c:v>
                </c:pt>
                <c:pt idx="153">
                  <c:v>8</c:v>
                </c:pt>
                <c:pt idx="154">
                  <c:v>5</c:v>
                </c:pt>
                <c:pt idx="155">
                  <c:v>5</c:v>
                </c:pt>
                <c:pt idx="156">
                  <c:v>3</c:v>
                </c:pt>
                <c:pt idx="157">
                  <c:v>3</c:v>
                </c:pt>
                <c:pt idx="158">
                  <c:v>2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3</c:v>
                </c:pt>
                <c:pt idx="163">
                  <c:v>6</c:v>
                </c:pt>
                <c:pt idx="164">
                  <c:v>9</c:v>
                </c:pt>
                <c:pt idx="165">
                  <c:v>15</c:v>
                </c:pt>
                <c:pt idx="166">
                  <c:v>20</c:v>
                </c:pt>
                <c:pt idx="167">
                  <c:v>24</c:v>
                </c:pt>
                <c:pt idx="168">
                  <c:v>28</c:v>
                </c:pt>
                <c:pt idx="169">
                  <c:v>27</c:v>
                </c:pt>
                <c:pt idx="170">
                  <c:v>24</c:v>
                </c:pt>
                <c:pt idx="171">
                  <c:v>18</c:v>
                </c:pt>
                <c:pt idx="172">
                  <c:v>12</c:v>
                </c:pt>
                <c:pt idx="173">
                  <c:v>8</c:v>
                </c:pt>
                <c:pt idx="174">
                  <c:v>3</c:v>
                </c:pt>
                <c:pt idx="175">
                  <c:v>2</c:v>
                </c:pt>
                <c:pt idx="176">
                  <c:v>3</c:v>
                </c:pt>
                <c:pt idx="177">
                  <c:v>5</c:v>
                </c:pt>
                <c:pt idx="178">
                  <c:v>5</c:v>
                </c:pt>
                <c:pt idx="179">
                  <c:v>6</c:v>
                </c:pt>
                <c:pt idx="180">
                  <c:v>6</c:v>
                </c:pt>
                <c:pt idx="181">
                  <c:v>5</c:v>
                </c:pt>
                <c:pt idx="182">
                  <c:v>6</c:v>
                </c:pt>
                <c:pt idx="183">
                  <c:v>5</c:v>
                </c:pt>
                <c:pt idx="184">
                  <c:v>6</c:v>
                </c:pt>
                <c:pt idx="185">
                  <c:v>6</c:v>
                </c:pt>
                <c:pt idx="186">
                  <c:v>7</c:v>
                </c:pt>
                <c:pt idx="187">
                  <c:v>9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6</c:v>
                </c:pt>
                <c:pt idx="193">
                  <c:v>4</c:v>
                </c:pt>
                <c:pt idx="194">
                  <c:v>3</c:v>
                </c:pt>
                <c:pt idx="195">
                  <c:v>2</c:v>
                </c:pt>
                <c:pt idx="196">
                  <c:v>1</c:v>
                </c:pt>
                <c:pt idx="1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9C8-4CA1-9706-6F9759098FBC}"/>
            </c:ext>
          </c:extLst>
        </c:ser>
        <c:ser>
          <c:idx val="9"/>
          <c:order val="9"/>
          <c:tx>
            <c:strRef>
              <c:f>'Infected FF'!$K$2</c:f>
              <c:strCache>
                <c:ptCount val="1"/>
                <c:pt idx="0">
                  <c:v>Run 10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'Infected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cat>
          <c:val>
            <c:numRef>
              <c:f>'Infected FF'!$K$3:$K$200</c:f>
              <c:numCache>
                <c:formatCode>General</c:formatCode>
                <c:ptCount val="198"/>
                <c:pt idx="0">
                  <c:v>2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21</c:v>
                </c:pt>
                <c:pt idx="11">
                  <c:v>26</c:v>
                </c:pt>
                <c:pt idx="12">
                  <c:v>27</c:v>
                </c:pt>
                <c:pt idx="13">
                  <c:v>35</c:v>
                </c:pt>
                <c:pt idx="14">
                  <c:v>34</c:v>
                </c:pt>
                <c:pt idx="15">
                  <c:v>38</c:v>
                </c:pt>
                <c:pt idx="16">
                  <c:v>41</c:v>
                </c:pt>
                <c:pt idx="17">
                  <c:v>51</c:v>
                </c:pt>
                <c:pt idx="18">
                  <c:v>63</c:v>
                </c:pt>
                <c:pt idx="19">
                  <c:v>66</c:v>
                </c:pt>
                <c:pt idx="20">
                  <c:v>73</c:v>
                </c:pt>
                <c:pt idx="21">
                  <c:v>72</c:v>
                </c:pt>
                <c:pt idx="22">
                  <c:v>71</c:v>
                </c:pt>
                <c:pt idx="23">
                  <c:v>59</c:v>
                </c:pt>
                <c:pt idx="24">
                  <c:v>53</c:v>
                </c:pt>
                <c:pt idx="25">
                  <c:v>47</c:v>
                </c:pt>
                <c:pt idx="26">
                  <c:v>49</c:v>
                </c:pt>
                <c:pt idx="27">
                  <c:v>47</c:v>
                </c:pt>
                <c:pt idx="28">
                  <c:v>48</c:v>
                </c:pt>
                <c:pt idx="29">
                  <c:v>51</c:v>
                </c:pt>
                <c:pt idx="30">
                  <c:v>43</c:v>
                </c:pt>
                <c:pt idx="31">
                  <c:v>38</c:v>
                </c:pt>
                <c:pt idx="32">
                  <c:v>33</c:v>
                </c:pt>
                <c:pt idx="33">
                  <c:v>31</c:v>
                </c:pt>
                <c:pt idx="34">
                  <c:v>30</c:v>
                </c:pt>
                <c:pt idx="35">
                  <c:v>30</c:v>
                </c:pt>
                <c:pt idx="36">
                  <c:v>32</c:v>
                </c:pt>
                <c:pt idx="37">
                  <c:v>36</c:v>
                </c:pt>
                <c:pt idx="38">
                  <c:v>35</c:v>
                </c:pt>
                <c:pt idx="39">
                  <c:v>38</c:v>
                </c:pt>
                <c:pt idx="40">
                  <c:v>32</c:v>
                </c:pt>
                <c:pt idx="41">
                  <c:v>28</c:v>
                </c:pt>
                <c:pt idx="42">
                  <c:v>24</c:v>
                </c:pt>
                <c:pt idx="43">
                  <c:v>20</c:v>
                </c:pt>
                <c:pt idx="44">
                  <c:v>16</c:v>
                </c:pt>
                <c:pt idx="45">
                  <c:v>11</c:v>
                </c:pt>
                <c:pt idx="46">
                  <c:v>11</c:v>
                </c:pt>
                <c:pt idx="47">
                  <c:v>8</c:v>
                </c:pt>
                <c:pt idx="48">
                  <c:v>7</c:v>
                </c:pt>
                <c:pt idx="49">
                  <c:v>5</c:v>
                </c:pt>
                <c:pt idx="50">
                  <c:v>3</c:v>
                </c:pt>
                <c:pt idx="51">
                  <c:v>2</c:v>
                </c:pt>
                <c:pt idx="52">
                  <c:v>3</c:v>
                </c:pt>
                <c:pt idx="53">
                  <c:v>2</c:v>
                </c:pt>
                <c:pt idx="54">
                  <c:v>4</c:v>
                </c:pt>
                <c:pt idx="55">
                  <c:v>7</c:v>
                </c:pt>
                <c:pt idx="56">
                  <c:v>8</c:v>
                </c:pt>
                <c:pt idx="57">
                  <c:v>15</c:v>
                </c:pt>
                <c:pt idx="58">
                  <c:v>17</c:v>
                </c:pt>
                <c:pt idx="59">
                  <c:v>22</c:v>
                </c:pt>
                <c:pt idx="60">
                  <c:v>24</c:v>
                </c:pt>
                <c:pt idx="61">
                  <c:v>26</c:v>
                </c:pt>
                <c:pt idx="62">
                  <c:v>29</c:v>
                </c:pt>
                <c:pt idx="63">
                  <c:v>26</c:v>
                </c:pt>
                <c:pt idx="64">
                  <c:v>25</c:v>
                </c:pt>
                <c:pt idx="65">
                  <c:v>22</c:v>
                </c:pt>
                <c:pt idx="66">
                  <c:v>20</c:v>
                </c:pt>
                <c:pt idx="67">
                  <c:v>18</c:v>
                </c:pt>
                <c:pt idx="68">
                  <c:v>14</c:v>
                </c:pt>
                <c:pt idx="69">
                  <c:v>12</c:v>
                </c:pt>
                <c:pt idx="70">
                  <c:v>9</c:v>
                </c:pt>
                <c:pt idx="71">
                  <c:v>8</c:v>
                </c:pt>
                <c:pt idx="72">
                  <c:v>8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7</c:v>
                </c:pt>
                <c:pt idx="77">
                  <c:v>8</c:v>
                </c:pt>
                <c:pt idx="78">
                  <c:v>10</c:v>
                </c:pt>
                <c:pt idx="79">
                  <c:v>9</c:v>
                </c:pt>
                <c:pt idx="80">
                  <c:v>11</c:v>
                </c:pt>
                <c:pt idx="81">
                  <c:v>10</c:v>
                </c:pt>
                <c:pt idx="82">
                  <c:v>10</c:v>
                </c:pt>
                <c:pt idx="83">
                  <c:v>9</c:v>
                </c:pt>
                <c:pt idx="84">
                  <c:v>6</c:v>
                </c:pt>
                <c:pt idx="85">
                  <c:v>7</c:v>
                </c:pt>
                <c:pt idx="86">
                  <c:v>5</c:v>
                </c:pt>
                <c:pt idx="87">
                  <c:v>4</c:v>
                </c:pt>
                <c:pt idx="88">
                  <c:v>3</c:v>
                </c:pt>
                <c:pt idx="89">
                  <c:v>2</c:v>
                </c:pt>
                <c:pt idx="90">
                  <c:v>2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9C8-4CA1-9706-6F9759098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8995311"/>
        <c:axId val="558995791"/>
      </c:lineChart>
      <c:catAx>
        <c:axId val="55899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995791"/>
        <c:crosses val="autoZero"/>
        <c:auto val="1"/>
        <c:lblAlgn val="ctr"/>
        <c:lblOffset val="100"/>
        <c:noMultiLvlLbl val="0"/>
      </c:catAx>
      <c:valAx>
        <c:axId val="55899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99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'Mobility NF'!$B$2</c:f>
              <c:strCache>
                <c:ptCount val="1"/>
                <c:pt idx="0">
                  <c:v>Run 1</c:v>
                </c:pt>
              </c:strCache>
            </c:strRef>
          </c:tx>
          <c:spPr>
            <a:ln w="19050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NF'!$A$3:$A$29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'Mobility NF'!$B$3:$B$29</c:f>
              <c:numCache>
                <c:formatCode>General</c:formatCode>
                <c:ptCount val="27"/>
                <c:pt idx="0">
                  <c:v>1</c:v>
                </c:pt>
                <c:pt idx="1">
                  <c:v>0.99960000000000004</c:v>
                </c:pt>
                <c:pt idx="2">
                  <c:v>1</c:v>
                </c:pt>
                <c:pt idx="3">
                  <c:v>1</c:v>
                </c:pt>
                <c:pt idx="4">
                  <c:v>0.99960000000000004</c:v>
                </c:pt>
                <c:pt idx="5">
                  <c:v>0.99960000000000004</c:v>
                </c:pt>
                <c:pt idx="6">
                  <c:v>0.99960000000000004</c:v>
                </c:pt>
                <c:pt idx="7">
                  <c:v>0.99919999999999998</c:v>
                </c:pt>
                <c:pt idx="8">
                  <c:v>0.99960000000000004</c:v>
                </c:pt>
                <c:pt idx="9">
                  <c:v>1</c:v>
                </c:pt>
                <c:pt idx="10">
                  <c:v>0.99960000000000004</c:v>
                </c:pt>
                <c:pt idx="11">
                  <c:v>0.99960000000000004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0.99960000000000004</c:v>
                </c:pt>
                <c:pt idx="18">
                  <c:v>1</c:v>
                </c:pt>
                <c:pt idx="19">
                  <c:v>0.99960000000000004</c:v>
                </c:pt>
                <c:pt idx="20">
                  <c:v>0.99960000000000004</c:v>
                </c:pt>
                <c:pt idx="21">
                  <c:v>1</c:v>
                </c:pt>
                <c:pt idx="22">
                  <c:v>0.99919999999999998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6C-4251-B284-CA0596157FA1}"/>
            </c:ext>
          </c:extLst>
        </c:ser>
        <c:ser>
          <c:idx val="1"/>
          <c:order val="1"/>
          <c:tx>
            <c:strRef>
              <c:f>'Mobility NF'!$C$2</c:f>
              <c:strCache>
                <c:ptCount val="1"/>
                <c:pt idx="0">
                  <c:v>Run 2</c:v>
                </c:pt>
              </c:strCache>
            </c:strRef>
          </c:tx>
          <c:spPr>
            <a:ln w="19050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NF'!$A$3:$A$29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'Mobility NF'!$C$3:$C$29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0.99960000000000004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0.99960000000000004</c:v>
                </c:pt>
                <c:pt idx="10">
                  <c:v>1</c:v>
                </c:pt>
                <c:pt idx="11">
                  <c:v>0.99919999999999998</c:v>
                </c:pt>
                <c:pt idx="12">
                  <c:v>0.99960000000000004</c:v>
                </c:pt>
                <c:pt idx="13">
                  <c:v>0.99919999999999998</c:v>
                </c:pt>
                <c:pt idx="14">
                  <c:v>1</c:v>
                </c:pt>
                <c:pt idx="15">
                  <c:v>0.99960000000000004</c:v>
                </c:pt>
                <c:pt idx="16">
                  <c:v>1</c:v>
                </c:pt>
                <c:pt idx="17">
                  <c:v>0.99919999999999998</c:v>
                </c:pt>
                <c:pt idx="18">
                  <c:v>1</c:v>
                </c:pt>
                <c:pt idx="19">
                  <c:v>1</c:v>
                </c:pt>
                <c:pt idx="20">
                  <c:v>0.99919999999999998</c:v>
                </c:pt>
                <c:pt idx="21">
                  <c:v>0.99960000000000004</c:v>
                </c:pt>
                <c:pt idx="22">
                  <c:v>0.99960000000000004</c:v>
                </c:pt>
                <c:pt idx="23">
                  <c:v>0.99960000000000004</c:v>
                </c:pt>
                <c:pt idx="24">
                  <c:v>0.99960000000000004</c:v>
                </c:pt>
                <c:pt idx="25">
                  <c:v>1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6C-4251-B284-CA0596157FA1}"/>
            </c:ext>
          </c:extLst>
        </c:ser>
        <c:ser>
          <c:idx val="2"/>
          <c:order val="2"/>
          <c:tx>
            <c:strRef>
              <c:f>'Mobility NF'!$D$2</c:f>
              <c:strCache>
                <c:ptCount val="1"/>
                <c:pt idx="0">
                  <c:v>Run 3</c:v>
                </c:pt>
              </c:strCache>
            </c:strRef>
          </c:tx>
          <c:spPr>
            <a:ln w="19050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NF'!$A$3:$A$29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'Mobility NF'!$D$3:$D$29</c:f>
              <c:numCache>
                <c:formatCode>General</c:formatCode>
                <c:ptCount val="27"/>
                <c:pt idx="0">
                  <c:v>1</c:v>
                </c:pt>
                <c:pt idx="1">
                  <c:v>0.998</c:v>
                </c:pt>
                <c:pt idx="2">
                  <c:v>0.99719999999999998</c:v>
                </c:pt>
                <c:pt idx="3">
                  <c:v>0.998</c:v>
                </c:pt>
                <c:pt idx="4">
                  <c:v>0.99839999999999995</c:v>
                </c:pt>
                <c:pt idx="5">
                  <c:v>0.99719999999999998</c:v>
                </c:pt>
                <c:pt idx="6">
                  <c:v>0.99760000000000004</c:v>
                </c:pt>
                <c:pt idx="7">
                  <c:v>0.998</c:v>
                </c:pt>
                <c:pt idx="8">
                  <c:v>0.99680000000000002</c:v>
                </c:pt>
                <c:pt idx="9">
                  <c:v>0.99839999999999995</c:v>
                </c:pt>
                <c:pt idx="10">
                  <c:v>0.99760000000000004</c:v>
                </c:pt>
                <c:pt idx="11">
                  <c:v>0.99839999999999995</c:v>
                </c:pt>
                <c:pt idx="12">
                  <c:v>0.998</c:v>
                </c:pt>
                <c:pt idx="13">
                  <c:v>0.99760000000000004</c:v>
                </c:pt>
                <c:pt idx="14">
                  <c:v>0.99719999999999998</c:v>
                </c:pt>
                <c:pt idx="15">
                  <c:v>0.998</c:v>
                </c:pt>
                <c:pt idx="16">
                  <c:v>0.99719999999999998</c:v>
                </c:pt>
                <c:pt idx="17">
                  <c:v>0.99760000000000004</c:v>
                </c:pt>
                <c:pt idx="18">
                  <c:v>0.99719999999999998</c:v>
                </c:pt>
                <c:pt idx="19">
                  <c:v>0.99719999999999998</c:v>
                </c:pt>
                <c:pt idx="20">
                  <c:v>0.998</c:v>
                </c:pt>
                <c:pt idx="21">
                  <c:v>0.998</c:v>
                </c:pt>
                <c:pt idx="22">
                  <c:v>0.99760000000000004</c:v>
                </c:pt>
                <c:pt idx="23">
                  <c:v>0.99719999999999998</c:v>
                </c:pt>
                <c:pt idx="24">
                  <c:v>0.998</c:v>
                </c:pt>
                <c:pt idx="25">
                  <c:v>0.99760000000000004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6C-4251-B284-CA0596157FA1}"/>
            </c:ext>
          </c:extLst>
        </c:ser>
        <c:ser>
          <c:idx val="3"/>
          <c:order val="3"/>
          <c:tx>
            <c:strRef>
              <c:f>'Mobility NF'!$E$2</c:f>
              <c:strCache>
                <c:ptCount val="1"/>
                <c:pt idx="0">
                  <c:v>Run 4</c:v>
                </c:pt>
              </c:strCache>
            </c:strRef>
          </c:tx>
          <c:spPr>
            <a:ln w="19050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NF'!$A$3:$A$29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'Mobility NF'!$E$3:$E$29</c:f>
              <c:numCache>
                <c:formatCode>General</c:formatCode>
                <c:ptCount val="27"/>
                <c:pt idx="0">
                  <c:v>1</c:v>
                </c:pt>
                <c:pt idx="1">
                  <c:v>0.998</c:v>
                </c:pt>
                <c:pt idx="2">
                  <c:v>0.99839999999999995</c:v>
                </c:pt>
                <c:pt idx="3">
                  <c:v>0.99760000000000004</c:v>
                </c:pt>
                <c:pt idx="4">
                  <c:v>0.99719999999999998</c:v>
                </c:pt>
                <c:pt idx="5">
                  <c:v>0.998</c:v>
                </c:pt>
                <c:pt idx="6">
                  <c:v>0.99719999999999998</c:v>
                </c:pt>
                <c:pt idx="7">
                  <c:v>0.998</c:v>
                </c:pt>
                <c:pt idx="8">
                  <c:v>0.998</c:v>
                </c:pt>
                <c:pt idx="9">
                  <c:v>0.99680000000000002</c:v>
                </c:pt>
                <c:pt idx="10">
                  <c:v>0.99760000000000004</c:v>
                </c:pt>
                <c:pt idx="11">
                  <c:v>0.99760000000000004</c:v>
                </c:pt>
                <c:pt idx="12">
                  <c:v>0.99719999999999998</c:v>
                </c:pt>
                <c:pt idx="13">
                  <c:v>0.998</c:v>
                </c:pt>
                <c:pt idx="14">
                  <c:v>0.998</c:v>
                </c:pt>
                <c:pt idx="15">
                  <c:v>0.99680000000000002</c:v>
                </c:pt>
                <c:pt idx="16">
                  <c:v>0.99760000000000004</c:v>
                </c:pt>
                <c:pt idx="17">
                  <c:v>0.998</c:v>
                </c:pt>
                <c:pt idx="18">
                  <c:v>0.99760000000000004</c:v>
                </c:pt>
                <c:pt idx="19">
                  <c:v>0.998</c:v>
                </c:pt>
                <c:pt idx="20">
                  <c:v>0.99560000000000004</c:v>
                </c:pt>
                <c:pt idx="21">
                  <c:v>0.99719999999999998</c:v>
                </c:pt>
                <c:pt idx="22">
                  <c:v>0.998</c:v>
                </c:pt>
                <c:pt idx="23">
                  <c:v>0.998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6C-4251-B284-CA0596157FA1}"/>
            </c:ext>
          </c:extLst>
        </c:ser>
        <c:ser>
          <c:idx val="4"/>
          <c:order val="4"/>
          <c:tx>
            <c:strRef>
              <c:f>'Mobility NF'!$F$2</c:f>
              <c:strCache>
                <c:ptCount val="1"/>
                <c:pt idx="0">
                  <c:v>Run 5</c:v>
                </c:pt>
              </c:strCache>
            </c:strRef>
          </c:tx>
          <c:spPr>
            <a:ln w="19050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NF'!$A$3:$A$29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'Mobility NF'!$F$3:$F$29</c:f>
              <c:numCache>
                <c:formatCode>General</c:formatCode>
                <c:ptCount val="27"/>
                <c:pt idx="0">
                  <c:v>1</c:v>
                </c:pt>
                <c:pt idx="1">
                  <c:v>0.99719999999999998</c:v>
                </c:pt>
                <c:pt idx="2">
                  <c:v>0.99719999999999998</c:v>
                </c:pt>
                <c:pt idx="3">
                  <c:v>0.99760000000000004</c:v>
                </c:pt>
                <c:pt idx="4">
                  <c:v>0.998</c:v>
                </c:pt>
                <c:pt idx="5">
                  <c:v>0.998</c:v>
                </c:pt>
                <c:pt idx="6">
                  <c:v>0.998</c:v>
                </c:pt>
                <c:pt idx="7">
                  <c:v>0.998</c:v>
                </c:pt>
                <c:pt idx="8">
                  <c:v>0.99719999999999998</c:v>
                </c:pt>
                <c:pt idx="9">
                  <c:v>0.998</c:v>
                </c:pt>
                <c:pt idx="10">
                  <c:v>0.99439999999999995</c:v>
                </c:pt>
                <c:pt idx="11">
                  <c:v>0.99760000000000004</c:v>
                </c:pt>
                <c:pt idx="12">
                  <c:v>0.996</c:v>
                </c:pt>
                <c:pt idx="13">
                  <c:v>0.99839999999999995</c:v>
                </c:pt>
                <c:pt idx="14">
                  <c:v>0.99760000000000004</c:v>
                </c:pt>
                <c:pt idx="15">
                  <c:v>0.998</c:v>
                </c:pt>
                <c:pt idx="16">
                  <c:v>0.99839999999999995</c:v>
                </c:pt>
                <c:pt idx="17">
                  <c:v>0.99760000000000004</c:v>
                </c:pt>
                <c:pt idx="18">
                  <c:v>0.998</c:v>
                </c:pt>
                <c:pt idx="19">
                  <c:v>0.99760000000000004</c:v>
                </c:pt>
                <c:pt idx="20">
                  <c:v>0.99439999999999995</c:v>
                </c:pt>
                <c:pt idx="21">
                  <c:v>0.998</c:v>
                </c:pt>
                <c:pt idx="22">
                  <c:v>0.996</c:v>
                </c:pt>
                <c:pt idx="23">
                  <c:v>0.99519999999999997</c:v>
                </c:pt>
                <c:pt idx="24">
                  <c:v>0.996</c:v>
                </c:pt>
                <c:pt idx="25">
                  <c:v>0.99519999999999997</c:v>
                </c:pt>
                <c:pt idx="26">
                  <c:v>0.99919999999999998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6C-4251-B284-CA0596157FA1}"/>
            </c:ext>
          </c:extLst>
        </c:ser>
        <c:ser>
          <c:idx val="5"/>
          <c:order val="5"/>
          <c:tx>
            <c:strRef>
              <c:f>'Mobility NF'!$G$2</c:f>
              <c:strCache>
                <c:ptCount val="1"/>
                <c:pt idx="0">
                  <c:v>Run 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'Mobility NF'!$A$3:$A$29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'Mobility NF'!$G$3:$G$29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0.99960000000000004</c:v>
                </c:pt>
                <c:pt idx="3">
                  <c:v>1</c:v>
                </c:pt>
                <c:pt idx="4">
                  <c:v>0.99960000000000004</c:v>
                </c:pt>
                <c:pt idx="5">
                  <c:v>1</c:v>
                </c:pt>
                <c:pt idx="6">
                  <c:v>1</c:v>
                </c:pt>
                <c:pt idx="7">
                  <c:v>0.99960000000000004</c:v>
                </c:pt>
                <c:pt idx="8">
                  <c:v>1</c:v>
                </c:pt>
                <c:pt idx="9">
                  <c:v>1</c:v>
                </c:pt>
                <c:pt idx="10">
                  <c:v>0.99960000000000004</c:v>
                </c:pt>
                <c:pt idx="11">
                  <c:v>0.99960000000000004</c:v>
                </c:pt>
                <c:pt idx="12">
                  <c:v>1</c:v>
                </c:pt>
                <c:pt idx="13">
                  <c:v>0.99960000000000004</c:v>
                </c:pt>
                <c:pt idx="14">
                  <c:v>0.99960000000000004</c:v>
                </c:pt>
                <c:pt idx="15">
                  <c:v>1</c:v>
                </c:pt>
                <c:pt idx="16">
                  <c:v>1</c:v>
                </c:pt>
                <c:pt idx="17">
                  <c:v>0.99960000000000004</c:v>
                </c:pt>
                <c:pt idx="18">
                  <c:v>1</c:v>
                </c:pt>
                <c:pt idx="19">
                  <c:v>0.99960000000000004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0.99960000000000004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16C-4251-B284-CA0596157FA1}"/>
            </c:ext>
          </c:extLst>
        </c:ser>
        <c:ser>
          <c:idx val="6"/>
          <c:order val="6"/>
          <c:tx>
            <c:strRef>
              <c:f>'Mobility NF'!$H$2</c:f>
              <c:strCache>
                <c:ptCount val="1"/>
                <c:pt idx="0">
                  <c:v>Run 7</c:v>
                </c:pt>
              </c:strCache>
            </c:strRef>
          </c:tx>
          <c:spPr>
            <a:ln w="19050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NF'!$A$3:$A$29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'Mobility NF'!$H$3:$H$29</c:f>
              <c:numCache>
                <c:formatCode>General</c:formatCode>
                <c:ptCount val="27"/>
                <c:pt idx="0">
                  <c:v>1</c:v>
                </c:pt>
                <c:pt idx="1">
                  <c:v>0.99960000000000004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0.99960000000000004</c:v>
                </c:pt>
                <c:pt idx="7">
                  <c:v>1</c:v>
                </c:pt>
                <c:pt idx="8">
                  <c:v>1</c:v>
                </c:pt>
                <c:pt idx="9">
                  <c:v>0.99960000000000004</c:v>
                </c:pt>
                <c:pt idx="10">
                  <c:v>1</c:v>
                </c:pt>
                <c:pt idx="11">
                  <c:v>0.99960000000000004</c:v>
                </c:pt>
                <c:pt idx="12">
                  <c:v>0.99960000000000004</c:v>
                </c:pt>
                <c:pt idx="13">
                  <c:v>0.99960000000000004</c:v>
                </c:pt>
                <c:pt idx="14">
                  <c:v>0.99960000000000004</c:v>
                </c:pt>
                <c:pt idx="15">
                  <c:v>0.99960000000000004</c:v>
                </c:pt>
                <c:pt idx="16">
                  <c:v>1</c:v>
                </c:pt>
                <c:pt idx="17">
                  <c:v>0.99960000000000004</c:v>
                </c:pt>
                <c:pt idx="18">
                  <c:v>0.99960000000000004</c:v>
                </c:pt>
                <c:pt idx="19">
                  <c:v>1</c:v>
                </c:pt>
                <c:pt idx="20">
                  <c:v>0.99960000000000004</c:v>
                </c:pt>
                <c:pt idx="21">
                  <c:v>0.99960000000000004</c:v>
                </c:pt>
                <c:pt idx="22">
                  <c:v>1</c:v>
                </c:pt>
                <c:pt idx="23">
                  <c:v>0.99960000000000004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16C-4251-B284-CA0596157FA1}"/>
            </c:ext>
          </c:extLst>
        </c:ser>
        <c:ser>
          <c:idx val="7"/>
          <c:order val="7"/>
          <c:tx>
            <c:strRef>
              <c:f>'Mobility NF'!$I$2</c:f>
              <c:strCache>
                <c:ptCount val="1"/>
                <c:pt idx="0">
                  <c:v>Run 8</c:v>
                </c:pt>
              </c:strCache>
            </c:strRef>
          </c:tx>
          <c:spPr>
            <a:ln w="19050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NF'!$A$3:$A$29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'Mobility NF'!$I$3:$I$29</c:f>
              <c:numCache>
                <c:formatCode>General</c:formatCode>
                <c:ptCount val="27"/>
                <c:pt idx="0">
                  <c:v>1</c:v>
                </c:pt>
                <c:pt idx="1">
                  <c:v>0.99560000000000004</c:v>
                </c:pt>
                <c:pt idx="2">
                  <c:v>0.99480000000000002</c:v>
                </c:pt>
                <c:pt idx="3">
                  <c:v>0.99519999999999997</c:v>
                </c:pt>
                <c:pt idx="4">
                  <c:v>0.996</c:v>
                </c:pt>
                <c:pt idx="5">
                  <c:v>0.99399999999999999</c:v>
                </c:pt>
                <c:pt idx="6">
                  <c:v>0.996</c:v>
                </c:pt>
                <c:pt idx="7">
                  <c:v>0.99719999999999998</c:v>
                </c:pt>
                <c:pt idx="8">
                  <c:v>0.996</c:v>
                </c:pt>
                <c:pt idx="9">
                  <c:v>0.99680000000000002</c:v>
                </c:pt>
                <c:pt idx="10">
                  <c:v>0.99519999999999997</c:v>
                </c:pt>
                <c:pt idx="11">
                  <c:v>0.99680000000000002</c:v>
                </c:pt>
                <c:pt idx="12">
                  <c:v>0.996</c:v>
                </c:pt>
                <c:pt idx="13">
                  <c:v>0.99560000000000004</c:v>
                </c:pt>
                <c:pt idx="14">
                  <c:v>0.99560000000000004</c:v>
                </c:pt>
                <c:pt idx="15">
                  <c:v>0.99560000000000004</c:v>
                </c:pt>
                <c:pt idx="16">
                  <c:v>0.99519999999999997</c:v>
                </c:pt>
                <c:pt idx="17">
                  <c:v>0.996</c:v>
                </c:pt>
                <c:pt idx="18">
                  <c:v>0.99439999999999995</c:v>
                </c:pt>
                <c:pt idx="19">
                  <c:v>0.99760000000000004</c:v>
                </c:pt>
                <c:pt idx="20">
                  <c:v>0.99680000000000002</c:v>
                </c:pt>
                <c:pt idx="21">
                  <c:v>0.996</c:v>
                </c:pt>
                <c:pt idx="22">
                  <c:v>0.99519999999999997</c:v>
                </c:pt>
                <c:pt idx="23">
                  <c:v>0.99560000000000004</c:v>
                </c:pt>
                <c:pt idx="24">
                  <c:v>0.99560000000000004</c:v>
                </c:pt>
                <c:pt idx="25">
                  <c:v>0.99519999999999997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16C-4251-B284-CA0596157FA1}"/>
            </c:ext>
          </c:extLst>
        </c:ser>
        <c:ser>
          <c:idx val="8"/>
          <c:order val="8"/>
          <c:tx>
            <c:strRef>
              <c:f>'Mobility NF'!$J$2</c:f>
              <c:strCache>
                <c:ptCount val="1"/>
                <c:pt idx="0">
                  <c:v>Run 9</c:v>
                </c:pt>
              </c:strCache>
            </c:strRef>
          </c:tx>
          <c:spPr>
            <a:ln w="19050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NF'!$A$3:$A$29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'Mobility NF'!$J$3:$J$29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0.99960000000000004</c:v>
                </c:pt>
                <c:pt idx="3">
                  <c:v>0.99960000000000004</c:v>
                </c:pt>
                <c:pt idx="4">
                  <c:v>0.99960000000000004</c:v>
                </c:pt>
                <c:pt idx="5">
                  <c:v>0.99960000000000004</c:v>
                </c:pt>
                <c:pt idx="6">
                  <c:v>1</c:v>
                </c:pt>
                <c:pt idx="7">
                  <c:v>0.99960000000000004</c:v>
                </c:pt>
                <c:pt idx="8">
                  <c:v>0.99960000000000004</c:v>
                </c:pt>
                <c:pt idx="9">
                  <c:v>0.99960000000000004</c:v>
                </c:pt>
                <c:pt idx="10">
                  <c:v>1</c:v>
                </c:pt>
                <c:pt idx="11">
                  <c:v>0.99960000000000004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0.99960000000000004</c:v>
                </c:pt>
                <c:pt idx="16">
                  <c:v>1</c:v>
                </c:pt>
                <c:pt idx="17">
                  <c:v>1</c:v>
                </c:pt>
                <c:pt idx="18">
                  <c:v>0.99960000000000004</c:v>
                </c:pt>
                <c:pt idx="19">
                  <c:v>0.99960000000000004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0.99960000000000004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16C-4251-B284-CA0596157FA1}"/>
            </c:ext>
          </c:extLst>
        </c:ser>
        <c:ser>
          <c:idx val="9"/>
          <c:order val="9"/>
          <c:tx>
            <c:strRef>
              <c:f>'Mobility NF'!$K$2</c:f>
              <c:strCache>
                <c:ptCount val="1"/>
                <c:pt idx="0">
                  <c:v>Run 10</c:v>
                </c:pt>
              </c:strCache>
            </c:strRef>
          </c:tx>
          <c:spPr>
            <a:ln w="19050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NF'!$A$3:$A$29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'Mobility NF'!$K$3:$K$29</c:f>
              <c:numCache>
                <c:formatCode>General</c:formatCode>
                <c:ptCount val="27"/>
                <c:pt idx="0">
                  <c:v>1</c:v>
                </c:pt>
                <c:pt idx="1">
                  <c:v>0.99919999999999998</c:v>
                </c:pt>
                <c:pt idx="2">
                  <c:v>0.99960000000000004</c:v>
                </c:pt>
                <c:pt idx="3">
                  <c:v>1</c:v>
                </c:pt>
                <c:pt idx="4">
                  <c:v>0.99639999999999995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0.998</c:v>
                </c:pt>
                <c:pt idx="10">
                  <c:v>0.99960000000000004</c:v>
                </c:pt>
                <c:pt idx="11">
                  <c:v>1</c:v>
                </c:pt>
                <c:pt idx="12">
                  <c:v>0.998</c:v>
                </c:pt>
                <c:pt idx="13">
                  <c:v>0.99960000000000004</c:v>
                </c:pt>
                <c:pt idx="14">
                  <c:v>1</c:v>
                </c:pt>
                <c:pt idx="15">
                  <c:v>0.99960000000000004</c:v>
                </c:pt>
                <c:pt idx="16">
                  <c:v>0.99719999999999998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16C-4251-B284-CA0596157FA1}"/>
            </c:ext>
          </c:extLst>
        </c:ser>
        <c:ser>
          <c:idx val="10"/>
          <c:order val="10"/>
          <c:tx>
            <c:strRef>
              <c:f>'Mobility NF'!$L$2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'Mobility NF'!$A$3:$A$29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'Mobility NF'!$L$3:$L$29</c:f>
              <c:numCache>
                <c:formatCode>General</c:formatCode>
                <c:ptCount val="27"/>
                <c:pt idx="0">
                  <c:v>1</c:v>
                </c:pt>
                <c:pt idx="1">
                  <c:v>0.99872000000000016</c:v>
                </c:pt>
                <c:pt idx="2">
                  <c:v>0.99860000000000004</c:v>
                </c:pt>
                <c:pt idx="3">
                  <c:v>0.99879999999999991</c:v>
                </c:pt>
                <c:pt idx="4">
                  <c:v>0.99847999999999981</c:v>
                </c:pt>
                <c:pt idx="5">
                  <c:v>0.99863999999999997</c:v>
                </c:pt>
                <c:pt idx="6">
                  <c:v>0.99879999999999991</c:v>
                </c:pt>
                <c:pt idx="7">
                  <c:v>0.99896000000000007</c:v>
                </c:pt>
                <c:pt idx="8">
                  <c:v>0.99872000000000016</c:v>
                </c:pt>
                <c:pt idx="9">
                  <c:v>0.99868000000000001</c:v>
                </c:pt>
                <c:pt idx="10">
                  <c:v>0.99835999999999991</c:v>
                </c:pt>
                <c:pt idx="11">
                  <c:v>0.99880000000000013</c:v>
                </c:pt>
                <c:pt idx="12">
                  <c:v>0.99843999999999988</c:v>
                </c:pt>
                <c:pt idx="13">
                  <c:v>0.99876000000000009</c:v>
                </c:pt>
                <c:pt idx="14">
                  <c:v>0.99876000000000009</c:v>
                </c:pt>
                <c:pt idx="15">
                  <c:v>0.99868000000000023</c:v>
                </c:pt>
                <c:pt idx="16">
                  <c:v>0.99855999999999978</c:v>
                </c:pt>
                <c:pt idx="17">
                  <c:v>0.99872000000000016</c:v>
                </c:pt>
                <c:pt idx="18">
                  <c:v>0.99863999999999997</c:v>
                </c:pt>
                <c:pt idx="19">
                  <c:v>0.99892000000000003</c:v>
                </c:pt>
                <c:pt idx="20">
                  <c:v>0.99831999999999999</c:v>
                </c:pt>
                <c:pt idx="21">
                  <c:v>0.99884000000000006</c:v>
                </c:pt>
                <c:pt idx="22">
                  <c:v>0.99856000000000011</c:v>
                </c:pt>
                <c:pt idx="23">
                  <c:v>0.99844000000000011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16C-4251-B284-CA0596157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90784"/>
        <c:axId val="1318262624"/>
      </c:scatterChart>
      <c:valAx>
        <c:axId val="107739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62624"/>
        <c:crosses val="autoZero"/>
        <c:crossBetween val="midCat"/>
      </c:valAx>
      <c:valAx>
        <c:axId val="1318262624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0784"/>
        <c:crosses val="autoZero"/>
        <c:crossBetween val="midCat"/>
        <c:majorUnit val="0.2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'Mobility SF'!$B$2</c:f>
              <c:strCache>
                <c:ptCount val="1"/>
                <c:pt idx="0">
                  <c:v>Run 1</c:v>
                </c:pt>
              </c:strCache>
            </c:strRef>
          </c:tx>
          <c:spPr>
            <a:ln w="19050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'Mobility SF'!$B$3:$B$37</c:f>
              <c:numCache>
                <c:formatCode>General</c:formatCode>
                <c:ptCount val="35"/>
                <c:pt idx="0">
                  <c:v>1</c:v>
                </c:pt>
                <c:pt idx="1">
                  <c:v>0.99960000000000004</c:v>
                </c:pt>
                <c:pt idx="2">
                  <c:v>1</c:v>
                </c:pt>
                <c:pt idx="3">
                  <c:v>0.99639999999999995</c:v>
                </c:pt>
                <c:pt idx="4">
                  <c:v>0.98799999999999999</c:v>
                </c:pt>
                <c:pt idx="5">
                  <c:v>0.97719999999999996</c:v>
                </c:pt>
                <c:pt idx="6">
                  <c:v>0.95520000000000005</c:v>
                </c:pt>
                <c:pt idx="7">
                  <c:v>0.9304</c:v>
                </c:pt>
                <c:pt idx="8">
                  <c:v>0.88119999999999998</c:v>
                </c:pt>
                <c:pt idx="9">
                  <c:v>0.82</c:v>
                </c:pt>
                <c:pt idx="10">
                  <c:v>0.74199999999999999</c:v>
                </c:pt>
                <c:pt idx="11">
                  <c:v>0.66639999999999999</c:v>
                </c:pt>
                <c:pt idx="12">
                  <c:v>0.59799999999999998</c:v>
                </c:pt>
                <c:pt idx="13">
                  <c:v>0.52</c:v>
                </c:pt>
                <c:pt idx="14">
                  <c:v>0.48199999999999998</c:v>
                </c:pt>
                <c:pt idx="15">
                  <c:v>0.44800000000000001</c:v>
                </c:pt>
                <c:pt idx="16">
                  <c:v>0.44640000000000002</c:v>
                </c:pt>
                <c:pt idx="17">
                  <c:v>0.49280000000000002</c:v>
                </c:pt>
                <c:pt idx="18">
                  <c:v>0.5504</c:v>
                </c:pt>
                <c:pt idx="19">
                  <c:v>0.65439999999999998</c:v>
                </c:pt>
                <c:pt idx="20">
                  <c:v>0.74319999999999997</c:v>
                </c:pt>
                <c:pt idx="21">
                  <c:v>0.82479999999999998</c:v>
                </c:pt>
                <c:pt idx="22">
                  <c:v>0.89680000000000004</c:v>
                </c:pt>
                <c:pt idx="23">
                  <c:v>0.93320000000000003</c:v>
                </c:pt>
                <c:pt idx="24">
                  <c:v>0.96160000000000001</c:v>
                </c:pt>
                <c:pt idx="25">
                  <c:v>0.9788</c:v>
                </c:pt>
                <c:pt idx="26">
                  <c:v>0.98919999999999997</c:v>
                </c:pt>
                <c:pt idx="27">
                  <c:v>0.99360000000000004</c:v>
                </c:pt>
                <c:pt idx="28">
                  <c:v>0.99360000000000004</c:v>
                </c:pt>
                <c:pt idx="29">
                  <c:v>0.99239999999999995</c:v>
                </c:pt>
                <c:pt idx="30">
                  <c:v>0.99280000000000002</c:v>
                </c:pt>
                <c:pt idx="31">
                  <c:v>0.99880000000000002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04-4260-B44B-F44BF39B4801}"/>
            </c:ext>
          </c:extLst>
        </c:ser>
        <c:ser>
          <c:idx val="1"/>
          <c:order val="1"/>
          <c:tx>
            <c:strRef>
              <c:f>'Mobility SF'!$C$2</c:f>
              <c:strCache>
                <c:ptCount val="1"/>
                <c:pt idx="0">
                  <c:v>Run 2</c:v>
                </c:pt>
              </c:strCache>
            </c:strRef>
          </c:tx>
          <c:spPr>
            <a:ln w="19050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'Mobility SF'!$C$3:$C$37</c:f>
              <c:numCache>
                <c:formatCode>General</c:formatCode>
                <c:ptCount val="35"/>
                <c:pt idx="0">
                  <c:v>1</c:v>
                </c:pt>
                <c:pt idx="1">
                  <c:v>0.99919999999999998</c:v>
                </c:pt>
                <c:pt idx="2">
                  <c:v>1</c:v>
                </c:pt>
                <c:pt idx="3">
                  <c:v>0.99680000000000002</c:v>
                </c:pt>
                <c:pt idx="4">
                  <c:v>0.99080000000000001</c:v>
                </c:pt>
                <c:pt idx="5">
                  <c:v>0.97640000000000005</c:v>
                </c:pt>
                <c:pt idx="6">
                  <c:v>0.96799999999999997</c:v>
                </c:pt>
                <c:pt idx="7">
                  <c:v>0.95040000000000002</c:v>
                </c:pt>
                <c:pt idx="8">
                  <c:v>0.92720000000000002</c:v>
                </c:pt>
                <c:pt idx="9">
                  <c:v>0.91679999999999995</c:v>
                </c:pt>
                <c:pt idx="10">
                  <c:v>0.87160000000000004</c:v>
                </c:pt>
                <c:pt idx="11">
                  <c:v>0.82320000000000004</c:v>
                </c:pt>
                <c:pt idx="12">
                  <c:v>0.75839999999999996</c:v>
                </c:pt>
                <c:pt idx="13">
                  <c:v>0.6744</c:v>
                </c:pt>
                <c:pt idx="14">
                  <c:v>0.6028</c:v>
                </c:pt>
                <c:pt idx="15">
                  <c:v>0.52159999999999995</c:v>
                </c:pt>
                <c:pt idx="16">
                  <c:v>0.45600000000000002</c:v>
                </c:pt>
                <c:pt idx="17">
                  <c:v>0.43640000000000001</c:v>
                </c:pt>
                <c:pt idx="18">
                  <c:v>0.4456</c:v>
                </c:pt>
                <c:pt idx="19">
                  <c:v>0.49880000000000002</c:v>
                </c:pt>
                <c:pt idx="20">
                  <c:v>0.58520000000000005</c:v>
                </c:pt>
                <c:pt idx="21">
                  <c:v>0.67479999999999996</c:v>
                </c:pt>
                <c:pt idx="22">
                  <c:v>0.76119999999999999</c:v>
                </c:pt>
                <c:pt idx="23">
                  <c:v>0.85719999999999996</c:v>
                </c:pt>
                <c:pt idx="24">
                  <c:v>0.91279999999999994</c:v>
                </c:pt>
                <c:pt idx="25">
                  <c:v>0.94520000000000004</c:v>
                </c:pt>
                <c:pt idx="26">
                  <c:v>0.96960000000000002</c:v>
                </c:pt>
                <c:pt idx="27">
                  <c:v>0.98280000000000001</c:v>
                </c:pt>
                <c:pt idx="28">
                  <c:v>0.98560000000000003</c:v>
                </c:pt>
                <c:pt idx="29">
                  <c:v>0.99760000000000004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04-4260-B44B-F44BF39B4801}"/>
            </c:ext>
          </c:extLst>
        </c:ser>
        <c:ser>
          <c:idx val="2"/>
          <c:order val="2"/>
          <c:tx>
            <c:strRef>
              <c:f>'Mobility SF'!$D$2</c:f>
              <c:strCache>
                <c:ptCount val="1"/>
                <c:pt idx="0">
                  <c:v>Run 3</c:v>
                </c:pt>
              </c:strCache>
            </c:strRef>
          </c:tx>
          <c:spPr>
            <a:ln w="19050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'Mobility SF'!$D$3:$D$37</c:f>
              <c:numCache>
                <c:formatCode>General</c:formatCode>
                <c:ptCount val="35"/>
                <c:pt idx="0">
                  <c:v>1</c:v>
                </c:pt>
                <c:pt idx="1">
                  <c:v>0.99919999999999998</c:v>
                </c:pt>
                <c:pt idx="2">
                  <c:v>0.99960000000000004</c:v>
                </c:pt>
                <c:pt idx="3">
                  <c:v>0.99519999999999997</c:v>
                </c:pt>
                <c:pt idx="4">
                  <c:v>0.98960000000000004</c:v>
                </c:pt>
                <c:pt idx="5">
                  <c:v>0.98760000000000003</c:v>
                </c:pt>
                <c:pt idx="6">
                  <c:v>0.97440000000000004</c:v>
                </c:pt>
                <c:pt idx="7">
                  <c:v>0.96760000000000002</c:v>
                </c:pt>
                <c:pt idx="8">
                  <c:v>0.95</c:v>
                </c:pt>
                <c:pt idx="9">
                  <c:v>0.91439999999999999</c:v>
                </c:pt>
                <c:pt idx="10">
                  <c:v>0.88639999999999997</c:v>
                </c:pt>
                <c:pt idx="11">
                  <c:v>0.84319999999999995</c:v>
                </c:pt>
                <c:pt idx="12">
                  <c:v>0.78320000000000001</c:v>
                </c:pt>
                <c:pt idx="13">
                  <c:v>0.71599999999999997</c:v>
                </c:pt>
                <c:pt idx="14">
                  <c:v>0.6512</c:v>
                </c:pt>
                <c:pt idx="15">
                  <c:v>0.56999999999999995</c:v>
                </c:pt>
                <c:pt idx="16">
                  <c:v>0.50719999999999998</c:v>
                </c:pt>
                <c:pt idx="17">
                  <c:v>0.46439999999999998</c:v>
                </c:pt>
                <c:pt idx="18">
                  <c:v>0.442</c:v>
                </c:pt>
                <c:pt idx="19">
                  <c:v>0.47720000000000001</c:v>
                </c:pt>
                <c:pt idx="20">
                  <c:v>0.54479999999999995</c:v>
                </c:pt>
                <c:pt idx="21">
                  <c:v>0.63400000000000001</c:v>
                </c:pt>
                <c:pt idx="22">
                  <c:v>0.72719999999999996</c:v>
                </c:pt>
                <c:pt idx="23">
                  <c:v>0.80800000000000005</c:v>
                </c:pt>
                <c:pt idx="24">
                  <c:v>0.86480000000000001</c:v>
                </c:pt>
                <c:pt idx="25">
                  <c:v>0.91600000000000004</c:v>
                </c:pt>
                <c:pt idx="26">
                  <c:v>0.94240000000000002</c:v>
                </c:pt>
                <c:pt idx="27">
                  <c:v>0.95799999999999996</c:v>
                </c:pt>
                <c:pt idx="28">
                  <c:v>0.97960000000000003</c:v>
                </c:pt>
                <c:pt idx="29">
                  <c:v>0.98760000000000003</c:v>
                </c:pt>
                <c:pt idx="30">
                  <c:v>0.99360000000000004</c:v>
                </c:pt>
                <c:pt idx="31">
                  <c:v>0.99639999999999995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04-4260-B44B-F44BF39B4801}"/>
            </c:ext>
          </c:extLst>
        </c:ser>
        <c:ser>
          <c:idx val="3"/>
          <c:order val="3"/>
          <c:tx>
            <c:strRef>
              <c:f>'Mobility SF'!$E$2</c:f>
              <c:strCache>
                <c:ptCount val="1"/>
                <c:pt idx="0">
                  <c:v>Run 4</c:v>
                </c:pt>
              </c:strCache>
            </c:strRef>
          </c:tx>
          <c:spPr>
            <a:ln w="19050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'Mobility SF'!$E$3:$E$37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0.99960000000000004</c:v>
                </c:pt>
                <c:pt idx="3">
                  <c:v>0.99639999999999995</c:v>
                </c:pt>
                <c:pt idx="4">
                  <c:v>0.99680000000000002</c:v>
                </c:pt>
                <c:pt idx="5">
                  <c:v>0.996</c:v>
                </c:pt>
                <c:pt idx="6">
                  <c:v>0.99560000000000004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04-4260-B44B-F44BF39B4801}"/>
            </c:ext>
          </c:extLst>
        </c:ser>
        <c:ser>
          <c:idx val="4"/>
          <c:order val="4"/>
          <c:tx>
            <c:strRef>
              <c:f>'Mobility SF'!$F$2</c:f>
              <c:strCache>
                <c:ptCount val="1"/>
                <c:pt idx="0">
                  <c:v>Run 5</c:v>
                </c:pt>
              </c:strCache>
            </c:strRef>
          </c:tx>
          <c:spPr>
            <a:ln w="19050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'Mobility SF'!$F$3:$F$37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0.99960000000000004</c:v>
                </c:pt>
                <c:pt idx="3">
                  <c:v>0.99560000000000004</c:v>
                </c:pt>
                <c:pt idx="4">
                  <c:v>0.99080000000000001</c:v>
                </c:pt>
                <c:pt idx="5">
                  <c:v>0.98240000000000005</c:v>
                </c:pt>
                <c:pt idx="6">
                  <c:v>0.96360000000000001</c:v>
                </c:pt>
                <c:pt idx="7">
                  <c:v>0.95399999999999996</c:v>
                </c:pt>
                <c:pt idx="8">
                  <c:v>0.9284</c:v>
                </c:pt>
                <c:pt idx="9">
                  <c:v>0.89280000000000004</c:v>
                </c:pt>
                <c:pt idx="10">
                  <c:v>0.83840000000000003</c:v>
                </c:pt>
                <c:pt idx="11">
                  <c:v>0.73960000000000004</c:v>
                </c:pt>
                <c:pt idx="12">
                  <c:v>0.64759999999999995</c:v>
                </c:pt>
                <c:pt idx="13">
                  <c:v>0.52559999999999996</c:v>
                </c:pt>
                <c:pt idx="14">
                  <c:v>0.44359999999999999</c:v>
                </c:pt>
                <c:pt idx="15">
                  <c:v>0.40279999999999999</c:v>
                </c:pt>
                <c:pt idx="16">
                  <c:v>0.39240000000000003</c:v>
                </c:pt>
                <c:pt idx="17">
                  <c:v>0.47120000000000001</c:v>
                </c:pt>
                <c:pt idx="18">
                  <c:v>0.55520000000000003</c:v>
                </c:pt>
                <c:pt idx="19">
                  <c:v>0.66920000000000002</c:v>
                </c:pt>
                <c:pt idx="20">
                  <c:v>0.78200000000000003</c:v>
                </c:pt>
                <c:pt idx="21">
                  <c:v>0.83079999999999998</c:v>
                </c:pt>
                <c:pt idx="22">
                  <c:v>0.89480000000000004</c:v>
                </c:pt>
                <c:pt idx="23">
                  <c:v>0.92120000000000002</c:v>
                </c:pt>
                <c:pt idx="24">
                  <c:v>0.94479999999999997</c:v>
                </c:pt>
                <c:pt idx="25">
                  <c:v>0.96399999999999997</c:v>
                </c:pt>
                <c:pt idx="26">
                  <c:v>0.97640000000000005</c:v>
                </c:pt>
                <c:pt idx="27">
                  <c:v>0.98599999999999999</c:v>
                </c:pt>
                <c:pt idx="28">
                  <c:v>0.99319999999999997</c:v>
                </c:pt>
                <c:pt idx="29">
                  <c:v>0.99719999999999998</c:v>
                </c:pt>
                <c:pt idx="30">
                  <c:v>0.99839999999999995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504-4260-B44B-F44BF39B4801}"/>
            </c:ext>
          </c:extLst>
        </c:ser>
        <c:ser>
          <c:idx val="5"/>
          <c:order val="5"/>
          <c:tx>
            <c:strRef>
              <c:f>'Mobility SF'!$G$2</c:f>
              <c:strCache>
                <c:ptCount val="1"/>
                <c:pt idx="0">
                  <c:v>Run 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'Mobility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'Mobility SF'!$G$3:$G$37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0.99639999999999995</c:v>
                </c:pt>
                <c:pt idx="4">
                  <c:v>0.99280000000000002</c:v>
                </c:pt>
                <c:pt idx="5">
                  <c:v>0.98399999999999999</c:v>
                </c:pt>
                <c:pt idx="6">
                  <c:v>0.96</c:v>
                </c:pt>
                <c:pt idx="7">
                  <c:v>0.94440000000000002</c:v>
                </c:pt>
                <c:pt idx="8">
                  <c:v>0.91600000000000004</c:v>
                </c:pt>
                <c:pt idx="9">
                  <c:v>0.87360000000000004</c:v>
                </c:pt>
                <c:pt idx="10">
                  <c:v>0.80759999999999998</c:v>
                </c:pt>
                <c:pt idx="11">
                  <c:v>0.72519999999999996</c:v>
                </c:pt>
                <c:pt idx="12">
                  <c:v>0.61760000000000004</c:v>
                </c:pt>
                <c:pt idx="13">
                  <c:v>0.5292</c:v>
                </c:pt>
                <c:pt idx="14">
                  <c:v>0.44400000000000001</c:v>
                </c:pt>
                <c:pt idx="15">
                  <c:v>0.36759999999999998</c:v>
                </c:pt>
                <c:pt idx="16">
                  <c:v>0.36799999999999999</c:v>
                </c:pt>
                <c:pt idx="17">
                  <c:v>0.39040000000000002</c:v>
                </c:pt>
                <c:pt idx="18">
                  <c:v>0.48880000000000001</c:v>
                </c:pt>
                <c:pt idx="19">
                  <c:v>0.62080000000000002</c:v>
                </c:pt>
                <c:pt idx="20">
                  <c:v>0.7268</c:v>
                </c:pt>
                <c:pt idx="21">
                  <c:v>0.82679999999999998</c:v>
                </c:pt>
                <c:pt idx="22">
                  <c:v>0.9052</c:v>
                </c:pt>
                <c:pt idx="23">
                  <c:v>0.94720000000000004</c:v>
                </c:pt>
                <c:pt idx="24">
                  <c:v>0.97560000000000002</c:v>
                </c:pt>
                <c:pt idx="25">
                  <c:v>0.99080000000000001</c:v>
                </c:pt>
                <c:pt idx="26">
                  <c:v>0.996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04-4260-B44B-F44BF39B4801}"/>
            </c:ext>
          </c:extLst>
        </c:ser>
        <c:ser>
          <c:idx val="6"/>
          <c:order val="6"/>
          <c:tx>
            <c:strRef>
              <c:f>'Mobility SF'!$H$2</c:f>
              <c:strCache>
                <c:ptCount val="1"/>
                <c:pt idx="0">
                  <c:v>Run 7</c:v>
                </c:pt>
              </c:strCache>
            </c:strRef>
          </c:tx>
          <c:spPr>
            <a:ln w="19050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'Mobility SF'!$H$3:$H$37</c:f>
              <c:numCache>
                <c:formatCode>General</c:formatCode>
                <c:ptCount val="35"/>
                <c:pt idx="0">
                  <c:v>1</c:v>
                </c:pt>
                <c:pt idx="1">
                  <c:v>0.99960000000000004</c:v>
                </c:pt>
                <c:pt idx="2">
                  <c:v>1</c:v>
                </c:pt>
                <c:pt idx="3">
                  <c:v>0.99480000000000002</c:v>
                </c:pt>
                <c:pt idx="4">
                  <c:v>0.99360000000000004</c:v>
                </c:pt>
                <c:pt idx="5">
                  <c:v>0.98560000000000003</c:v>
                </c:pt>
                <c:pt idx="6">
                  <c:v>0.97440000000000004</c:v>
                </c:pt>
                <c:pt idx="7">
                  <c:v>0.96479999999999999</c:v>
                </c:pt>
                <c:pt idx="8">
                  <c:v>0.94359999999999999</c:v>
                </c:pt>
                <c:pt idx="9">
                  <c:v>0.90080000000000005</c:v>
                </c:pt>
                <c:pt idx="10">
                  <c:v>0.83879999999999999</c:v>
                </c:pt>
                <c:pt idx="11">
                  <c:v>0.77280000000000004</c:v>
                </c:pt>
                <c:pt idx="12">
                  <c:v>0.67520000000000002</c:v>
                </c:pt>
                <c:pt idx="13">
                  <c:v>0.59079999999999999</c:v>
                </c:pt>
                <c:pt idx="14">
                  <c:v>0.50280000000000002</c:v>
                </c:pt>
                <c:pt idx="15">
                  <c:v>0.45400000000000001</c:v>
                </c:pt>
                <c:pt idx="16">
                  <c:v>0.42959999999999998</c:v>
                </c:pt>
                <c:pt idx="17">
                  <c:v>0.436</c:v>
                </c:pt>
                <c:pt idx="18">
                  <c:v>0.48959999999999998</c:v>
                </c:pt>
                <c:pt idx="19">
                  <c:v>0.55879999999999996</c:v>
                </c:pt>
                <c:pt idx="20">
                  <c:v>0.67</c:v>
                </c:pt>
                <c:pt idx="21">
                  <c:v>0.77559999999999996</c:v>
                </c:pt>
                <c:pt idx="22">
                  <c:v>0.85360000000000003</c:v>
                </c:pt>
                <c:pt idx="23">
                  <c:v>0.91439999999999999</c:v>
                </c:pt>
                <c:pt idx="24">
                  <c:v>0.94159999999999999</c:v>
                </c:pt>
                <c:pt idx="25">
                  <c:v>0.95760000000000001</c:v>
                </c:pt>
                <c:pt idx="26">
                  <c:v>0.97440000000000004</c:v>
                </c:pt>
                <c:pt idx="27">
                  <c:v>0.98319999999999996</c:v>
                </c:pt>
                <c:pt idx="28">
                  <c:v>0.98360000000000003</c:v>
                </c:pt>
                <c:pt idx="29">
                  <c:v>0.99080000000000001</c:v>
                </c:pt>
                <c:pt idx="30">
                  <c:v>0.99399999999999999</c:v>
                </c:pt>
                <c:pt idx="31">
                  <c:v>0.996</c:v>
                </c:pt>
                <c:pt idx="32">
                  <c:v>0.998</c:v>
                </c:pt>
                <c:pt idx="33">
                  <c:v>0.99839999999999995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504-4260-B44B-F44BF39B4801}"/>
            </c:ext>
          </c:extLst>
        </c:ser>
        <c:ser>
          <c:idx val="7"/>
          <c:order val="7"/>
          <c:tx>
            <c:strRef>
              <c:f>'Mobility SF'!$I$2</c:f>
              <c:strCache>
                <c:ptCount val="1"/>
                <c:pt idx="0">
                  <c:v>Run 8</c:v>
                </c:pt>
              </c:strCache>
            </c:strRef>
          </c:tx>
          <c:spPr>
            <a:ln w="19050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'Mobility SF'!$I$3:$I$37</c:f>
              <c:numCache>
                <c:formatCode>General</c:formatCode>
                <c:ptCount val="35"/>
                <c:pt idx="0">
                  <c:v>1</c:v>
                </c:pt>
                <c:pt idx="1">
                  <c:v>0.99960000000000004</c:v>
                </c:pt>
                <c:pt idx="2">
                  <c:v>1</c:v>
                </c:pt>
                <c:pt idx="3">
                  <c:v>0.99639999999999995</c:v>
                </c:pt>
                <c:pt idx="4">
                  <c:v>0.98719999999999997</c:v>
                </c:pt>
                <c:pt idx="5">
                  <c:v>0.97560000000000002</c:v>
                </c:pt>
                <c:pt idx="6">
                  <c:v>0.9556</c:v>
                </c:pt>
                <c:pt idx="7">
                  <c:v>0.92920000000000003</c:v>
                </c:pt>
                <c:pt idx="8">
                  <c:v>0.88919999999999999</c:v>
                </c:pt>
                <c:pt idx="9">
                  <c:v>0.81920000000000004</c:v>
                </c:pt>
                <c:pt idx="10">
                  <c:v>0.73</c:v>
                </c:pt>
                <c:pt idx="11">
                  <c:v>0.63239999999999996</c:v>
                </c:pt>
                <c:pt idx="12">
                  <c:v>0.53080000000000005</c:v>
                </c:pt>
                <c:pt idx="13">
                  <c:v>0.4556</c:v>
                </c:pt>
                <c:pt idx="14">
                  <c:v>0.40200000000000002</c:v>
                </c:pt>
                <c:pt idx="15">
                  <c:v>0.39040000000000002</c:v>
                </c:pt>
                <c:pt idx="16">
                  <c:v>0.42559999999999998</c:v>
                </c:pt>
                <c:pt idx="17">
                  <c:v>0.48</c:v>
                </c:pt>
                <c:pt idx="18">
                  <c:v>0.58479999999999999</c:v>
                </c:pt>
                <c:pt idx="19">
                  <c:v>0.70960000000000001</c:v>
                </c:pt>
                <c:pt idx="20">
                  <c:v>0.81559999999999999</c:v>
                </c:pt>
                <c:pt idx="21">
                  <c:v>0.91</c:v>
                </c:pt>
                <c:pt idx="22">
                  <c:v>0.95920000000000005</c:v>
                </c:pt>
                <c:pt idx="23">
                  <c:v>0.97199999999999998</c:v>
                </c:pt>
                <c:pt idx="24">
                  <c:v>0.98360000000000003</c:v>
                </c:pt>
                <c:pt idx="25">
                  <c:v>0.98519999999999996</c:v>
                </c:pt>
                <c:pt idx="26">
                  <c:v>0.99360000000000004</c:v>
                </c:pt>
                <c:pt idx="27">
                  <c:v>0.99</c:v>
                </c:pt>
                <c:pt idx="28">
                  <c:v>0.99360000000000004</c:v>
                </c:pt>
                <c:pt idx="29">
                  <c:v>0.99360000000000004</c:v>
                </c:pt>
                <c:pt idx="30">
                  <c:v>0.99680000000000002</c:v>
                </c:pt>
                <c:pt idx="31">
                  <c:v>0.99719999999999998</c:v>
                </c:pt>
                <c:pt idx="32">
                  <c:v>0.99760000000000004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504-4260-B44B-F44BF39B4801}"/>
            </c:ext>
          </c:extLst>
        </c:ser>
        <c:ser>
          <c:idx val="8"/>
          <c:order val="8"/>
          <c:tx>
            <c:strRef>
              <c:f>'Mobility SF'!$J$2</c:f>
              <c:strCache>
                <c:ptCount val="1"/>
                <c:pt idx="0">
                  <c:v>Run 9</c:v>
                </c:pt>
              </c:strCache>
            </c:strRef>
          </c:tx>
          <c:spPr>
            <a:ln w="19050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'Mobility SF'!$J$3:$J$37</c:f>
              <c:numCache>
                <c:formatCode>General</c:formatCode>
                <c:ptCount val="35"/>
                <c:pt idx="0">
                  <c:v>1</c:v>
                </c:pt>
                <c:pt idx="1">
                  <c:v>0.99960000000000004</c:v>
                </c:pt>
                <c:pt idx="2">
                  <c:v>0.99960000000000004</c:v>
                </c:pt>
                <c:pt idx="3">
                  <c:v>0.99560000000000004</c:v>
                </c:pt>
                <c:pt idx="4">
                  <c:v>0.99199999999999999</c:v>
                </c:pt>
                <c:pt idx="5">
                  <c:v>0.97640000000000005</c:v>
                </c:pt>
                <c:pt idx="6">
                  <c:v>0.96799999999999997</c:v>
                </c:pt>
                <c:pt idx="7">
                  <c:v>0.95040000000000002</c:v>
                </c:pt>
                <c:pt idx="8">
                  <c:v>0.9264</c:v>
                </c:pt>
                <c:pt idx="9">
                  <c:v>0.91120000000000001</c:v>
                </c:pt>
                <c:pt idx="10">
                  <c:v>0.86680000000000001</c:v>
                </c:pt>
                <c:pt idx="11">
                  <c:v>0.8196</c:v>
                </c:pt>
                <c:pt idx="12">
                  <c:v>0.75</c:v>
                </c:pt>
                <c:pt idx="13">
                  <c:v>0.66839999999999999</c:v>
                </c:pt>
                <c:pt idx="14">
                  <c:v>0.59240000000000004</c:v>
                </c:pt>
                <c:pt idx="15">
                  <c:v>0.5</c:v>
                </c:pt>
                <c:pt idx="16">
                  <c:v>0.47160000000000002</c:v>
                </c:pt>
                <c:pt idx="17">
                  <c:v>0.45279999999999998</c:v>
                </c:pt>
                <c:pt idx="18">
                  <c:v>0.47920000000000001</c:v>
                </c:pt>
                <c:pt idx="19">
                  <c:v>0.54200000000000004</c:v>
                </c:pt>
                <c:pt idx="20">
                  <c:v>0.59279999999999999</c:v>
                </c:pt>
                <c:pt idx="21">
                  <c:v>0.68479999999999996</c:v>
                </c:pt>
                <c:pt idx="22">
                  <c:v>0.77080000000000004</c:v>
                </c:pt>
                <c:pt idx="23">
                  <c:v>0.85119999999999996</c:v>
                </c:pt>
                <c:pt idx="24">
                  <c:v>0.91800000000000004</c:v>
                </c:pt>
                <c:pt idx="25">
                  <c:v>0.95440000000000003</c:v>
                </c:pt>
                <c:pt idx="26">
                  <c:v>0.98480000000000001</c:v>
                </c:pt>
                <c:pt idx="27">
                  <c:v>0.99399999999999999</c:v>
                </c:pt>
                <c:pt idx="28">
                  <c:v>0.99719999999999998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504-4260-B44B-F44BF39B4801}"/>
            </c:ext>
          </c:extLst>
        </c:ser>
        <c:ser>
          <c:idx val="9"/>
          <c:order val="9"/>
          <c:tx>
            <c:strRef>
              <c:f>'Mobility SF'!$K$2</c:f>
              <c:strCache>
                <c:ptCount val="1"/>
                <c:pt idx="0">
                  <c:v>Run 10</c:v>
                </c:pt>
              </c:strCache>
            </c:strRef>
          </c:tx>
          <c:spPr>
            <a:ln w="19050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'Mobility SF'!$K$3:$K$37</c:f>
              <c:numCache>
                <c:formatCode>General</c:formatCode>
                <c:ptCount val="35"/>
                <c:pt idx="0">
                  <c:v>1</c:v>
                </c:pt>
                <c:pt idx="1">
                  <c:v>0.99960000000000004</c:v>
                </c:pt>
                <c:pt idx="2">
                  <c:v>0.99960000000000004</c:v>
                </c:pt>
                <c:pt idx="3">
                  <c:v>0.99560000000000004</c:v>
                </c:pt>
                <c:pt idx="4">
                  <c:v>0.99519999999999997</c:v>
                </c:pt>
                <c:pt idx="5">
                  <c:v>0.98599999999999999</c:v>
                </c:pt>
                <c:pt idx="6">
                  <c:v>0.98440000000000005</c:v>
                </c:pt>
                <c:pt idx="7">
                  <c:v>0.97599999999999998</c:v>
                </c:pt>
                <c:pt idx="8">
                  <c:v>0.95960000000000001</c:v>
                </c:pt>
                <c:pt idx="9">
                  <c:v>0.94279999999999997</c:v>
                </c:pt>
                <c:pt idx="10">
                  <c:v>0.92800000000000005</c:v>
                </c:pt>
                <c:pt idx="11">
                  <c:v>0.88839999999999997</c:v>
                </c:pt>
                <c:pt idx="12">
                  <c:v>0.84040000000000004</c:v>
                </c:pt>
                <c:pt idx="13">
                  <c:v>0.78759999999999997</c:v>
                </c:pt>
                <c:pt idx="14">
                  <c:v>0.70960000000000001</c:v>
                </c:pt>
                <c:pt idx="15">
                  <c:v>0.61639999999999995</c:v>
                </c:pt>
                <c:pt idx="16">
                  <c:v>0.51559999999999995</c:v>
                </c:pt>
                <c:pt idx="17">
                  <c:v>0.43359999999999999</c:v>
                </c:pt>
                <c:pt idx="18">
                  <c:v>0.39600000000000002</c:v>
                </c:pt>
                <c:pt idx="19">
                  <c:v>0.41120000000000001</c:v>
                </c:pt>
                <c:pt idx="20">
                  <c:v>0.4844</c:v>
                </c:pt>
                <c:pt idx="21">
                  <c:v>0.57999999999999996</c:v>
                </c:pt>
                <c:pt idx="22">
                  <c:v>0.7</c:v>
                </c:pt>
                <c:pt idx="23">
                  <c:v>0.80559999999999998</c:v>
                </c:pt>
                <c:pt idx="24">
                  <c:v>0.88080000000000003</c:v>
                </c:pt>
                <c:pt idx="25">
                  <c:v>0.93240000000000001</c:v>
                </c:pt>
                <c:pt idx="26">
                  <c:v>0.95040000000000002</c:v>
                </c:pt>
                <c:pt idx="27">
                  <c:v>0.96240000000000003</c:v>
                </c:pt>
                <c:pt idx="28">
                  <c:v>0.97960000000000003</c:v>
                </c:pt>
                <c:pt idx="29">
                  <c:v>0.98880000000000001</c:v>
                </c:pt>
                <c:pt idx="30">
                  <c:v>0.99280000000000002</c:v>
                </c:pt>
                <c:pt idx="31">
                  <c:v>0.99399999999999999</c:v>
                </c:pt>
                <c:pt idx="32">
                  <c:v>0.99519999999999997</c:v>
                </c:pt>
                <c:pt idx="33">
                  <c:v>0.99760000000000004</c:v>
                </c:pt>
                <c:pt idx="34">
                  <c:v>0.998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504-4260-B44B-F44BF39B4801}"/>
            </c:ext>
          </c:extLst>
        </c:ser>
        <c:ser>
          <c:idx val="10"/>
          <c:order val="10"/>
          <c:tx>
            <c:strRef>
              <c:f>'Mobility SF'!$L$2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'Mobility SF'!$A$3:$A$37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'Mobility SF'!$L$3:$L$37</c:f>
              <c:numCache>
                <c:formatCode>General</c:formatCode>
                <c:ptCount val="35"/>
                <c:pt idx="0">
                  <c:v>1</c:v>
                </c:pt>
                <c:pt idx="1">
                  <c:v>0.99964000000000008</c:v>
                </c:pt>
                <c:pt idx="2">
                  <c:v>0.99980000000000013</c:v>
                </c:pt>
                <c:pt idx="3">
                  <c:v>0.99591999999999969</c:v>
                </c:pt>
                <c:pt idx="4">
                  <c:v>0.99167999999999989</c:v>
                </c:pt>
                <c:pt idx="5">
                  <c:v>0.98272000000000015</c:v>
                </c:pt>
                <c:pt idx="6">
                  <c:v>0.96992000000000012</c:v>
                </c:pt>
                <c:pt idx="7">
                  <c:v>0.95672000000000001</c:v>
                </c:pt>
                <c:pt idx="8">
                  <c:v>0.93215999999999999</c:v>
                </c:pt>
                <c:pt idx="9">
                  <c:v>0.89915999999999996</c:v>
                </c:pt>
                <c:pt idx="10">
                  <c:v>0.85096000000000005</c:v>
                </c:pt>
                <c:pt idx="11">
                  <c:v>0.79108000000000001</c:v>
                </c:pt>
                <c:pt idx="12">
                  <c:v>0.72011999999999998</c:v>
                </c:pt>
                <c:pt idx="13">
                  <c:v>0.64676</c:v>
                </c:pt>
                <c:pt idx="14">
                  <c:v>0.58303999999999989</c:v>
                </c:pt>
                <c:pt idx="15">
                  <c:v>0.52707999999999999</c:v>
                </c:pt>
                <c:pt idx="16">
                  <c:v>0.50124000000000002</c:v>
                </c:pt>
                <c:pt idx="17">
                  <c:v>0.5057600000000001</c:v>
                </c:pt>
                <c:pt idx="18">
                  <c:v>0.54315999999999998</c:v>
                </c:pt>
                <c:pt idx="19">
                  <c:v>0.61419999999999997</c:v>
                </c:pt>
                <c:pt idx="20">
                  <c:v>0.69447999999999999</c:v>
                </c:pt>
                <c:pt idx="21">
                  <c:v>0.77415999999999996</c:v>
                </c:pt>
                <c:pt idx="22">
                  <c:v>0.84687999999999997</c:v>
                </c:pt>
                <c:pt idx="23">
                  <c:v>0.90100000000000002</c:v>
                </c:pt>
                <c:pt idx="24">
                  <c:v>0.93836000000000008</c:v>
                </c:pt>
                <c:pt idx="25">
                  <c:v>0.96243999999999996</c:v>
                </c:pt>
                <c:pt idx="26">
                  <c:v>0.97767999999999999</c:v>
                </c:pt>
                <c:pt idx="27">
                  <c:v>0.9850000000000001</c:v>
                </c:pt>
                <c:pt idx="28">
                  <c:v>0.99059999999999993</c:v>
                </c:pt>
                <c:pt idx="29">
                  <c:v>0.99479999999999991</c:v>
                </c:pt>
                <c:pt idx="30">
                  <c:v>0.99684000000000006</c:v>
                </c:pt>
                <c:pt idx="31">
                  <c:v>0.99824000000000024</c:v>
                </c:pt>
                <c:pt idx="32">
                  <c:v>0.99907999999999997</c:v>
                </c:pt>
                <c:pt idx="33">
                  <c:v>0.99960000000000004</c:v>
                </c:pt>
                <c:pt idx="34">
                  <c:v>0.99979999999999991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504-4260-B44B-F44BF39B4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90784"/>
        <c:axId val="1318262624"/>
      </c:scatterChart>
      <c:valAx>
        <c:axId val="107739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62624"/>
        <c:crosses val="autoZero"/>
        <c:crossBetween val="midCat"/>
      </c:valAx>
      <c:valAx>
        <c:axId val="131826262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0784"/>
        <c:crosses val="autoZero"/>
        <c:crossBetween val="midCat"/>
        <c:majorUnit val="0.2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'Mobility FF'!$B$2</c:f>
              <c:strCache>
                <c:ptCount val="1"/>
                <c:pt idx="0">
                  <c:v>Run 1</c:v>
                </c:pt>
              </c:strCache>
            </c:strRef>
          </c:tx>
          <c:spPr>
            <a:ln w="19050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'Mobility FF'!$B$3:$B$200</c:f>
              <c:numCache>
                <c:formatCode>General</c:formatCode>
                <c:ptCount val="198"/>
                <c:pt idx="0">
                  <c:v>1</c:v>
                </c:pt>
                <c:pt idx="1">
                  <c:v>0.99639999999999995</c:v>
                </c:pt>
                <c:pt idx="2">
                  <c:v>0.99519999999999997</c:v>
                </c:pt>
                <c:pt idx="3">
                  <c:v>0.998</c:v>
                </c:pt>
                <c:pt idx="4">
                  <c:v>0.61</c:v>
                </c:pt>
                <c:pt idx="5">
                  <c:v>0.59519999999999995</c:v>
                </c:pt>
                <c:pt idx="6">
                  <c:v>0.50719999999999998</c:v>
                </c:pt>
                <c:pt idx="7">
                  <c:v>0.43719999999999998</c:v>
                </c:pt>
                <c:pt idx="8">
                  <c:v>0.20680000000000001</c:v>
                </c:pt>
                <c:pt idx="9">
                  <c:v>0.1196</c:v>
                </c:pt>
                <c:pt idx="10">
                  <c:v>0.26240000000000002</c:v>
                </c:pt>
                <c:pt idx="11">
                  <c:v>0.2</c:v>
                </c:pt>
                <c:pt idx="12">
                  <c:v>0.1948</c:v>
                </c:pt>
                <c:pt idx="13">
                  <c:v>0.28760000000000002</c:v>
                </c:pt>
                <c:pt idx="14">
                  <c:v>0.2984</c:v>
                </c:pt>
                <c:pt idx="15">
                  <c:v>0.58479999999999999</c:v>
                </c:pt>
                <c:pt idx="16">
                  <c:v>0.51559999999999995</c:v>
                </c:pt>
                <c:pt idx="17">
                  <c:v>0.54239999999999999</c:v>
                </c:pt>
                <c:pt idx="18">
                  <c:v>0.44679999999999997</c:v>
                </c:pt>
                <c:pt idx="19">
                  <c:v>0.50960000000000005</c:v>
                </c:pt>
                <c:pt idx="20">
                  <c:v>0.71879999999999999</c:v>
                </c:pt>
                <c:pt idx="21">
                  <c:v>0.31280000000000002</c:v>
                </c:pt>
                <c:pt idx="22">
                  <c:v>0.51680000000000004</c:v>
                </c:pt>
                <c:pt idx="23">
                  <c:v>0.12839999999999999</c:v>
                </c:pt>
                <c:pt idx="24">
                  <c:v>0.12959999999999999</c:v>
                </c:pt>
                <c:pt idx="25">
                  <c:v>0.43480000000000002</c:v>
                </c:pt>
                <c:pt idx="26">
                  <c:v>0.48920000000000002</c:v>
                </c:pt>
                <c:pt idx="27">
                  <c:v>0.63039999999999996</c:v>
                </c:pt>
                <c:pt idx="28">
                  <c:v>0.98799999999999999</c:v>
                </c:pt>
                <c:pt idx="29">
                  <c:v>0.61439999999999995</c:v>
                </c:pt>
                <c:pt idx="30">
                  <c:v>0.996</c:v>
                </c:pt>
                <c:pt idx="31">
                  <c:v>0.63959999999999995</c:v>
                </c:pt>
                <c:pt idx="32">
                  <c:v>0.31359999999999999</c:v>
                </c:pt>
                <c:pt idx="33">
                  <c:v>0.52559999999999996</c:v>
                </c:pt>
                <c:pt idx="34">
                  <c:v>0.55520000000000003</c:v>
                </c:pt>
                <c:pt idx="35">
                  <c:v>0.57799999999999996</c:v>
                </c:pt>
                <c:pt idx="36">
                  <c:v>0.61880000000000002</c:v>
                </c:pt>
                <c:pt idx="37">
                  <c:v>0.61919999999999997</c:v>
                </c:pt>
                <c:pt idx="38">
                  <c:v>0.61040000000000005</c:v>
                </c:pt>
                <c:pt idx="39">
                  <c:v>0.60360000000000003</c:v>
                </c:pt>
                <c:pt idx="40">
                  <c:v>0.61560000000000004</c:v>
                </c:pt>
                <c:pt idx="41">
                  <c:v>0.64680000000000004</c:v>
                </c:pt>
                <c:pt idx="42">
                  <c:v>0.58399999999999996</c:v>
                </c:pt>
                <c:pt idx="43">
                  <c:v>0.59040000000000004</c:v>
                </c:pt>
                <c:pt idx="44">
                  <c:v>0.60760000000000003</c:v>
                </c:pt>
                <c:pt idx="45">
                  <c:v>0.60799999999999998</c:v>
                </c:pt>
                <c:pt idx="46">
                  <c:v>0.64119999999999999</c:v>
                </c:pt>
                <c:pt idx="47">
                  <c:v>0.99560000000000004</c:v>
                </c:pt>
                <c:pt idx="48">
                  <c:v>0.99719999999999998</c:v>
                </c:pt>
                <c:pt idx="49">
                  <c:v>0.99719999999999998</c:v>
                </c:pt>
                <c:pt idx="50">
                  <c:v>0.64880000000000004</c:v>
                </c:pt>
                <c:pt idx="51">
                  <c:v>0.59560000000000002</c:v>
                </c:pt>
                <c:pt idx="52">
                  <c:v>0.51839999999999997</c:v>
                </c:pt>
                <c:pt idx="53">
                  <c:v>0.50600000000000001</c:v>
                </c:pt>
                <c:pt idx="54">
                  <c:v>0.30599999999999999</c:v>
                </c:pt>
                <c:pt idx="55">
                  <c:v>0.51439999999999997</c:v>
                </c:pt>
                <c:pt idx="56">
                  <c:v>0.29480000000000001</c:v>
                </c:pt>
                <c:pt idx="57">
                  <c:v>0.55800000000000005</c:v>
                </c:pt>
                <c:pt idx="58">
                  <c:v>0.62239999999999995</c:v>
                </c:pt>
                <c:pt idx="59">
                  <c:v>0.60319999999999996</c:v>
                </c:pt>
                <c:pt idx="60">
                  <c:v>0.99080000000000001</c:v>
                </c:pt>
                <c:pt idx="61">
                  <c:v>0.60519999999999996</c:v>
                </c:pt>
                <c:pt idx="62">
                  <c:v>0.61799999999999999</c:v>
                </c:pt>
                <c:pt idx="63">
                  <c:v>0.64400000000000002</c:v>
                </c:pt>
                <c:pt idx="64">
                  <c:v>0.51719999999999999</c:v>
                </c:pt>
                <c:pt idx="65">
                  <c:v>0.59119999999999995</c:v>
                </c:pt>
                <c:pt idx="66">
                  <c:v>0.61560000000000004</c:v>
                </c:pt>
                <c:pt idx="67">
                  <c:v>0.6048</c:v>
                </c:pt>
                <c:pt idx="68">
                  <c:v>0.56759999999999999</c:v>
                </c:pt>
                <c:pt idx="69">
                  <c:v>0.32079999999999997</c:v>
                </c:pt>
                <c:pt idx="70">
                  <c:v>0.624</c:v>
                </c:pt>
                <c:pt idx="71">
                  <c:v>0.64559999999999995</c:v>
                </c:pt>
                <c:pt idx="72">
                  <c:v>0.60440000000000005</c:v>
                </c:pt>
                <c:pt idx="73">
                  <c:v>0.65920000000000001</c:v>
                </c:pt>
                <c:pt idx="74">
                  <c:v>0.98880000000000001</c:v>
                </c:pt>
                <c:pt idx="75">
                  <c:v>0.99719999999999998</c:v>
                </c:pt>
                <c:pt idx="76">
                  <c:v>0.99760000000000004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0A-4ED9-9E0E-3497E4F909F5}"/>
            </c:ext>
          </c:extLst>
        </c:ser>
        <c:ser>
          <c:idx val="1"/>
          <c:order val="1"/>
          <c:tx>
            <c:strRef>
              <c:f>'Mobility FF'!$C$2</c:f>
              <c:strCache>
                <c:ptCount val="1"/>
                <c:pt idx="0">
                  <c:v>Run 2</c:v>
                </c:pt>
              </c:strCache>
            </c:strRef>
          </c:tx>
          <c:spPr>
            <a:ln w="19050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'Mobility FF'!$C$3:$C$200</c:f>
              <c:numCache>
                <c:formatCode>General</c:formatCode>
                <c:ptCount val="198"/>
                <c:pt idx="0">
                  <c:v>1</c:v>
                </c:pt>
                <c:pt idx="1">
                  <c:v>0.99280000000000002</c:v>
                </c:pt>
                <c:pt idx="2">
                  <c:v>0.99199999999999999</c:v>
                </c:pt>
                <c:pt idx="3">
                  <c:v>0.996</c:v>
                </c:pt>
                <c:pt idx="4">
                  <c:v>0.63360000000000005</c:v>
                </c:pt>
                <c:pt idx="5">
                  <c:v>0.64959999999999996</c:v>
                </c:pt>
                <c:pt idx="6">
                  <c:v>0.63119999999999998</c:v>
                </c:pt>
                <c:pt idx="7">
                  <c:v>0.70799999999999996</c:v>
                </c:pt>
                <c:pt idx="8">
                  <c:v>0.2112</c:v>
                </c:pt>
                <c:pt idx="9">
                  <c:v>0.14599999999999999</c:v>
                </c:pt>
                <c:pt idx="10">
                  <c:v>0.27639999999999998</c:v>
                </c:pt>
                <c:pt idx="11">
                  <c:v>7.9600000000000004E-2</c:v>
                </c:pt>
                <c:pt idx="12">
                  <c:v>0.54800000000000004</c:v>
                </c:pt>
                <c:pt idx="13">
                  <c:v>0.60440000000000005</c:v>
                </c:pt>
                <c:pt idx="14">
                  <c:v>0.63600000000000001</c:v>
                </c:pt>
                <c:pt idx="15">
                  <c:v>0.61399999999999999</c:v>
                </c:pt>
                <c:pt idx="16">
                  <c:v>0.63480000000000003</c:v>
                </c:pt>
                <c:pt idx="17">
                  <c:v>0.57640000000000002</c:v>
                </c:pt>
                <c:pt idx="18">
                  <c:v>0.32040000000000002</c:v>
                </c:pt>
                <c:pt idx="19">
                  <c:v>0.32840000000000003</c:v>
                </c:pt>
                <c:pt idx="20">
                  <c:v>0.50039999999999996</c:v>
                </c:pt>
                <c:pt idx="21">
                  <c:v>0.496</c:v>
                </c:pt>
                <c:pt idx="22">
                  <c:v>0.49640000000000001</c:v>
                </c:pt>
                <c:pt idx="23">
                  <c:v>0.31840000000000002</c:v>
                </c:pt>
                <c:pt idx="24">
                  <c:v>0.55120000000000002</c:v>
                </c:pt>
                <c:pt idx="25">
                  <c:v>0.65</c:v>
                </c:pt>
                <c:pt idx="26">
                  <c:v>0.60040000000000004</c:v>
                </c:pt>
                <c:pt idx="27">
                  <c:v>0.61919999999999997</c:v>
                </c:pt>
                <c:pt idx="28">
                  <c:v>0.64159999999999995</c:v>
                </c:pt>
                <c:pt idx="29">
                  <c:v>0.54520000000000002</c:v>
                </c:pt>
                <c:pt idx="30">
                  <c:v>0.47760000000000002</c:v>
                </c:pt>
                <c:pt idx="31">
                  <c:v>0.43959999999999999</c:v>
                </c:pt>
                <c:pt idx="32">
                  <c:v>0.21</c:v>
                </c:pt>
                <c:pt idx="33">
                  <c:v>0.30919999999999997</c:v>
                </c:pt>
                <c:pt idx="34">
                  <c:v>0.52800000000000002</c:v>
                </c:pt>
                <c:pt idx="35">
                  <c:v>0.61919999999999997</c:v>
                </c:pt>
                <c:pt idx="36">
                  <c:v>0.61839999999999995</c:v>
                </c:pt>
                <c:pt idx="37">
                  <c:v>0.64839999999999998</c:v>
                </c:pt>
                <c:pt idx="38">
                  <c:v>0.6008</c:v>
                </c:pt>
                <c:pt idx="39">
                  <c:v>0.56000000000000005</c:v>
                </c:pt>
                <c:pt idx="40">
                  <c:v>0.64759999999999995</c:v>
                </c:pt>
                <c:pt idx="41">
                  <c:v>0.61880000000000002</c:v>
                </c:pt>
                <c:pt idx="42">
                  <c:v>0.54679999999999995</c:v>
                </c:pt>
                <c:pt idx="43">
                  <c:v>0.50080000000000002</c:v>
                </c:pt>
                <c:pt idx="44">
                  <c:v>0.48199999999999998</c:v>
                </c:pt>
                <c:pt idx="45">
                  <c:v>0.49640000000000001</c:v>
                </c:pt>
                <c:pt idx="46">
                  <c:v>0.44800000000000001</c:v>
                </c:pt>
                <c:pt idx="47">
                  <c:v>0.4824</c:v>
                </c:pt>
                <c:pt idx="48">
                  <c:v>0.47960000000000003</c:v>
                </c:pt>
                <c:pt idx="49">
                  <c:v>0.54520000000000002</c:v>
                </c:pt>
                <c:pt idx="50">
                  <c:v>0.50119999999999998</c:v>
                </c:pt>
                <c:pt idx="51">
                  <c:v>0.33160000000000001</c:v>
                </c:pt>
                <c:pt idx="52">
                  <c:v>0.47720000000000001</c:v>
                </c:pt>
                <c:pt idx="53">
                  <c:v>0.60440000000000005</c:v>
                </c:pt>
                <c:pt idx="54">
                  <c:v>0.64280000000000004</c:v>
                </c:pt>
                <c:pt idx="55">
                  <c:v>0.63</c:v>
                </c:pt>
                <c:pt idx="56">
                  <c:v>0.6532</c:v>
                </c:pt>
                <c:pt idx="57">
                  <c:v>0.62639999999999996</c:v>
                </c:pt>
                <c:pt idx="58">
                  <c:v>0.61080000000000001</c:v>
                </c:pt>
                <c:pt idx="59">
                  <c:v>0.6472</c:v>
                </c:pt>
                <c:pt idx="60">
                  <c:v>0.33119999999999999</c:v>
                </c:pt>
                <c:pt idx="61">
                  <c:v>0.32200000000000001</c:v>
                </c:pt>
                <c:pt idx="62">
                  <c:v>0.63959999999999995</c:v>
                </c:pt>
                <c:pt idx="63">
                  <c:v>0.65239999999999998</c:v>
                </c:pt>
                <c:pt idx="64">
                  <c:v>0.98839999999999995</c:v>
                </c:pt>
                <c:pt idx="65">
                  <c:v>0.99519999999999997</c:v>
                </c:pt>
                <c:pt idx="66">
                  <c:v>0.99680000000000002</c:v>
                </c:pt>
                <c:pt idx="67">
                  <c:v>0.99080000000000001</c:v>
                </c:pt>
                <c:pt idx="68">
                  <c:v>0.64319999999999999</c:v>
                </c:pt>
                <c:pt idx="69">
                  <c:v>0.59079999999999999</c:v>
                </c:pt>
                <c:pt idx="70">
                  <c:v>0.59840000000000004</c:v>
                </c:pt>
                <c:pt idx="71">
                  <c:v>0.6472</c:v>
                </c:pt>
                <c:pt idx="72">
                  <c:v>0.64559999999999995</c:v>
                </c:pt>
                <c:pt idx="73">
                  <c:v>0.65559999999999996</c:v>
                </c:pt>
                <c:pt idx="74">
                  <c:v>0.99280000000000002</c:v>
                </c:pt>
                <c:pt idx="75">
                  <c:v>0.99160000000000004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0A-4ED9-9E0E-3497E4F909F5}"/>
            </c:ext>
          </c:extLst>
        </c:ser>
        <c:ser>
          <c:idx val="2"/>
          <c:order val="2"/>
          <c:tx>
            <c:strRef>
              <c:f>'Mobility FF'!$D$2</c:f>
              <c:strCache>
                <c:ptCount val="1"/>
                <c:pt idx="0">
                  <c:v>Run 3</c:v>
                </c:pt>
              </c:strCache>
            </c:strRef>
          </c:tx>
          <c:spPr>
            <a:ln w="19050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'Mobility FF'!$D$3:$D$200</c:f>
              <c:numCache>
                <c:formatCode>General</c:formatCode>
                <c:ptCount val="198"/>
                <c:pt idx="0">
                  <c:v>1</c:v>
                </c:pt>
                <c:pt idx="1">
                  <c:v>0.99039999999999995</c:v>
                </c:pt>
                <c:pt idx="2">
                  <c:v>0.98919999999999997</c:v>
                </c:pt>
                <c:pt idx="3">
                  <c:v>0.98880000000000001</c:v>
                </c:pt>
                <c:pt idx="4">
                  <c:v>0.60199999999999998</c:v>
                </c:pt>
                <c:pt idx="5">
                  <c:v>0.61599999999999999</c:v>
                </c:pt>
                <c:pt idx="6">
                  <c:v>0.28160000000000002</c:v>
                </c:pt>
                <c:pt idx="7">
                  <c:v>0.51039999999999996</c:v>
                </c:pt>
                <c:pt idx="8">
                  <c:v>0.5736</c:v>
                </c:pt>
                <c:pt idx="9">
                  <c:v>0.5716</c:v>
                </c:pt>
                <c:pt idx="10">
                  <c:v>0.51959999999999995</c:v>
                </c:pt>
                <c:pt idx="11">
                  <c:v>0.28799999999999998</c:v>
                </c:pt>
                <c:pt idx="12">
                  <c:v>0.42480000000000001</c:v>
                </c:pt>
                <c:pt idx="13">
                  <c:v>0.27960000000000002</c:v>
                </c:pt>
                <c:pt idx="14">
                  <c:v>0.1784</c:v>
                </c:pt>
                <c:pt idx="15">
                  <c:v>0.48720000000000002</c:v>
                </c:pt>
                <c:pt idx="16">
                  <c:v>0.69240000000000002</c:v>
                </c:pt>
                <c:pt idx="17">
                  <c:v>0.49440000000000001</c:v>
                </c:pt>
                <c:pt idx="18">
                  <c:v>0.54959999999999998</c:v>
                </c:pt>
                <c:pt idx="19">
                  <c:v>0.57440000000000002</c:v>
                </c:pt>
                <c:pt idx="20">
                  <c:v>0.2868</c:v>
                </c:pt>
                <c:pt idx="21">
                  <c:v>0.51759999999999995</c:v>
                </c:pt>
                <c:pt idx="22">
                  <c:v>0.48720000000000002</c:v>
                </c:pt>
                <c:pt idx="23">
                  <c:v>0.52239999999999998</c:v>
                </c:pt>
                <c:pt idx="24">
                  <c:v>0.28079999999999999</c:v>
                </c:pt>
                <c:pt idx="25">
                  <c:v>0.6008</c:v>
                </c:pt>
                <c:pt idx="26">
                  <c:v>0.61639999999999995</c:v>
                </c:pt>
                <c:pt idx="27">
                  <c:v>0.62319999999999998</c:v>
                </c:pt>
                <c:pt idx="28">
                  <c:v>0.57120000000000004</c:v>
                </c:pt>
                <c:pt idx="29">
                  <c:v>0.28160000000000002</c:v>
                </c:pt>
                <c:pt idx="30">
                  <c:v>0.61080000000000001</c:v>
                </c:pt>
                <c:pt idx="31">
                  <c:v>0.57799999999999996</c:v>
                </c:pt>
                <c:pt idx="32">
                  <c:v>0.2848</c:v>
                </c:pt>
                <c:pt idx="33">
                  <c:v>0.57679999999999998</c:v>
                </c:pt>
                <c:pt idx="34">
                  <c:v>0.57999999999999996</c:v>
                </c:pt>
                <c:pt idx="35">
                  <c:v>0.59279999999999999</c:v>
                </c:pt>
                <c:pt idx="36">
                  <c:v>0.98399999999999999</c:v>
                </c:pt>
                <c:pt idx="37">
                  <c:v>0.6008</c:v>
                </c:pt>
                <c:pt idx="38">
                  <c:v>0.98280000000000001</c:v>
                </c:pt>
                <c:pt idx="39">
                  <c:v>0.58799999999999997</c:v>
                </c:pt>
                <c:pt idx="40">
                  <c:v>0.59599999999999997</c:v>
                </c:pt>
                <c:pt idx="41">
                  <c:v>0.61719999999999997</c:v>
                </c:pt>
                <c:pt idx="42">
                  <c:v>0.61439999999999995</c:v>
                </c:pt>
                <c:pt idx="43">
                  <c:v>0.59519999999999995</c:v>
                </c:pt>
                <c:pt idx="44">
                  <c:v>0.60160000000000002</c:v>
                </c:pt>
                <c:pt idx="45">
                  <c:v>0.60440000000000005</c:v>
                </c:pt>
                <c:pt idx="46">
                  <c:v>0.59760000000000002</c:v>
                </c:pt>
                <c:pt idx="47">
                  <c:v>0.98040000000000005</c:v>
                </c:pt>
                <c:pt idx="48">
                  <c:v>0.61280000000000001</c:v>
                </c:pt>
                <c:pt idx="49">
                  <c:v>0.98680000000000001</c:v>
                </c:pt>
                <c:pt idx="50">
                  <c:v>0.98560000000000003</c:v>
                </c:pt>
                <c:pt idx="51">
                  <c:v>0.62519999999999998</c:v>
                </c:pt>
                <c:pt idx="52">
                  <c:v>0.98560000000000003</c:v>
                </c:pt>
                <c:pt idx="53">
                  <c:v>0.98760000000000003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0A-4ED9-9E0E-3497E4F909F5}"/>
            </c:ext>
          </c:extLst>
        </c:ser>
        <c:ser>
          <c:idx val="3"/>
          <c:order val="3"/>
          <c:tx>
            <c:strRef>
              <c:f>'Mobility FF'!$E$2</c:f>
              <c:strCache>
                <c:ptCount val="1"/>
                <c:pt idx="0">
                  <c:v>Run 4</c:v>
                </c:pt>
              </c:strCache>
            </c:strRef>
          </c:tx>
          <c:spPr>
            <a:ln w="19050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'Mobility FF'!$E$3:$E$200</c:f>
              <c:numCache>
                <c:formatCode>General</c:formatCode>
                <c:ptCount val="198"/>
                <c:pt idx="0">
                  <c:v>1</c:v>
                </c:pt>
                <c:pt idx="1">
                  <c:v>0.99560000000000004</c:v>
                </c:pt>
                <c:pt idx="2">
                  <c:v>0.99760000000000004</c:v>
                </c:pt>
                <c:pt idx="3">
                  <c:v>0.99639999999999995</c:v>
                </c:pt>
                <c:pt idx="4">
                  <c:v>0.62519999999999998</c:v>
                </c:pt>
                <c:pt idx="5">
                  <c:v>0.98960000000000004</c:v>
                </c:pt>
                <c:pt idx="6">
                  <c:v>0.58640000000000003</c:v>
                </c:pt>
                <c:pt idx="7">
                  <c:v>0.47039999999999998</c:v>
                </c:pt>
                <c:pt idx="8">
                  <c:v>0.5544</c:v>
                </c:pt>
                <c:pt idx="9">
                  <c:v>0.23480000000000001</c:v>
                </c:pt>
                <c:pt idx="10">
                  <c:v>0.1196</c:v>
                </c:pt>
                <c:pt idx="11">
                  <c:v>0.1132</c:v>
                </c:pt>
                <c:pt idx="12">
                  <c:v>0.252</c:v>
                </c:pt>
                <c:pt idx="13">
                  <c:v>0.19359999999999999</c:v>
                </c:pt>
                <c:pt idx="14">
                  <c:v>0.4844</c:v>
                </c:pt>
                <c:pt idx="15">
                  <c:v>0.55320000000000003</c:v>
                </c:pt>
                <c:pt idx="16">
                  <c:v>0.61199999999999999</c:v>
                </c:pt>
                <c:pt idx="17">
                  <c:v>0.64680000000000004</c:v>
                </c:pt>
                <c:pt idx="18">
                  <c:v>0.60760000000000003</c:v>
                </c:pt>
                <c:pt idx="19">
                  <c:v>0.57679999999999998</c:v>
                </c:pt>
                <c:pt idx="20">
                  <c:v>0.5232</c:v>
                </c:pt>
                <c:pt idx="21">
                  <c:v>0.56079999999999997</c:v>
                </c:pt>
                <c:pt idx="22">
                  <c:v>0.50080000000000002</c:v>
                </c:pt>
                <c:pt idx="23">
                  <c:v>0.49559999999999998</c:v>
                </c:pt>
                <c:pt idx="24">
                  <c:v>0.49159999999999998</c:v>
                </c:pt>
                <c:pt idx="25">
                  <c:v>0.4924</c:v>
                </c:pt>
                <c:pt idx="26">
                  <c:v>0.71279999999999999</c:v>
                </c:pt>
                <c:pt idx="27">
                  <c:v>0.56320000000000003</c:v>
                </c:pt>
                <c:pt idx="28">
                  <c:v>0.44119999999999998</c:v>
                </c:pt>
                <c:pt idx="29">
                  <c:v>0.55840000000000001</c:v>
                </c:pt>
                <c:pt idx="30">
                  <c:v>0.2828</c:v>
                </c:pt>
                <c:pt idx="31">
                  <c:v>0.29320000000000002</c:v>
                </c:pt>
                <c:pt idx="32">
                  <c:v>0.46879999999999999</c:v>
                </c:pt>
                <c:pt idx="33">
                  <c:v>0.1832</c:v>
                </c:pt>
                <c:pt idx="34">
                  <c:v>0.69440000000000002</c:v>
                </c:pt>
                <c:pt idx="35">
                  <c:v>0.43840000000000001</c:v>
                </c:pt>
                <c:pt idx="36">
                  <c:v>0.55879999999999996</c:v>
                </c:pt>
                <c:pt idx="37">
                  <c:v>0.27079999999999999</c:v>
                </c:pt>
                <c:pt idx="38">
                  <c:v>0.50760000000000005</c:v>
                </c:pt>
                <c:pt idx="39">
                  <c:v>0.26840000000000003</c:v>
                </c:pt>
                <c:pt idx="40">
                  <c:v>0.61599999999999999</c:v>
                </c:pt>
                <c:pt idx="41">
                  <c:v>0.98599999999999999</c:v>
                </c:pt>
                <c:pt idx="42">
                  <c:v>0.63239999999999996</c:v>
                </c:pt>
                <c:pt idx="43">
                  <c:v>0.99280000000000002</c:v>
                </c:pt>
                <c:pt idx="44">
                  <c:v>0.61360000000000003</c:v>
                </c:pt>
                <c:pt idx="45">
                  <c:v>0.62880000000000003</c:v>
                </c:pt>
                <c:pt idx="46">
                  <c:v>0.58040000000000003</c:v>
                </c:pt>
                <c:pt idx="47">
                  <c:v>0.29520000000000002</c:v>
                </c:pt>
                <c:pt idx="48">
                  <c:v>0.6008</c:v>
                </c:pt>
                <c:pt idx="49">
                  <c:v>0.52039999999999997</c:v>
                </c:pt>
                <c:pt idx="50">
                  <c:v>0.61199999999999999</c:v>
                </c:pt>
                <c:pt idx="51">
                  <c:v>0.61160000000000003</c:v>
                </c:pt>
                <c:pt idx="52">
                  <c:v>0.99</c:v>
                </c:pt>
                <c:pt idx="53">
                  <c:v>0.63439999999999996</c:v>
                </c:pt>
                <c:pt idx="54">
                  <c:v>0.62639999999999996</c:v>
                </c:pt>
                <c:pt idx="55">
                  <c:v>0.99839999999999995</c:v>
                </c:pt>
                <c:pt idx="56">
                  <c:v>0.624</c:v>
                </c:pt>
                <c:pt idx="57">
                  <c:v>0.63039999999999996</c:v>
                </c:pt>
                <c:pt idx="58">
                  <c:v>0.61280000000000001</c:v>
                </c:pt>
                <c:pt idx="59">
                  <c:v>0.29039999999999999</c:v>
                </c:pt>
                <c:pt idx="60">
                  <c:v>0.62119999999999997</c:v>
                </c:pt>
                <c:pt idx="61">
                  <c:v>0.27679999999999999</c:v>
                </c:pt>
                <c:pt idx="62">
                  <c:v>0.46439999999999998</c:v>
                </c:pt>
                <c:pt idx="63">
                  <c:v>0.27200000000000002</c:v>
                </c:pt>
                <c:pt idx="64">
                  <c:v>0.28239999999999998</c:v>
                </c:pt>
                <c:pt idx="65">
                  <c:v>0.61680000000000001</c:v>
                </c:pt>
                <c:pt idx="66">
                  <c:v>0.61040000000000005</c:v>
                </c:pt>
                <c:pt idx="67">
                  <c:v>0.99480000000000002</c:v>
                </c:pt>
                <c:pt idx="68">
                  <c:v>0.63639999999999997</c:v>
                </c:pt>
                <c:pt idx="69">
                  <c:v>0.62319999999999998</c:v>
                </c:pt>
                <c:pt idx="70">
                  <c:v>0.996</c:v>
                </c:pt>
                <c:pt idx="71">
                  <c:v>0.6452</c:v>
                </c:pt>
                <c:pt idx="72">
                  <c:v>0.63600000000000001</c:v>
                </c:pt>
                <c:pt idx="73">
                  <c:v>0.65080000000000005</c:v>
                </c:pt>
                <c:pt idx="74">
                  <c:v>0.63400000000000001</c:v>
                </c:pt>
                <c:pt idx="75">
                  <c:v>0.99319999999999997</c:v>
                </c:pt>
                <c:pt idx="76">
                  <c:v>0.996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0A-4ED9-9E0E-3497E4F909F5}"/>
            </c:ext>
          </c:extLst>
        </c:ser>
        <c:ser>
          <c:idx val="4"/>
          <c:order val="4"/>
          <c:tx>
            <c:strRef>
              <c:f>'Mobility FF'!$F$2</c:f>
              <c:strCache>
                <c:ptCount val="1"/>
                <c:pt idx="0">
                  <c:v>Run 5</c:v>
                </c:pt>
              </c:strCache>
            </c:strRef>
          </c:tx>
          <c:spPr>
            <a:ln w="19050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'Mobility FF'!$F$3:$F$200</c:f>
              <c:numCache>
                <c:formatCode>General</c:formatCode>
                <c:ptCount val="198"/>
                <c:pt idx="0">
                  <c:v>1</c:v>
                </c:pt>
                <c:pt idx="1">
                  <c:v>0.99360000000000004</c:v>
                </c:pt>
                <c:pt idx="2">
                  <c:v>0.99560000000000004</c:v>
                </c:pt>
                <c:pt idx="3">
                  <c:v>0.99199999999999999</c:v>
                </c:pt>
                <c:pt idx="4">
                  <c:v>0.622</c:v>
                </c:pt>
                <c:pt idx="5">
                  <c:v>0.62960000000000005</c:v>
                </c:pt>
                <c:pt idx="6">
                  <c:v>0.28720000000000001</c:v>
                </c:pt>
                <c:pt idx="7">
                  <c:v>0.55959999999999999</c:v>
                </c:pt>
                <c:pt idx="8">
                  <c:v>0.46560000000000001</c:v>
                </c:pt>
                <c:pt idx="9">
                  <c:v>0.7056</c:v>
                </c:pt>
                <c:pt idx="10">
                  <c:v>0.71640000000000004</c:v>
                </c:pt>
                <c:pt idx="11">
                  <c:v>0.4728</c:v>
                </c:pt>
                <c:pt idx="12">
                  <c:v>0.13439999999999999</c:v>
                </c:pt>
                <c:pt idx="13">
                  <c:v>0.1988</c:v>
                </c:pt>
                <c:pt idx="14">
                  <c:v>3.9199999999999999E-2</c:v>
                </c:pt>
                <c:pt idx="15">
                  <c:v>7.8E-2</c:v>
                </c:pt>
                <c:pt idx="16">
                  <c:v>0.5212</c:v>
                </c:pt>
                <c:pt idx="17">
                  <c:v>0.4456</c:v>
                </c:pt>
                <c:pt idx="18">
                  <c:v>0.59240000000000004</c:v>
                </c:pt>
                <c:pt idx="19">
                  <c:v>0.60640000000000005</c:v>
                </c:pt>
                <c:pt idx="20">
                  <c:v>0.60360000000000003</c:v>
                </c:pt>
                <c:pt idx="21">
                  <c:v>0.60799999999999998</c:v>
                </c:pt>
                <c:pt idx="22">
                  <c:v>0.2868</c:v>
                </c:pt>
                <c:pt idx="23">
                  <c:v>0.48959999999999998</c:v>
                </c:pt>
                <c:pt idx="24">
                  <c:v>0.47960000000000003</c:v>
                </c:pt>
                <c:pt idx="25">
                  <c:v>0.7268</c:v>
                </c:pt>
                <c:pt idx="26">
                  <c:v>0.26600000000000001</c:v>
                </c:pt>
                <c:pt idx="27">
                  <c:v>0.49280000000000002</c:v>
                </c:pt>
                <c:pt idx="28">
                  <c:v>0.58919999999999995</c:v>
                </c:pt>
                <c:pt idx="29">
                  <c:v>0.22559999999999999</c:v>
                </c:pt>
                <c:pt idx="30">
                  <c:v>0.60760000000000003</c:v>
                </c:pt>
                <c:pt idx="31">
                  <c:v>0.45879999999999999</c:v>
                </c:pt>
                <c:pt idx="32">
                  <c:v>0.58199999999999996</c:v>
                </c:pt>
                <c:pt idx="33">
                  <c:v>0.98960000000000004</c:v>
                </c:pt>
                <c:pt idx="34">
                  <c:v>0.62639999999999996</c:v>
                </c:pt>
                <c:pt idx="35">
                  <c:v>0.62360000000000004</c:v>
                </c:pt>
                <c:pt idx="36">
                  <c:v>0.60319999999999996</c:v>
                </c:pt>
                <c:pt idx="37">
                  <c:v>0.74760000000000004</c:v>
                </c:pt>
                <c:pt idx="38">
                  <c:v>0.61280000000000001</c:v>
                </c:pt>
                <c:pt idx="39">
                  <c:v>0.46</c:v>
                </c:pt>
                <c:pt idx="40">
                  <c:v>0.57840000000000003</c:v>
                </c:pt>
                <c:pt idx="41">
                  <c:v>0.48680000000000001</c:v>
                </c:pt>
                <c:pt idx="42">
                  <c:v>0.22639999999999999</c:v>
                </c:pt>
                <c:pt idx="43">
                  <c:v>0.58879999999999999</c:v>
                </c:pt>
                <c:pt idx="44">
                  <c:v>0.3352</c:v>
                </c:pt>
                <c:pt idx="45">
                  <c:v>0.59279999999999999</c:v>
                </c:pt>
                <c:pt idx="46">
                  <c:v>0.60160000000000002</c:v>
                </c:pt>
                <c:pt idx="47">
                  <c:v>0.60799999999999998</c:v>
                </c:pt>
                <c:pt idx="48">
                  <c:v>0.60519999999999996</c:v>
                </c:pt>
                <c:pt idx="49">
                  <c:v>0.63080000000000003</c:v>
                </c:pt>
                <c:pt idx="50">
                  <c:v>0.59640000000000004</c:v>
                </c:pt>
                <c:pt idx="51">
                  <c:v>0.98960000000000004</c:v>
                </c:pt>
                <c:pt idx="52">
                  <c:v>0.99119999999999997</c:v>
                </c:pt>
                <c:pt idx="53">
                  <c:v>0.99399999999999999</c:v>
                </c:pt>
                <c:pt idx="54">
                  <c:v>0.99280000000000002</c:v>
                </c:pt>
                <c:pt idx="55">
                  <c:v>0.99160000000000004</c:v>
                </c:pt>
                <c:pt idx="56">
                  <c:v>0.62880000000000003</c:v>
                </c:pt>
                <c:pt idx="57">
                  <c:v>0.60440000000000005</c:v>
                </c:pt>
                <c:pt idx="58">
                  <c:v>0.60760000000000003</c:v>
                </c:pt>
                <c:pt idx="59">
                  <c:v>0.28320000000000001</c:v>
                </c:pt>
                <c:pt idx="60">
                  <c:v>0.56279999999999997</c:v>
                </c:pt>
                <c:pt idx="61">
                  <c:v>0.5776</c:v>
                </c:pt>
                <c:pt idx="62">
                  <c:v>0.61480000000000001</c:v>
                </c:pt>
                <c:pt idx="63">
                  <c:v>0.98399999999999999</c:v>
                </c:pt>
                <c:pt idx="64">
                  <c:v>0.62319999999999998</c:v>
                </c:pt>
                <c:pt idx="65">
                  <c:v>0.98839999999999995</c:v>
                </c:pt>
                <c:pt idx="66">
                  <c:v>0.99</c:v>
                </c:pt>
                <c:pt idx="67">
                  <c:v>0.2964</c:v>
                </c:pt>
                <c:pt idx="68">
                  <c:v>0.60399999999999998</c:v>
                </c:pt>
                <c:pt idx="69">
                  <c:v>0.60160000000000002</c:v>
                </c:pt>
                <c:pt idx="70">
                  <c:v>0.60319999999999996</c:v>
                </c:pt>
                <c:pt idx="71">
                  <c:v>0.60560000000000003</c:v>
                </c:pt>
                <c:pt idx="72">
                  <c:v>0.626</c:v>
                </c:pt>
                <c:pt idx="73">
                  <c:v>0.63239999999999996</c:v>
                </c:pt>
                <c:pt idx="74">
                  <c:v>0.99319999999999997</c:v>
                </c:pt>
                <c:pt idx="75">
                  <c:v>0.62280000000000002</c:v>
                </c:pt>
                <c:pt idx="76">
                  <c:v>0.98960000000000004</c:v>
                </c:pt>
                <c:pt idx="77">
                  <c:v>0.61919999999999997</c:v>
                </c:pt>
                <c:pt idx="78">
                  <c:v>0.61719999999999997</c:v>
                </c:pt>
                <c:pt idx="79">
                  <c:v>0.61480000000000001</c:v>
                </c:pt>
                <c:pt idx="80">
                  <c:v>0.61439999999999995</c:v>
                </c:pt>
                <c:pt idx="81">
                  <c:v>0.58240000000000003</c:v>
                </c:pt>
                <c:pt idx="82">
                  <c:v>0.63400000000000001</c:v>
                </c:pt>
                <c:pt idx="83">
                  <c:v>0.61919999999999997</c:v>
                </c:pt>
                <c:pt idx="84">
                  <c:v>0.99280000000000002</c:v>
                </c:pt>
                <c:pt idx="85">
                  <c:v>0.99039999999999995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0A-4ED9-9E0E-3497E4F909F5}"/>
            </c:ext>
          </c:extLst>
        </c:ser>
        <c:ser>
          <c:idx val="5"/>
          <c:order val="5"/>
          <c:tx>
            <c:strRef>
              <c:f>'Mobility FF'!$G$2</c:f>
              <c:strCache>
                <c:ptCount val="1"/>
                <c:pt idx="0">
                  <c:v>Run 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'Mobility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'Mobility FF'!$G$3:$G$200</c:f>
              <c:numCache>
                <c:formatCode>General</c:formatCode>
                <c:ptCount val="198"/>
                <c:pt idx="0">
                  <c:v>1</c:v>
                </c:pt>
                <c:pt idx="1">
                  <c:v>0.99319999999999997</c:v>
                </c:pt>
                <c:pt idx="2">
                  <c:v>0.99399999999999999</c:v>
                </c:pt>
                <c:pt idx="3">
                  <c:v>0.99399999999999999</c:v>
                </c:pt>
                <c:pt idx="4">
                  <c:v>0.63119999999999998</c:v>
                </c:pt>
                <c:pt idx="5">
                  <c:v>0.98960000000000004</c:v>
                </c:pt>
                <c:pt idx="6">
                  <c:v>0.64359999999999995</c:v>
                </c:pt>
                <c:pt idx="7">
                  <c:v>0.63080000000000003</c:v>
                </c:pt>
                <c:pt idx="8">
                  <c:v>0.60840000000000005</c:v>
                </c:pt>
                <c:pt idx="9">
                  <c:v>0.4904</c:v>
                </c:pt>
                <c:pt idx="10">
                  <c:v>0.61719999999999997</c:v>
                </c:pt>
                <c:pt idx="11">
                  <c:v>0.68359999999999999</c:v>
                </c:pt>
                <c:pt idx="12">
                  <c:v>0.3372</c:v>
                </c:pt>
                <c:pt idx="13">
                  <c:v>0.21959999999999999</c:v>
                </c:pt>
                <c:pt idx="14">
                  <c:v>0.30680000000000002</c:v>
                </c:pt>
                <c:pt idx="15">
                  <c:v>0.15279999999999999</c:v>
                </c:pt>
                <c:pt idx="16">
                  <c:v>0.29599999999999999</c:v>
                </c:pt>
                <c:pt idx="17">
                  <c:v>0.46960000000000002</c:v>
                </c:pt>
                <c:pt idx="18">
                  <c:v>0.49280000000000002</c:v>
                </c:pt>
                <c:pt idx="19">
                  <c:v>0.5948</c:v>
                </c:pt>
                <c:pt idx="20">
                  <c:v>0.61080000000000001</c:v>
                </c:pt>
                <c:pt idx="21">
                  <c:v>0.63439999999999996</c:v>
                </c:pt>
                <c:pt idx="22">
                  <c:v>0.63959999999999995</c:v>
                </c:pt>
                <c:pt idx="23">
                  <c:v>0.63200000000000001</c:v>
                </c:pt>
                <c:pt idx="24">
                  <c:v>0.30320000000000003</c:v>
                </c:pt>
                <c:pt idx="25">
                  <c:v>0.30359999999999998</c:v>
                </c:pt>
                <c:pt idx="26">
                  <c:v>0.29480000000000001</c:v>
                </c:pt>
                <c:pt idx="27">
                  <c:v>0.29799999999999999</c:v>
                </c:pt>
                <c:pt idx="28">
                  <c:v>0.62960000000000005</c:v>
                </c:pt>
                <c:pt idx="29">
                  <c:v>0.64839999999999998</c:v>
                </c:pt>
                <c:pt idx="30">
                  <c:v>0.63439999999999996</c:v>
                </c:pt>
                <c:pt idx="31">
                  <c:v>0.62919999999999998</c:v>
                </c:pt>
                <c:pt idx="32">
                  <c:v>0.63039999999999996</c:v>
                </c:pt>
                <c:pt idx="33">
                  <c:v>0.63</c:v>
                </c:pt>
                <c:pt idx="34">
                  <c:v>0.63239999999999996</c:v>
                </c:pt>
                <c:pt idx="35">
                  <c:v>0.63680000000000003</c:v>
                </c:pt>
                <c:pt idx="36">
                  <c:v>0.66320000000000001</c:v>
                </c:pt>
                <c:pt idx="37">
                  <c:v>0.60680000000000001</c:v>
                </c:pt>
                <c:pt idx="38">
                  <c:v>0.628</c:v>
                </c:pt>
                <c:pt idx="39">
                  <c:v>0.64839999999999998</c:v>
                </c:pt>
                <c:pt idx="40">
                  <c:v>0.62439999999999996</c:v>
                </c:pt>
                <c:pt idx="41">
                  <c:v>0.62960000000000005</c:v>
                </c:pt>
                <c:pt idx="42">
                  <c:v>0.61399999999999999</c:v>
                </c:pt>
                <c:pt idx="43">
                  <c:v>0.63360000000000005</c:v>
                </c:pt>
                <c:pt idx="44">
                  <c:v>0.62880000000000003</c:v>
                </c:pt>
                <c:pt idx="45">
                  <c:v>0.60960000000000003</c:v>
                </c:pt>
                <c:pt idx="46">
                  <c:v>0.624</c:v>
                </c:pt>
                <c:pt idx="47">
                  <c:v>0.65600000000000003</c:v>
                </c:pt>
                <c:pt idx="48">
                  <c:v>0.62119999999999997</c:v>
                </c:pt>
                <c:pt idx="49">
                  <c:v>0.63039999999999996</c:v>
                </c:pt>
                <c:pt idx="50">
                  <c:v>0.62719999999999998</c:v>
                </c:pt>
                <c:pt idx="51">
                  <c:v>0.64280000000000004</c:v>
                </c:pt>
                <c:pt idx="52">
                  <c:v>0.624</c:v>
                </c:pt>
                <c:pt idx="53">
                  <c:v>0.29880000000000001</c:v>
                </c:pt>
                <c:pt idx="54">
                  <c:v>0.61560000000000004</c:v>
                </c:pt>
                <c:pt idx="55">
                  <c:v>0.30280000000000001</c:v>
                </c:pt>
                <c:pt idx="56">
                  <c:v>0.2928</c:v>
                </c:pt>
                <c:pt idx="57">
                  <c:v>0.64359999999999995</c:v>
                </c:pt>
                <c:pt idx="58">
                  <c:v>0.63639999999999997</c:v>
                </c:pt>
                <c:pt idx="59">
                  <c:v>0.62160000000000004</c:v>
                </c:pt>
                <c:pt idx="60">
                  <c:v>0.64</c:v>
                </c:pt>
                <c:pt idx="61">
                  <c:v>0.61799999999999999</c:v>
                </c:pt>
                <c:pt idx="62">
                  <c:v>0.63400000000000001</c:v>
                </c:pt>
                <c:pt idx="63">
                  <c:v>0.62639999999999996</c:v>
                </c:pt>
                <c:pt idx="64">
                  <c:v>0.61680000000000001</c:v>
                </c:pt>
                <c:pt idx="65">
                  <c:v>0.64280000000000004</c:v>
                </c:pt>
                <c:pt idx="66">
                  <c:v>0.64639999999999997</c:v>
                </c:pt>
                <c:pt idx="67">
                  <c:v>0.60040000000000004</c:v>
                </c:pt>
                <c:pt idx="68">
                  <c:v>0.61199999999999999</c:v>
                </c:pt>
                <c:pt idx="69">
                  <c:v>0.29399999999999998</c:v>
                </c:pt>
                <c:pt idx="70">
                  <c:v>0.64439999999999997</c:v>
                </c:pt>
                <c:pt idx="71">
                  <c:v>0.30399999999999999</c:v>
                </c:pt>
                <c:pt idx="72">
                  <c:v>0.30280000000000001</c:v>
                </c:pt>
                <c:pt idx="73">
                  <c:v>0.622</c:v>
                </c:pt>
                <c:pt idx="74">
                  <c:v>0.99360000000000004</c:v>
                </c:pt>
                <c:pt idx="75">
                  <c:v>0.65720000000000001</c:v>
                </c:pt>
                <c:pt idx="76">
                  <c:v>0.62319999999999998</c:v>
                </c:pt>
                <c:pt idx="77">
                  <c:v>0.64439999999999997</c:v>
                </c:pt>
                <c:pt idx="78">
                  <c:v>0.62439999999999996</c:v>
                </c:pt>
                <c:pt idx="79">
                  <c:v>0.63360000000000005</c:v>
                </c:pt>
                <c:pt idx="80">
                  <c:v>0.61719999999999997</c:v>
                </c:pt>
                <c:pt idx="81">
                  <c:v>0.62439999999999996</c:v>
                </c:pt>
                <c:pt idx="82">
                  <c:v>0.61839999999999995</c:v>
                </c:pt>
                <c:pt idx="83">
                  <c:v>0.61880000000000002</c:v>
                </c:pt>
                <c:pt idx="84">
                  <c:v>0.63439999999999996</c:v>
                </c:pt>
                <c:pt idx="85">
                  <c:v>0.99080000000000001</c:v>
                </c:pt>
                <c:pt idx="86">
                  <c:v>0.99199999999999999</c:v>
                </c:pt>
                <c:pt idx="87">
                  <c:v>0.99080000000000001</c:v>
                </c:pt>
                <c:pt idx="88">
                  <c:v>0.64</c:v>
                </c:pt>
                <c:pt idx="89">
                  <c:v>0.64400000000000002</c:v>
                </c:pt>
                <c:pt idx="90">
                  <c:v>0.61960000000000004</c:v>
                </c:pt>
                <c:pt idx="91">
                  <c:v>0.63839999999999997</c:v>
                </c:pt>
                <c:pt idx="92">
                  <c:v>0.62160000000000004</c:v>
                </c:pt>
                <c:pt idx="93">
                  <c:v>0.63319999999999999</c:v>
                </c:pt>
                <c:pt idx="94">
                  <c:v>0.99199999999999999</c:v>
                </c:pt>
                <c:pt idx="95">
                  <c:v>0.99680000000000002</c:v>
                </c:pt>
                <c:pt idx="96">
                  <c:v>0.99760000000000004</c:v>
                </c:pt>
                <c:pt idx="97">
                  <c:v>0.99719999999999998</c:v>
                </c:pt>
                <c:pt idx="98">
                  <c:v>0.63519999999999999</c:v>
                </c:pt>
                <c:pt idx="99">
                  <c:v>0.62080000000000002</c:v>
                </c:pt>
                <c:pt idx="100">
                  <c:v>0.63560000000000005</c:v>
                </c:pt>
                <c:pt idx="101">
                  <c:v>0.61599999999999999</c:v>
                </c:pt>
                <c:pt idx="102">
                  <c:v>0.99280000000000002</c:v>
                </c:pt>
                <c:pt idx="103">
                  <c:v>0.99039999999999995</c:v>
                </c:pt>
                <c:pt idx="104">
                  <c:v>0.99480000000000002</c:v>
                </c:pt>
                <c:pt idx="105">
                  <c:v>0.99160000000000004</c:v>
                </c:pt>
                <c:pt idx="106">
                  <c:v>0.63400000000000001</c:v>
                </c:pt>
                <c:pt idx="107">
                  <c:v>0.64</c:v>
                </c:pt>
                <c:pt idx="108">
                  <c:v>0.63959999999999995</c:v>
                </c:pt>
                <c:pt idx="109">
                  <c:v>0.64280000000000004</c:v>
                </c:pt>
                <c:pt idx="110">
                  <c:v>0.64439999999999997</c:v>
                </c:pt>
                <c:pt idx="111">
                  <c:v>0.64839999999999998</c:v>
                </c:pt>
                <c:pt idx="112">
                  <c:v>0.64439999999999997</c:v>
                </c:pt>
                <c:pt idx="113">
                  <c:v>0.64480000000000004</c:v>
                </c:pt>
                <c:pt idx="114">
                  <c:v>0.60719999999999996</c:v>
                </c:pt>
                <c:pt idx="115">
                  <c:v>0.61319999999999997</c:v>
                </c:pt>
                <c:pt idx="116">
                  <c:v>0.63400000000000001</c:v>
                </c:pt>
                <c:pt idx="117">
                  <c:v>0.30280000000000001</c:v>
                </c:pt>
                <c:pt idx="118">
                  <c:v>0.63</c:v>
                </c:pt>
                <c:pt idx="119">
                  <c:v>0.6452</c:v>
                </c:pt>
                <c:pt idx="120">
                  <c:v>0.63239999999999996</c:v>
                </c:pt>
                <c:pt idx="121">
                  <c:v>0.62960000000000005</c:v>
                </c:pt>
                <c:pt idx="122">
                  <c:v>0.98799999999999999</c:v>
                </c:pt>
                <c:pt idx="123">
                  <c:v>0.99639999999999995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F0A-4ED9-9E0E-3497E4F909F5}"/>
            </c:ext>
          </c:extLst>
        </c:ser>
        <c:ser>
          <c:idx val="6"/>
          <c:order val="6"/>
          <c:tx>
            <c:strRef>
              <c:f>'Mobility FF'!$H$2</c:f>
              <c:strCache>
                <c:ptCount val="1"/>
                <c:pt idx="0">
                  <c:v>Run 7</c:v>
                </c:pt>
              </c:strCache>
            </c:strRef>
          </c:tx>
          <c:spPr>
            <a:ln w="19050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'Mobility FF'!$H$3:$H$200</c:f>
              <c:numCache>
                <c:formatCode>General</c:formatCode>
                <c:ptCount val="198"/>
                <c:pt idx="0">
                  <c:v>1</c:v>
                </c:pt>
                <c:pt idx="1">
                  <c:v>0.98960000000000004</c:v>
                </c:pt>
                <c:pt idx="2">
                  <c:v>0.99280000000000002</c:v>
                </c:pt>
                <c:pt idx="3">
                  <c:v>0.99160000000000004</c:v>
                </c:pt>
                <c:pt idx="4">
                  <c:v>0.60319999999999996</c:v>
                </c:pt>
                <c:pt idx="5">
                  <c:v>0.64439999999999997</c:v>
                </c:pt>
                <c:pt idx="6">
                  <c:v>0.59279999999999999</c:v>
                </c:pt>
                <c:pt idx="7">
                  <c:v>0.3004</c:v>
                </c:pt>
                <c:pt idx="8">
                  <c:v>0.59040000000000004</c:v>
                </c:pt>
                <c:pt idx="9">
                  <c:v>0.58720000000000006</c:v>
                </c:pt>
                <c:pt idx="10">
                  <c:v>0.30280000000000001</c:v>
                </c:pt>
                <c:pt idx="11">
                  <c:v>0.57440000000000002</c:v>
                </c:pt>
                <c:pt idx="12">
                  <c:v>0.58079999999999998</c:v>
                </c:pt>
                <c:pt idx="13">
                  <c:v>0.50800000000000001</c:v>
                </c:pt>
                <c:pt idx="14">
                  <c:v>0.57240000000000002</c:v>
                </c:pt>
                <c:pt idx="15">
                  <c:v>0.56799999999999995</c:v>
                </c:pt>
                <c:pt idx="16">
                  <c:v>0.56399999999999995</c:v>
                </c:pt>
                <c:pt idx="17">
                  <c:v>0.54039999999999999</c:v>
                </c:pt>
                <c:pt idx="18">
                  <c:v>0.5252</c:v>
                </c:pt>
                <c:pt idx="19">
                  <c:v>0.30559999999999998</c:v>
                </c:pt>
                <c:pt idx="20">
                  <c:v>0.54920000000000002</c:v>
                </c:pt>
                <c:pt idx="21">
                  <c:v>0.5968</c:v>
                </c:pt>
                <c:pt idx="22">
                  <c:v>0.52359999999999995</c:v>
                </c:pt>
                <c:pt idx="23">
                  <c:v>0.29120000000000001</c:v>
                </c:pt>
                <c:pt idx="24">
                  <c:v>0.46400000000000002</c:v>
                </c:pt>
                <c:pt idx="25">
                  <c:v>0.69720000000000004</c:v>
                </c:pt>
                <c:pt idx="26">
                  <c:v>0.69599999999999995</c:v>
                </c:pt>
                <c:pt idx="27">
                  <c:v>0.55479999999999996</c:v>
                </c:pt>
                <c:pt idx="28">
                  <c:v>0.55400000000000005</c:v>
                </c:pt>
                <c:pt idx="29">
                  <c:v>0.29399999999999998</c:v>
                </c:pt>
                <c:pt idx="30">
                  <c:v>0.29920000000000002</c:v>
                </c:pt>
                <c:pt idx="31">
                  <c:v>0.2024</c:v>
                </c:pt>
                <c:pt idx="32">
                  <c:v>0.22159999999999999</c:v>
                </c:pt>
                <c:pt idx="33">
                  <c:v>0.1888</c:v>
                </c:pt>
                <c:pt idx="34">
                  <c:v>0.66439999999999999</c:v>
                </c:pt>
                <c:pt idx="35">
                  <c:v>0.4844</c:v>
                </c:pt>
                <c:pt idx="36">
                  <c:v>0.56679999999999997</c:v>
                </c:pt>
                <c:pt idx="37">
                  <c:v>0.2984</c:v>
                </c:pt>
                <c:pt idx="38">
                  <c:v>0.5756</c:v>
                </c:pt>
                <c:pt idx="39">
                  <c:v>0.56640000000000001</c:v>
                </c:pt>
                <c:pt idx="40">
                  <c:v>0.47960000000000003</c:v>
                </c:pt>
                <c:pt idx="41">
                  <c:v>0.52680000000000005</c:v>
                </c:pt>
                <c:pt idx="42">
                  <c:v>0.47720000000000001</c:v>
                </c:pt>
                <c:pt idx="43">
                  <c:v>0.54400000000000004</c:v>
                </c:pt>
                <c:pt idx="44">
                  <c:v>0.2944</c:v>
                </c:pt>
                <c:pt idx="45">
                  <c:v>0.2868</c:v>
                </c:pt>
                <c:pt idx="46">
                  <c:v>0.55320000000000003</c:v>
                </c:pt>
                <c:pt idx="47">
                  <c:v>0.53439999999999999</c:v>
                </c:pt>
                <c:pt idx="48">
                  <c:v>0.59760000000000002</c:v>
                </c:pt>
                <c:pt idx="49">
                  <c:v>0.65</c:v>
                </c:pt>
                <c:pt idx="50">
                  <c:v>0.58520000000000005</c:v>
                </c:pt>
                <c:pt idx="51">
                  <c:v>0.55120000000000002</c:v>
                </c:pt>
                <c:pt idx="52">
                  <c:v>0.64400000000000002</c:v>
                </c:pt>
                <c:pt idx="53">
                  <c:v>0.55959999999999999</c:v>
                </c:pt>
                <c:pt idx="54">
                  <c:v>0.98680000000000001</c:v>
                </c:pt>
                <c:pt idx="55">
                  <c:v>0.99280000000000002</c:v>
                </c:pt>
                <c:pt idx="56">
                  <c:v>0.65959999999999996</c:v>
                </c:pt>
                <c:pt idx="57">
                  <c:v>0.99360000000000004</c:v>
                </c:pt>
                <c:pt idx="58">
                  <c:v>0.99360000000000004</c:v>
                </c:pt>
                <c:pt idx="59">
                  <c:v>0.57120000000000004</c:v>
                </c:pt>
                <c:pt idx="60">
                  <c:v>0.64600000000000002</c:v>
                </c:pt>
                <c:pt idx="61">
                  <c:v>0.55959999999999999</c:v>
                </c:pt>
                <c:pt idx="62">
                  <c:v>0.59960000000000002</c:v>
                </c:pt>
                <c:pt idx="63">
                  <c:v>0.59119999999999995</c:v>
                </c:pt>
                <c:pt idx="64">
                  <c:v>0.64880000000000004</c:v>
                </c:pt>
                <c:pt idx="65">
                  <c:v>0.60160000000000002</c:v>
                </c:pt>
                <c:pt idx="66">
                  <c:v>0.66679999999999995</c:v>
                </c:pt>
                <c:pt idx="67">
                  <c:v>0.64</c:v>
                </c:pt>
                <c:pt idx="68">
                  <c:v>0.61280000000000001</c:v>
                </c:pt>
                <c:pt idx="69">
                  <c:v>0.59640000000000004</c:v>
                </c:pt>
                <c:pt idx="70">
                  <c:v>0.54800000000000004</c:v>
                </c:pt>
                <c:pt idx="71">
                  <c:v>0.63959999999999995</c:v>
                </c:pt>
                <c:pt idx="72">
                  <c:v>0.98719999999999997</c:v>
                </c:pt>
                <c:pt idx="73">
                  <c:v>0.54600000000000004</c:v>
                </c:pt>
                <c:pt idx="74">
                  <c:v>0.59399999999999997</c:v>
                </c:pt>
                <c:pt idx="75">
                  <c:v>0.59760000000000002</c:v>
                </c:pt>
                <c:pt idx="76">
                  <c:v>0.48520000000000002</c:v>
                </c:pt>
                <c:pt idx="77">
                  <c:v>0.97160000000000002</c:v>
                </c:pt>
                <c:pt idx="78">
                  <c:v>0.59040000000000004</c:v>
                </c:pt>
                <c:pt idx="79">
                  <c:v>0.66920000000000002</c:v>
                </c:pt>
                <c:pt idx="80">
                  <c:v>0.99</c:v>
                </c:pt>
                <c:pt idx="81">
                  <c:v>0.65480000000000005</c:v>
                </c:pt>
                <c:pt idx="82">
                  <c:v>0.99199999999999999</c:v>
                </c:pt>
                <c:pt idx="83">
                  <c:v>0.99280000000000002</c:v>
                </c:pt>
                <c:pt idx="84">
                  <c:v>0.61240000000000006</c:v>
                </c:pt>
                <c:pt idx="85">
                  <c:v>0.65759999999999996</c:v>
                </c:pt>
                <c:pt idx="86">
                  <c:v>0.99080000000000001</c:v>
                </c:pt>
                <c:pt idx="87">
                  <c:v>0.99639999999999995</c:v>
                </c:pt>
                <c:pt idx="88">
                  <c:v>0.998</c:v>
                </c:pt>
                <c:pt idx="89">
                  <c:v>0.998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F0A-4ED9-9E0E-3497E4F909F5}"/>
            </c:ext>
          </c:extLst>
        </c:ser>
        <c:ser>
          <c:idx val="7"/>
          <c:order val="7"/>
          <c:tx>
            <c:strRef>
              <c:f>'Mobility FF'!$I$2</c:f>
              <c:strCache>
                <c:ptCount val="1"/>
                <c:pt idx="0">
                  <c:v>Run 8</c:v>
                </c:pt>
              </c:strCache>
            </c:strRef>
          </c:tx>
          <c:spPr>
            <a:ln w="19050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'Mobility FF'!$I$3:$I$200</c:f>
              <c:numCache>
                <c:formatCode>General</c:formatCode>
                <c:ptCount val="198"/>
                <c:pt idx="0">
                  <c:v>1</c:v>
                </c:pt>
                <c:pt idx="1">
                  <c:v>0.99760000000000004</c:v>
                </c:pt>
                <c:pt idx="2">
                  <c:v>0.99560000000000004</c:v>
                </c:pt>
                <c:pt idx="3">
                  <c:v>0.99680000000000002</c:v>
                </c:pt>
                <c:pt idx="4">
                  <c:v>0.61399999999999999</c:v>
                </c:pt>
                <c:pt idx="5">
                  <c:v>0.58079999999999998</c:v>
                </c:pt>
                <c:pt idx="6">
                  <c:v>0.59199999999999997</c:v>
                </c:pt>
                <c:pt idx="7">
                  <c:v>0.44919999999999999</c:v>
                </c:pt>
                <c:pt idx="8">
                  <c:v>0.4748</c:v>
                </c:pt>
                <c:pt idx="9">
                  <c:v>0.21240000000000001</c:v>
                </c:pt>
                <c:pt idx="10">
                  <c:v>0.2092</c:v>
                </c:pt>
                <c:pt idx="11">
                  <c:v>0.2132</c:v>
                </c:pt>
                <c:pt idx="12">
                  <c:v>0.54479999999999995</c:v>
                </c:pt>
                <c:pt idx="13">
                  <c:v>0.46279999999999999</c:v>
                </c:pt>
                <c:pt idx="14">
                  <c:v>0.26640000000000003</c:v>
                </c:pt>
                <c:pt idx="15">
                  <c:v>0.52559999999999996</c:v>
                </c:pt>
                <c:pt idx="16">
                  <c:v>0.59799999999999998</c:v>
                </c:pt>
                <c:pt idx="17">
                  <c:v>0.27879999999999999</c:v>
                </c:pt>
                <c:pt idx="18">
                  <c:v>0.60840000000000005</c:v>
                </c:pt>
                <c:pt idx="19">
                  <c:v>0.58599999999999997</c:v>
                </c:pt>
                <c:pt idx="20">
                  <c:v>0.2868</c:v>
                </c:pt>
                <c:pt idx="21">
                  <c:v>0.61480000000000001</c:v>
                </c:pt>
                <c:pt idx="22">
                  <c:v>0.58879999999999999</c:v>
                </c:pt>
                <c:pt idx="23">
                  <c:v>0.60680000000000001</c:v>
                </c:pt>
                <c:pt idx="24">
                  <c:v>0.62919999999999998</c:v>
                </c:pt>
                <c:pt idx="25">
                  <c:v>0.60119999999999996</c:v>
                </c:pt>
                <c:pt idx="26">
                  <c:v>0.61199999999999999</c:v>
                </c:pt>
                <c:pt idx="27">
                  <c:v>0.59640000000000004</c:v>
                </c:pt>
                <c:pt idx="28">
                  <c:v>0.59079999999999999</c:v>
                </c:pt>
                <c:pt idx="29">
                  <c:v>0.99080000000000001</c:v>
                </c:pt>
                <c:pt idx="30">
                  <c:v>0.62760000000000005</c:v>
                </c:pt>
                <c:pt idx="31">
                  <c:v>0.65200000000000002</c:v>
                </c:pt>
                <c:pt idx="32">
                  <c:v>0.98960000000000004</c:v>
                </c:pt>
                <c:pt idx="33">
                  <c:v>0.29399999999999998</c:v>
                </c:pt>
                <c:pt idx="34">
                  <c:v>0.28839999999999999</c:v>
                </c:pt>
                <c:pt idx="35">
                  <c:v>0.52400000000000002</c:v>
                </c:pt>
                <c:pt idx="36">
                  <c:v>0.22439999999999999</c:v>
                </c:pt>
                <c:pt idx="37">
                  <c:v>0.59399999999999997</c:v>
                </c:pt>
                <c:pt idx="38">
                  <c:v>0.44119999999999998</c:v>
                </c:pt>
                <c:pt idx="39">
                  <c:v>0.45400000000000001</c:v>
                </c:pt>
                <c:pt idx="40">
                  <c:v>0.6048</c:v>
                </c:pt>
                <c:pt idx="41">
                  <c:v>0.2732</c:v>
                </c:pt>
                <c:pt idx="42">
                  <c:v>0.60560000000000003</c:v>
                </c:pt>
                <c:pt idx="43">
                  <c:v>0.59399999999999997</c:v>
                </c:pt>
                <c:pt idx="44">
                  <c:v>0.754</c:v>
                </c:pt>
                <c:pt idx="45">
                  <c:v>0.57240000000000002</c:v>
                </c:pt>
                <c:pt idx="46">
                  <c:v>0.50600000000000001</c:v>
                </c:pt>
                <c:pt idx="47">
                  <c:v>0.46479999999999999</c:v>
                </c:pt>
                <c:pt idx="48">
                  <c:v>0.47039999999999998</c:v>
                </c:pt>
                <c:pt idx="49">
                  <c:v>0.46039999999999998</c:v>
                </c:pt>
                <c:pt idx="50">
                  <c:v>0.48799999999999999</c:v>
                </c:pt>
                <c:pt idx="51">
                  <c:v>0.72799999999999998</c:v>
                </c:pt>
                <c:pt idx="52">
                  <c:v>0.43440000000000001</c:v>
                </c:pt>
                <c:pt idx="53">
                  <c:v>0.74039999999999995</c:v>
                </c:pt>
                <c:pt idx="54">
                  <c:v>0.46039999999999998</c:v>
                </c:pt>
                <c:pt idx="55">
                  <c:v>0.21360000000000001</c:v>
                </c:pt>
                <c:pt idx="56">
                  <c:v>0.71040000000000003</c:v>
                </c:pt>
                <c:pt idx="57">
                  <c:v>0.12839999999999999</c:v>
                </c:pt>
                <c:pt idx="58">
                  <c:v>0.45960000000000001</c:v>
                </c:pt>
                <c:pt idx="59">
                  <c:v>0.58919999999999995</c:v>
                </c:pt>
                <c:pt idx="60">
                  <c:v>0.57879999999999998</c:v>
                </c:pt>
                <c:pt idx="61">
                  <c:v>0.62639999999999996</c:v>
                </c:pt>
                <c:pt idx="62">
                  <c:v>0.62680000000000002</c:v>
                </c:pt>
                <c:pt idx="63">
                  <c:v>0.98640000000000005</c:v>
                </c:pt>
                <c:pt idx="64">
                  <c:v>0.99519999999999997</c:v>
                </c:pt>
                <c:pt idx="65">
                  <c:v>0.99639999999999995</c:v>
                </c:pt>
                <c:pt idx="66">
                  <c:v>0.998</c:v>
                </c:pt>
                <c:pt idx="67">
                  <c:v>0.99439999999999995</c:v>
                </c:pt>
                <c:pt idx="68">
                  <c:v>0.61119999999999997</c:v>
                </c:pt>
                <c:pt idx="69">
                  <c:v>0.99239999999999995</c:v>
                </c:pt>
                <c:pt idx="70">
                  <c:v>0.63039999999999996</c:v>
                </c:pt>
                <c:pt idx="71">
                  <c:v>0.62039999999999995</c:v>
                </c:pt>
                <c:pt idx="72">
                  <c:v>0.65359999999999996</c:v>
                </c:pt>
                <c:pt idx="73">
                  <c:v>0.28760000000000002</c:v>
                </c:pt>
                <c:pt idx="74">
                  <c:v>0.61280000000000001</c:v>
                </c:pt>
                <c:pt idx="75">
                  <c:v>0.98960000000000004</c:v>
                </c:pt>
                <c:pt idx="76">
                  <c:v>0.62080000000000002</c:v>
                </c:pt>
                <c:pt idx="77">
                  <c:v>0.99480000000000002</c:v>
                </c:pt>
                <c:pt idx="78">
                  <c:v>0.60040000000000004</c:v>
                </c:pt>
                <c:pt idx="79">
                  <c:v>0.49880000000000002</c:v>
                </c:pt>
                <c:pt idx="80">
                  <c:v>0.57640000000000002</c:v>
                </c:pt>
                <c:pt idx="81">
                  <c:v>0.21879999999999999</c:v>
                </c:pt>
                <c:pt idx="82">
                  <c:v>0.52880000000000005</c:v>
                </c:pt>
                <c:pt idx="83">
                  <c:v>0.61839999999999995</c:v>
                </c:pt>
                <c:pt idx="84">
                  <c:v>0.62719999999999998</c:v>
                </c:pt>
                <c:pt idx="85">
                  <c:v>0.64159999999999995</c:v>
                </c:pt>
                <c:pt idx="86">
                  <c:v>0.63839999999999997</c:v>
                </c:pt>
                <c:pt idx="87">
                  <c:v>0.99319999999999997</c:v>
                </c:pt>
                <c:pt idx="88">
                  <c:v>0.6532</c:v>
                </c:pt>
                <c:pt idx="89">
                  <c:v>0.6512</c:v>
                </c:pt>
                <c:pt idx="90">
                  <c:v>0.99039999999999995</c:v>
                </c:pt>
                <c:pt idx="91">
                  <c:v>0.626</c:v>
                </c:pt>
                <c:pt idx="92">
                  <c:v>0.65439999999999998</c:v>
                </c:pt>
                <c:pt idx="93">
                  <c:v>0.99199999999999999</c:v>
                </c:pt>
                <c:pt idx="94">
                  <c:v>0.48399999999999999</c:v>
                </c:pt>
                <c:pt idx="95">
                  <c:v>0.65839999999999999</c:v>
                </c:pt>
                <c:pt idx="96">
                  <c:v>0.61480000000000001</c:v>
                </c:pt>
                <c:pt idx="97">
                  <c:v>0.59760000000000002</c:v>
                </c:pt>
                <c:pt idx="98">
                  <c:v>0.63360000000000005</c:v>
                </c:pt>
                <c:pt idx="99">
                  <c:v>0.61280000000000001</c:v>
                </c:pt>
                <c:pt idx="100">
                  <c:v>0.64319999999999999</c:v>
                </c:pt>
                <c:pt idx="101">
                  <c:v>0.622</c:v>
                </c:pt>
                <c:pt idx="102">
                  <c:v>0.64159999999999995</c:v>
                </c:pt>
                <c:pt idx="103">
                  <c:v>0.61760000000000004</c:v>
                </c:pt>
                <c:pt idx="104">
                  <c:v>0.64680000000000004</c:v>
                </c:pt>
                <c:pt idx="105">
                  <c:v>0.99319999999999997</c:v>
                </c:pt>
                <c:pt idx="106">
                  <c:v>0.99719999999999998</c:v>
                </c:pt>
                <c:pt idx="107">
                  <c:v>0.99960000000000004</c:v>
                </c:pt>
                <c:pt idx="108">
                  <c:v>0.99480000000000002</c:v>
                </c:pt>
                <c:pt idx="109">
                  <c:v>0.622</c:v>
                </c:pt>
                <c:pt idx="110">
                  <c:v>0.65559999999999996</c:v>
                </c:pt>
                <c:pt idx="111">
                  <c:v>0.65200000000000002</c:v>
                </c:pt>
                <c:pt idx="112">
                  <c:v>0.63800000000000001</c:v>
                </c:pt>
                <c:pt idx="113">
                  <c:v>0.64480000000000004</c:v>
                </c:pt>
                <c:pt idx="114">
                  <c:v>0.99319999999999997</c:v>
                </c:pt>
                <c:pt idx="115">
                  <c:v>0.998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F0A-4ED9-9E0E-3497E4F909F5}"/>
            </c:ext>
          </c:extLst>
        </c:ser>
        <c:ser>
          <c:idx val="8"/>
          <c:order val="8"/>
          <c:tx>
            <c:strRef>
              <c:f>'Mobility FF'!$J$2</c:f>
              <c:strCache>
                <c:ptCount val="1"/>
                <c:pt idx="0">
                  <c:v>Run 9</c:v>
                </c:pt>
              </c:strCache>
            </c:strRef>
          </c:tx>
          <c:spPr>
            <a:ln w="19050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'Mobility FF'!$J$3:$J$200</c:f>
              <c:numCache>
                <c:formatCode>General</c:formatCode>
                <c:ptCount val="198"/>
                <c:pt idx="0">
                  <c:v>1</c:v>
                </c:pt>
                <c:pt idx="1">
                  <c:v>0.99280000000000002</c:v>
                </c:pt>
                <c:pt idx="2">
                  <c:v>0.99480000000000002</c:v>
                </c:pt>
                <c:pt idx="3">
                  <c:v>0.99080000000000001</c:v>
                </c:pt>
                <c:pt idx="4">
                  <c:v>0.61280000000000001</c:v>
                </c:pt>
                <c:pt idx="5">
                  <c:v>0.59719999999999995</c:v>
                </c:pt>
                <c:pt idx="6">
                  <c:v>0.60919999999999996</c:v>
                </c:pt>
                <c:pt idx="7">
                  <c:v>0.32519999999999999</c:v>
                </c:pt>
                <c:pt idx="8">
                  <c:v>0.62039999999999995</c:v>
                </c:pt>
                <c:pt idx="9">
                  <c:v>0.64600000000000002</c:v>
                </c:pt>
                <c:pt idx="10">
                  <c:v>0.57120000000000004</c:v>
                </c:pt>
                <c:pt idx="11">
                  <c:v>0.56759999999999999</c:v>
                </c:pt>
                <c:pt idx="12">
                  <c:v>0.57999999999999996</c:v>
                </c:pt>
                <c:pt idx="13">
                  <c:v>0.6</c:v>
                </c:pt>
                <c:pt idx="14">
                  <c:v>0.56359999999999999</c:v>
                </c:pt>
                <c:pt idx="15">
                  <c:v>0.30559999999999998</c:v>
                </c:pt>
                <c:pt idx="16">
                  <c:v>0.1288</c:v>
                </c:pt>
                <c:pt idx="17">
                  <c:v>0.19</c:v>
                </c:pt>
                <c:pt idx="18">
                  <c:v>4.5999999999999999E-2</c:v>
                </c:pt>
                <c:pt idx="19">
                  <c:v>0.3196</c:v>
                </c:pt>
                <c:pt idx="20">
                  <c:v>0.59079999999999999</c:v>
                </c:pt>
                <c:pt idx="21">
                  <c:v>0.54879999999999995</c:v>
                </c:pt>
                <c:pt idx="22">
                  <c:v>0.98199999999999998</c:v>
                </c:pt>
                <c:pt idx="23">
                  <c:v>0.61040000000000005</c:v>
                </c:pt>
                <c:pt idx="24">
                  <c:v>0.62519999999999998</c:v>
                </c:pt>
                <c:pt idx="25">
                  <c:v>0.98960000000000004</c:v>
                </c:pt>
                <c:pt idx="26">
                  <c:v>0.51559999999999995</c:v>
                </c:pt>
                <c:pt idx="27">
                  <c:v>0.53080000000000005</c:v>
                </c:pt>
                <c:pt idx="28">
                  <c:v>0.4884</c:v>
                </c:pt>
                <c:pt idx="29">
                  <c:v>0.17280000000000001</c:v>
                </c:pt>
                <c:pt idx="30">
                  <c:v>0.49359999999999998</c:v>
                </c:pt>
                <c:pt idx="31">
                  <c:v>0.12479999999999999</c:v>
                </c:pt>
                <c:pt idx="32">
                  <c:v>0.1236</c:v>
                </c:pt>
                <c:pt idx="33">
                  <c:v>0.2964</c:v>
                </c:pt>
                <c:pt idx="34">
                  <c:v>0.52080000000000004</c:v>
                </c:pt>
                <c:pt idx="35">
                  <c:v>0.58640000000000003</c:v>
                </c:pt>
                <c:pt idx="36">
                  <c:v>0.98919999999999997</c:v>
                </c:pt>
                <c:pt idx="37">
                  <c:v>0.99160000000000004</c:v>
                </c:pt>
                <c:pt idx="38">
                  <c:v>0.99319999999999997</c:v>
                </c:pt>
                <c:pt idx="39">
                  <c:v>0.99</c:v>
                </c:pt>
                <c:pt idx="40">
                  <c:v>0.62119999999999997</c:v>
                </c:pt>
                <c:pt idx="41">
                  <c:v>0.61</c:v>
                </c:pt>
                <c:pt idx="42">
                  <c:v>0.98960000000000004</c:v>
                </c:pt>
                <c:pt idx="43">
                  <c:v>0.996</c:v>
                </c:pt>
                <c:pt idx="44">
                  <c:v>0.98960000000000004</c:v>
                </c:pt>
                <c:pt idx="45">
                  <c:v>0.98839999999999995</c:v>
                </c:pt>
                <c:pt idx="46">
                  <c:v>0.6532</c:v>
                </c:pt>
                <c:pt idx="47">
                  <c:v>0.59360000000000002</c:v>
                </c:pt>
                <c:pt idx="48">
                  <c:v>0.47960000000000003</c:v>
                </c:pt>
                <c:pt idx="49">
                  <c:v>0.1996</c:v>
                </c:pt>
                <c:pt idx="50">
                  <c:v>0.19639999999999999</c:v>
                </c:pt>
                <c:pt idx="51">
                  <c:v>0.18559999999999999</c:v>
                </c:pt>
                <c:pt idx="52">
                  <c:v>0.32200000000000001</c:v>
                </c:pt>
                <c:pt idx="53">
                  <c:v>0.5524</c:v>
                </c:pt>
                <c:pt idx="54">
                  <c:v>0.53280000000000005</c:v>
                </c:pt>
                <c:pt idx="55">
                  <c:v>0.57279999999999998</c:v>
                </c:pt>
                <c:pt idx="56">
                  <c:v>0.60560000000000003</c:v>
                </c:pt>
                <c:pt idx="57">
                  <c:v>0.58160000000000001</c:v>
                </c:pt>
                <c:pt idx="58">
                  <c:v>0.6</c:v>
                </c:pt>
                <c:pt idx="59">
                  <c:v>0.60599999999999998</c:v>
                </c:pt>
                <c:pt idx="60">
                  <c:v>0.62680000000000002</c:v>
                </c:pt>
                <c:pt idx="61">
                  <c:v>0.62360000000000004</c:v>
                </c:pt>
                <c:pt idx="62">
                  <c:v>0.65200000000000002</c:v>
                </c:pt>
                <c:pt idx="63">
                  <c:v>0.61119999999999997</c:v>
                </c:pt>
                <c:pt idx="64">
                  <c:v>0.61919999999999997</c:v>
                </c:pt>
                <c:pt idx="65">
                  <c:v>0.60799999999999998</c:v>
                </c:pt>
                <c:pt idx="66">
                  <c:v>0.61599999999999999</c:v>
                </c:pt>
                <c:pt idx="67">
                  <c:v>0.61839999999999995</c:v>
                </c:pt>
                <c:pt idx="68">
                  <c:v>0.98560000000000003</c:v>
                </c:pt>
                <c:pt idx="69">
                  <c:v>0.99319999999999997</c:v>
                </c:pt>
                <c:pt idx="70">
                  <c:v>0.99480000000000002</c:v>
                </c:pt>
                <c:pt idx="71">
                  <c:v>0.99560000000000004</c:v>
                </c:pt>
                <c:pt idx="72">
                  <c:v>0.59760000000000002</c:v>
                </c:pt>
                <c:pt idx="73">
                  <c:v>0.98799999999999999</c:v>
                </c:pt>
                <c:pt idx="74">
                  <c:v>0.98719999999999997</c:v>
                </c:pt>
                <c:pt idx="75">
                  <c:v>0.62280000000000002</c:v>
                </c:pt>
                <c:pt idx="76">
                  <c:v>0.98799999999999999</c:v>
                </c:pt>
                <c:pt idx="77">
                  <c:v>0.98680000000000001</c:v>
                </c:pt>
                <c:pt idx="78">
                  <c:v>0.61319999999999997</c:v>
                </c:pt>
                <c:pt idx="79">
                  <c:v>0.99160000000000004</c:v>
                </c:pt>
                <c:pt idx="80">
                  <c:v>0.62680000000000002</c:v>
                </c:pt>
                <c:pt idx="81">
                  <c:v>0.98960000000000004</c:v>
                </c:pt>
                <c:pt idx="82">
                  <c:v>0.99039999999999995</c:v>
                </c:pt>
                <c:pt idx="83">
                  <c:v>0.61080000000000001</c:v>
                </c:pt>
                <c:pt idx="84">
                  <c:v>0.61199999999999999</c:v>
                </c:pt>
                <c:pt idx="85">
                  <c:v>0.62080000000000002</c:v>
                </c:pt>
                <c:pt idx="86">
                  <c:v>0.58399999999999996</c:v>
                </c:pt>
                <c:pt idx="87">
                  <c:v>0.57799999999999996</c:v>
                </c:pt>
                <c:pt idx="88">
                  <c:v>0.61119999999999997</c:v>
                </c:pt>
                <c:pt idx="89">
                  <c:v>0.61319999999999997</c:v>
                </c:pt>
                <c:pt idx="90">
                  <c:v>0.99360000000000004</c:v>
                </c:pt>
                <c:pt idx="91">
                  <c:v>0.61719999999999997</c:v>
                </c:pt>
                <c:pt idx="92">
                  <c:v>0.61960000000000004</c:v>
                </c:pt>
                <c:pt idx="93">
                  <c:v>0.98880000000000001</c:v>
                </c:pt>
                <c:pt idx="94">
                  <c:v>0.61919999999999997</c:v>
                </c:pt>
                <c:pt idx="95">
                  <c:v>0.61</c:v>
                </c:pt>
                <c:pt idx="96">
                  <c:v>0.6008</c:v>
                </c:pt>
                <c:pt idx="97">
                  <c:v>0.628</c:v>
                </c:pt>
                <c:pt idx="98">
                  <c:v>0.61599999999999999</c:v>
                </c:pt>
                <c:pt idx="99">
                  <c:v>0.99239999999999995</c:v>
                </c:pt>
                <c:pt idx="100">
                  <c:v>0.99199999999999999</c:v>
                </c:pt>
                <c:pt idx="101">
                  <c:v>0.98880000000000001</c:v>
                </c:pt>
                <c:pt idx="102">
                  <c:v>0.99280000000000002</c:v>
                </c:pt>
                <c:pt idx="103">
                  <c:v>0.63239999999999996</c:v>
                </c:pt>
                <c:pt idx="104">
                  <c:v>0.60560000000000003</c:v>
                </c:pt>
                <c:pt idx="105">
                  <c:v>0.98640000000000005</c:v>
                </c:pt>
                <c:pt idx="106">
                  <c:v>0.99280000000000002</c:v>
                </c:pt>
                <c:pt idx="107">
                  <c:v>0.99239999999999995</c:v>
                </c:pt>
                <c:pt idx="108">
                  <c:v>0.99239999999999995</c:v>
                </c:pt>
                <c:pt idx="109">
                  <c:v>0.62839999999999996</c:v>
                </c:pt>
                <c:pt idx="110">
                  <c:v>0.62</c:v>
                </c:pt>
                <c:pt idx="111">
                  <c:v>0.99319999999999997</c:v>
                </c:pt>
                <c:pt idx="112">
                  <c:v>0.58199999999999996</c:v>
                </c:pt>
                <c:pt idx="113">
                  <c:v>0.61760000000000004</c:v>
                </c:pt>
                <c:pt idx="114">
                  <c:v>0.98719999999999997</c:v>
                </c:pt>
                <c:pt idx="115">
                  <c:v>0.61839999999999995</c:v>
                </c:pt>
                <c:pt idx="116">
                  <c:v>0.61399999999999999</c:v>
                </c:pt>
                <c:pt idx="117">
                  <c:v>0.59519999999999995</c:v>
                </c:pt>
                <c:pt idx="118">
                  <c:v>0.51280000000000003</c:v>
                </c:pt>
                <c:pt idx="119">
                  <c:v>0.59240000000000004</c:v>
                </c:pt>
                <c:pt idx="120">
                  <c:v>0.59240000000000004</c:v>
                </c:pt>
                <c:pt idx="121">
                  <c:v>0.60719999999999996</c:v>
                </c:pt>
                <c:pt idx="122">
                  <c:v>0.61360000000000003</c:v>
                </c:pt>
                <c:pt idx="123">
                  <c:v>0.57920000000000005</c:v>
                </c:pt>
                <c:pt idx="124">
                  <c:v>0.61880000000000002</c:v>
                </c:pt>
                <c:pt idx="125">
                  <c:v>0.65080000000000005</c:v>
                </c:pt>
                <c:pt idx="126">
                  <c:v>0.57599999999999996</c:v>
                </c:pt>
                <c:pt idx="127">
                  <c:v>0.30840000000000001</c:v>
                </c:pt>
                <c:pt idx="128">
                  <c:v>0.5736</c:v>
                </c:pt>
                <c:pt idx="129">
                  <c:v>0.61</c:v>
                </c:pt>
                <c:pt idx="130">
                  <c:v>0.98480000000000001</c:v>
                </c:pt>
                <c:pt idx="131">
                  <c:v>0.99239999999999995</c:v>
                </c:pt>
                <c:pt idx="132">
                  <c:v>0.99360000000000004</c:v>
                </c:pt>
                <c:pt idx="133">
                  <c:v>0.99439999999999995</c:v>
                </c:pt>
                <c:pt idx="134">
                  <c:v>0.99080000000000001</c:v>
                </c:pt>
                <c:pt idx="135">
                  <c:v>0.61760000000000004</c:v>
                </c:pt>
                <c:pt idx="136">
                  <c:v>0.624</c:v>
                </c:pt>
                <c:pt idx="137">
                  <c:v>0.61080000000000001</c:v>
                </c:pt>
                <c:pt idx="138">
                  <c:v>0.58040000000000003</c:v>
                </c:pt>
                <c:pt idx="139">
                  <c:v>0.98280000000000001</c:v>
                </c:pt>
                <c:pt idx="140">
                  <c:v>0.98839999999999995</c:v>
                </c:pt>
                <c:pt idx="141">
                  <c:v>0.98880000000000001</c:v>
                </c:pt>
                <c:pt idx="142">
                  <c:v>0.99319999999999997</c:v>
                </c:pt>
                <c:pt idx="143">
                  <c:v>0.99319999999999997</c:v>
                </c:pt>
                <c:pt idx="144">
                  <c:v>0.61880000000000002</c:v>
                </c:pt>
                <c:pt idx="145">
                  <c:v>0.63</c:v>
                </c:pt>
                <c:pt idx="146">
                  <c:v>0.59840000000000004</c:v>
                </c:pt>
                <c:pt idx="147">
                  <c:v>0.32279999999999998</c:v>
                </c:pt>
                <c:pt idx="148">
                  <c:v>0.64800000000000002</c:v>
                </c:pt>
                <c:pt idx="149">
                  <c:v>0.62960000000000005</c:v>
                </c:pt>
                <c:pt idx="150">
                  <c:v>0.32040000000000002</c:v>
                </c:pt>
                <c:pt idx="151">
                  <c:v>0.58040000000000003</c:v>
                </c:pt>
                <c:pt idx="152">
                  <c:v>0.64959999999999996</c:v>
                </c:pt>
                <c:pt idx="153">
                  <c:v>0.97719999999999996</c:v>
                </c:pt>
                <c:pt idx="154">
                  <c:v>0.64200000000000002</c:v>
                </c:pt>
                <c:pt idx="155">
                  <c:v>0.98960000000000004</c:v>
                </c:pt>
                <c:pt idx="156">
                  <c:v>0.61560000000000004</c:v>
                </c:pt>
                <c:pt idx="157">
                  <c:v>0.61560000000000004</c:v>
                </c:pt>
                <c:pt idx="158">
                  <c:v>0.62360000000000004</c:v>
                </c:pt>
                <c:pt idx="159">
                  <c:v>0.99119999999999997</c:v>
                </c:pt>
                <c:pt idx="160">
                  <c:v>0.99199999999999999</c:v>
                </c:pt>
                <c:pt idx="161">
                  <c:v>0.99119999999999997</c:v>
                </c:pt>
                <c:pt idx="162">
                  <c:v>0.99199999999999999</c:v>
                </c:pt>
                <c:pt idx="163">
                  <c:v>0.99360000000000004</c:v>
                </c:pt>
                <c:pt idx="164">
                  <c:v>0.62719999999999998</c:v>
                </c:pt>
                <c:pt idx="165">
                  <c:v>0.98960000000000004</c:v>
                </c:pt>
                <c:pt idx="166">
                  <c:v>0.61360000000000003</c:v>
                </c:pt>
                <c:pt idx="167">
                  <c:v>0.58720000000000006</c:v>
                </c:pt>
                <c:pt idx="168">
                  <c:v>0.58720000000000006</c:v>
                </c:pt>
                <c:pt idx="169">
                  <c:v>0.55679999999999996</c:v>
                </c:pt>
                <c:pt idx="170">
                  <c:v>0.53639999999999999</c:v>
                </c:pt>
                <c:pt idx="171">
                  <c:v>0.63800000000000001</c:v>
                </c:pt>
                <c:pt idx="172">
                  <c:v>0.54600000000000004</c:v>
                </c:pt>
                <c:pt idx="173">
                  <c:v>0.62</c:v>
                </c:pt>
                <c:pt idx="174">
                  <c:v>0.98760000000000003</c:v>
                </c:pt>
                <c:pt idx="175">
                  <c:v>0.99480000000000002</c:v>
                </c:pt>
                <c:pt idx="176">
                  <c:v>0.99239999999999995</c:v>
                </c:pt>
                <c:pt idx="177">
                  <c:v>0.998</c:v>
                </c:pt>
                <c:pt idx="178">
                  <c:v>0.61639999999999995</c:v>
                </c:pt>
                <c:pt idx="179">
                  <c:v>0.62360000000000004</c:v>
                </c:pt>
                <c:pt idx="180">
                  <c:v>0.62760000000000005</c:v>
                </c:pt>
                <c:pt idx="181">
                  <c:v>0.62280000000000002</c:v>
                </c:pt>
                <c:pt idx="182">
                  <c:v>0.98560000000000003</c:v>
                </c:pt>
                <c:pt idx="183">
                  <c:v>0.61399999999999999</c:v>
                </c:pt>
                <c:pt idx="184">
                  <c:v>0.62519999999999998</c:v>
                </c:pt>
                <c:pt idx="185">
                  <c:v>0.98919999999999997</c:v>
                </c:pt>
                <c:pt idx="186">
                  <c:v>0.62119999999999997</c:v>
                </c:pt>
                <c:pt idx="187">
                  <c:v>0.61599999999999999</c:v>
                </c:pt>
                <c:pt idx="188">
                  <c:v>0.6048</c:v>
                </c:pt>
                <c:pt idx="189">
                  <c:v>0.59760000000000002</c:v>
                </c:pt>
                <c:pt idx="190">
                  <c:v>0.61280000000000001</c:v>
                </c:pt>
                <c:pt idx="191">
                  <c:v>0.60960000000000003</c:v>
                </c:pt>
                <c:pt idx="192">
                  <c:v>0.62</c:v>
                </c:pt>
                <c:pt idx="193">
                  <c:v>0.61599999999999999</c:v>
                </c:pt>
                <c:pt idx="194">
                  <c:v>0.63360000000000005</c:v>
                </c:pt>
                <c:pt idx="195">
                  <c:v>0.62080000000000002</c:v>
                </c:pt>
                <c:pt idx="196">
                  <c:v>0.98719999999999997</c:v>
                </c:pt>
                <c:pt idx="197">
                  <c:v>0.99280000000000002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F0A-4ED9-9E0E-3497E4F909F5}"/>
            </c:ext>
          </c:extLst>
        </c:ser>
        <c:ser>
          <c:idx val="9"/>
          <c:order val="9"/>
          <c:tx>
            <c:strRef>
              <c:f>'Mobility FF'!$K$2</c:f>
              <c:strCache>
                <c:ptCount val="1"/>
                <c:pt idx="0">
                  <c:v>Run 10</c:v>
                </c:pt>
              </c:strCache>
            </c:strRef>
          </c:tx>
          <c:spPr>
            <a:ln w="19050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'Mobility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'Mobility FF'!$K$3:$K$200</c:f>
              <c:numCache>
                <c:formatCode>General</c:formatCode>
                <c:ptCount val="198"/>
                <c:pt idx="0">
                  <c:v>1</c:v>
                </c:pt>
                <c:pt idx="1">
                  <c:v>0.99560000000000004</c:v>
                </c:pt>
                <c:pt idx="2">
                  <c:v>0.99680000000000002</c:v>
                </c:pt>
                <c:pt idx="3">
                  <c:v>0.99760000000000004</c:v>
                </c:pt>
                <c:pt idx="4">
                  <c:v>0.62239999999999995</c:v>
                </c:pt>
                <c:pt idx="5">
                  <c:v>0.32319999999999999</c:v>
                </c:pt>
                <c:pt idx="6">
                  <c:v>0.56879999999999997</c:v>
                </c:pt>
                <c:pt idx="7">
                  <c:v>0.30080000000000001</c:v>
                </c:pt>
                <c:pt idx="8">
                  <c:v>0.308</c:v>
                </c:pt>
                <c:pt idx="9">
                  <c:v>0.60719999999999996</c:v>
                </c:pt>
                <c:pt idx="10">
                  <c:v>0.63239999999999996</c:v>
                </c:pt>
                <c:pt idx="11">
                  <c:v>0.61839999999999995</c:v>
                </c:pt>
                <c:pt idx="12">
                  <c:v>0.63839999999999997</c:v>
                </c:pt>
                <c:pt idx="13">
                  <c:v>0.63519999999999999</c:v>
                </c:pt>
                <c:pt idx="14">
                  <c:v>0.31159999999999999</c:v>
                </c:pt>
                <c:pt idx="15">
                  <c:v>0.58840000000000003</c:v>
                </c:pt>
                <c:pt idx="16">
                  <c:v>0.30919999999999997</c:v>
                </c:pt>
                <c:pt idx="17">
                  <c:v>0.70920000000000005</c:v>
                </c:pt>
                <c:pt idx="18">
                  <c:v>0.55600000000000005</c:v>
                </c:pt>
                <c:pt idx="19">
                  <c:v>0.46239999999999998</c:v>
                </c:pt>
                <c:pt idx="20">
                  <c:v>0.436</c:v>
                </c:pt>
                <c:pt idx="21">
                  <c:v>0.2248</c:v>
                </c:pt>
                <c:pt idx="22">
                  <c:v>0.21479999999999999</c:v>
                </c:pt>
                <c:pt idx="23">
                  <c:v>0.22159999999999999</c:v>
                </c:pt>
                <c:pt idx="24">
                  <c:v>0.69479999999999997</c:v>
                </c:pt>
                <c:pt idx="25">
                  <c:v>0.55559999999999998</c:v>
                </c:pt>
                <c:pt idx="26">
                  <c:v>0.58199999999999996</c:v>
                </c:pt>
                <c:pt idx="27">
                  <c:v>0.29399999999999998</c:v>
                </c:pt>
                <c:pt idx="28">
                  <c:v>0.47439999999999999</c:v>
                </c:pt>
                <c:pt idx="29">
                  <c:v>0.55640000000000001</c:v>
                </c:pt>
                <c:pt idx="30">
                  <c:v>0.32240000000000002</c:v>
                </c:pt>
                <c:pt idx="31">
                  <c:v>0.30759999999999998</c:v>
                </c:pt>
                <c:pt idx="32">
                  <c:v>0.46279999999999999</c:v>
                </c:pt>
                <c:pt idx="33">
                  <c:v>0.48039999999999999</c:v>
                </c:pt>
                <c:pt idx="34">
                  <c:v>0.5796</c:v>
                </c:pt>
                <c:pt idx="35">
                  <c:v>0.60440000000000005</c:v>
                </c:pt>
                <c:pt idx="36">
                  <c:v>0.56840000000000002</c:v>
                </c:pt>
                <c:pt idx="37">
                  <c:v>0.5796</c:v>
                </c:pt>
                <c:pt idx="38">
                  <c:v>0.58320000000000005</c:v>
                </c:pt>
                <c:pt idx="39">
                  <c:v>0.46239999999999998</c:v>
                </c:pt>
                <c:pt idx="40">
                  <c:v>0.3004</c:v>
                </c:pt>
                <c:pt idx="41">
                  <c:v>0.52159999999999995</c:v>
                </c:pt>
                <c:pt idx="42">
                  <c:v>0.53120000000000001</c:v>
                </c:pt>
                <c:pt idx="43">
                  <c:v>0.53200000000000003</c:v>
                </c:pt>
                <c:pt idx="44">
                  <c:v>0.61680000000000001</c:v>
                </c:pt>
                <c:pt idx="45">
                  <c:v>0.65600000000000003</c:v>
                </c:pt>
                <c:pt idx="46">
                  <c:v>0.63119999999999998</c:v>
                </c:pt>
                <c:pt idx="47">
                  <c:v>0.61240000000000006</c:v>
                </c:pt>
                <c:pt idx="48">
                  <c:v>0.62760000000000005</c:v>
                </c:pt>
                <c:pt idx="49">
                  <c:v>0.63480000000000003</c:v>
                </c:pt>
                <c:pt idx="50">
                  <c:v>0.64</c:v>
                </c:pt>
                <c:pt idx="51">
                  <c:v>0.626</c:v>
                </c:pt>
                <c:pt idx="52">
                  <c:v>0.99639999999999995</c:v>
                </c:pt>
                <c:pt idx="53">
                  <c:v>0.99880000000000002</c:v>
                </c:pt>
                <c:pt idx="54">
                  <c:v>0.99639999999999995</c:v>
                </c:pt>
                <c:pt idx="55">
                  <c:v>0.99560000000000004</c:v>
                </c:pt>
                <c:pt idx="56">
                  <c:v>0.63600000000000001</c:v>
                </c:pt>
                <c:pt idx="57">
                  <c:v>0.99399999999999999</c:v>
                </c:pt>
                <c:pt idx="58">
                  <c:v>0.62080000000000002</c:v>
                </c:pt>
                <c:pt idx="59">
                  <c:v>0.5756</c:v>
                </c:pt>
                <c:pt idx="60">
                  <c:v>0.61960000000000004</c:v>
                </c:pt>
                <c:pt idx="61">
                  <c:v>0.6048</c:v>
                </c:pt>
                <c:pt idx="62">
                  <c:v>0.63680000000000003</c:v>
                </c:pt>
                <c:pt idx="63">
                  <c:v>0.30719999999999997</c:v>
                </c:pt>
                <c:pt idx="64">
                  <c:v>0.64319999999999999</c:v>
                </c:pt>
                <c:pt idx="65">
                  <c:v>0.30719999999999997</c:v>
                </c:pt>
                <c:pt idx="66">
                  <c:v>0.62239999999999995</c:v>
                </c:pt>
                <c:pt idx="67">
                  <c:v>0.64</c:v>
                </c:pt>
                <c:pt idx="68">
                  <c:v>0.56079999999999997</c:v>
                </c:pt>
                <c:pt idx="69">
                  <c:v>0.60760000000000003</c:v>
                </c:pt>
                <c:pt idx="70">
                  <c:v>0.62360000000000004</c:v>
                </c:pt>
                <c:pt idx="71">
                  <c:v>0.59240000000000004</c:v>
                </c:pt>
                <c:pt idx="72">
                  <c:v>0.98839999999999995</c:v>
                </c:pt>
                <c:pt idx="73">
                  <c:v>0.61719999999999997</c:v>
                </c:pt>
                <c:pt idx="74">
                  <c:v>0.99319999999999997</c:v>
                </c:pt>
                <c:pt idx="75">
                  <c:v>0.61560000000000004</c:v>
                </c:pt>
                <c:pt idx="76">
                  <c:v>0.63</c:v>
                </c:pt>
                <c:pt idx="77">
                  <c:v>0.62119999999999997</c:v>
                </c:pt>
                <c:pt idx="78">
                  <c:v>0.99439999999999995</c:v>
                </c:pt>
                <c:pt idx="79">
                  <c:v>0.63200000000000001</c:v>
                </c:pt>
                <c:pt idx="80">
                  <c:v>0.63680000000000003</c:v>
                </c:pt>
                <c:pt idx="81">
                  <c:v>0.61599999999999999</c:v>
                </c:pt>
                <c:pt idx="82">
                  <c:v>0.64319999999999999</c:v>
                </c:pt>
                <c:pt idx="83">
                  <c:v>0.98880000000000001</c:v>
                </c:pt>
                <c:pt idx="84">
                  <c:v>0.61599999999999999</c:v>
                </c:pt>
                <c:pt idx="85">
                  <c:v>0.99399999999999999</c:v>
                </c:pt>
                <c:pt idx="86">
                  <c:v>0.63439999999999996</c:v>
                </c:pt>
                <c:pt idx="87">
                  <c:v>0.63</c:v>
                </c:pt>
                <c:pt idx="88">
                  <c:v>0.62480000000000002</c:v>
                </c:pt>
                <c:pt idx="89">
                  <c:v>0.63119999999999998</c:v>
                </c:pt>
                <c:pt idx="90">
                  <c:v>0.99480000000000002</c:v>
                </c:pt>
                <c:pt idx="91">
                  <c:v>0.99560000000000004</c:v>
                </c:pt>
                <c:pt idx="92">
                  <c:v>0.99680000000000002</c:v>
                </c:pt>
                <c:pt idx="93">
                  <c:v>0.99480000000000002</c:v>
                </c:pt>
                <c:pt idx="94">
                  <c:v>0.624</c:v>
                </c:pt>
                <c:pt idx="95">
                  <c:v>0.99399999999999999</c:v>
                </c:pt>
                <c:pt idx="96">
                  <c:v>0.99519999999999997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F0A-4ED9-9E0E-3497E4F909F5}"/>
            </c:ext>
          </c:extLst>
        </c:ser>
        <c:ser>
          <c:idx val="10"/>
          <c:order val="10"/>
          <c:tx>
            <c:strRef>
              <c:f>'Mobility FF'!$L$2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'Mobility FF'!$A$3:$A$200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'Mobility FF'!$L$3:$L$200</c:f>
              <c:numCache>
                <c:formatCode>General</c:formatCode>
                <c:ptCount val="198"/>
                <c:pt idx="0">
                  <c:v>1</c:v>
                </c:pt>
                <c:pt idx="1">
                  <c:v>0.99375999999999998</c:v>
                </c:pt>
                <c:pt idx="2">
                  <c:v>0.99436000000000002</c:v>
                </c:pt>
                <c:pt idx="3">
                  <c:v>0.99419999999999997</c:v>
                </c:pt>
                <c:pt idx="4">
                  <c:v>0.61763999999999997</c:v>
                </c:pt>
                <c:pt idx="5">
                  <c:v>0.66152</c:v>
                </c:pt>
                <c:pt idx="6">
                  <c:v>0.52999999999999992</c:v>
                </c:pt>
                <c:pt idx="7">
                  <c:v>0.46919999999999995</c:v>
                </c:pt>
                <c:pt idx="8">
                  <c:v>0.46135999999999999</c:v>
                </c:pt>
                <c:pt idx="9">
                  <c:v>0.43208000000000002</c:v>
                </c:pt>
                <c:pt idx="10">
                  <c:v>0.42271999999999998</c:v>
                </c:pt>
                <c:pt idx="11">
                  <c:v>0.38107999999999997</c:v>
                </c:pt>
                <c:pt idx="12">
                  <c:v>0.42352000000000001</c:v>
                </c:pt>
                <c:pt idx="13">
                  <c:v>0.39896000000000004</c:v>
                </c:pt>
                <c:pt idx="14">
                  <c:v>0.36571999999999999</c:v>
                </c:pt>
                <c:pt idx="15">
                  <c:v>0.44575999999999993</c:v>
                </c:pt>
                <c:pt idx="16">
                  <c:v>0.48719999999999997</c:v>
                </c:pt>
                <c:pt idx="17">
                  <c:v>0.48935999999999991</c:v>
                </c:pt>
                <c:pt idx="18">
                  <c:v>0.47452000000000005</c:v>
                </c:pt>
                <c:pt idx="19">
                  <c:v>0.48640000000000005</c:v>
                </c:pt>
                <c:pt idx="20">
                  <c:v>0.51063999999999998</c:v>
                </c:pt>
                <c:pt idx="21">
                  <c:v>0.51147999999999993</c:v>
                </c:pt>
                <c:pt idx="22">
                  <c:v>0.52368000000000003</c:v>
                </c:pt>
                <c:pt idx="23">
                  <c:v>0.43163999999999997</c:v>
                </c:pt>
                <c:pt idx="24">
                  <c:v>0.46492000000000006</c:v>
                </c:pt>
                <c:pt idx="25">
                  <c:v>0.60520000000000007</c:v>
                </c:pt>
                <c:pt idx="26">
                  <c:v>0.53852</c:v>
                </c:pt>
                <c:pt idx="27">
                  <c:v>0.52027999999999996</c:v>
                </c:pt>
                <c:pt idx="28">
                  <c:v>0.59684000000000004</c:v>
                </c:pt>
                <c:pt idx="29">
                  <c:v>0.48875999999999997</c:v>
                </c:pt>
                <c:pt idx="30">
                  <c:v>0.5351999999999999</c:v>
                </c:pt>
                <c:pt idx="31">
                  <c:v>0.43251999999999996</c:v>
                </c:pt>
                <c:pt idx="32">
                  <c:v>0.42872000000000005</c:v>
                </c:pt>
                <c:pt idx="33">
                  <c:v>0.44740000000000002</c:v>
                </c:pt>
                <c:pt idx="34">
                  <c:v>0.56696000000000013</c:v>
                </c:pt>
                <c:pt idx="35">
                  <c:v>0.56880000000000008</c:v>
                </c:pt>
                <c:pt idx="36">
                  <c:v>0.63952000000000009</c:v>
                </c:pt>
                <c:pt idx="37">
                  <c:v>0.59572000000000003</c:v>
                </c:pt>
                <c:pt idx="38">
                  <c:v>0.65355999999999992</c:v>
                </c:pt>
                <c:pt idx="39">
                  <c:v>0.56012000000000006</c:v>
                </c:pt>
                <c:pt idx="40">
                  <c:v>0.56840000000000002</c:v>
                </c:pt>
                <c:pt idx="41">
                  <c:v>0.59168000000000009</c:v>
                </c:pt>
                <c:pt idx="42">
                  <c:v>0.58216000000000001</c:v>
                </c:pt>
                <c:pt idx="43">
                  <c:v>0.65676000000000001</c:v>
                </c:pt>
                <c:pt idx="44">
                  <c:v>0.59236</c:v>
                </c:pt>
                <c:pt idx="45">
                  <c:v>0.60436000000000001</c:v>
                </c:pt>
                <c:pt idx="46">
                  <c:v>0.58364000000000005</c:v>
                </c:pt>
                <c:pt idx="47">
                  <c:v>0.62228000000000006</c:v>
                </c:pt>
                <c:pt idx="48">
                  <c:v>0.60919999999999996</c:v>
                </c:pt>
                <c:pt idx="49">
                  <c:v>0.62556</c:v>
                </c:pt>
                <c:pt idx="50">
                  <c:v>0.58808000000000005</c:v>
                </c:pt>
                <c:pt idx="51">
                  <c:v>0.58872000000000002</c:v>
                </c:pt>
                <c:pt idx="52">
                  <c:v>0.69832000000000005</c:v>
                </c:pt>
                <c:pt idx="53">
                  <c:v>0.68763999999999992</c:v>
                </c:pt>
                <c:pt idx="54">
                  <c:v>0.71599999999999997</c:v>
                </c:pt>
                <c:pt idx="55">
                  <c:v>0.72120000000000017</c:v>
                </c:pt>
                <c:pt idx="56">
                  <c:v>0.61051999999999995</c:v>
                </c:pt>
                <c:pt idx="57">
                  <c:v>0.67603999999999997</c:v>
                </c:pt>
                <c:pt idx="58">
                  <c:v>0.67639999999999989</c:v>
                </c:pt>
                <c:pt idx="59">
                  <c:v>0.57875999999999994</c:v>
                </c:pt>
                <c:pt idx="60">
                  <c:v>0.66172000000000009</c:v>
                </c:pt>
                <c:pt idx="61">
                  <c:v>0.58140000000000003</c:v>
                </c:pt>
                <c:pt idx="62">
                  <c:v>0.64860000000000007</c:v>
                </c:pt>
                <c:pt idx="63">
                  <c:v>0.66748000000000007</c:v>
                </c:pt>
                <c:pt idx="64">
                  <c:v>0.69344000000000006</c:v>
                </c:pt>
                <c:pt idx="65">
                  <c:v>0.73475999999999986</c:v>
                </c:pt>
                <c:pt idx="66">
                  <c:v>0.77624000000000004</c:v>
                </c:pt>
                <c:pt idx="67">
                  <c:v>0.73799999999999988</c:v>
                </c:pt>
                <c:pt idx="68">
                  <c:v>0.68336000000000008</c:v>
                </c:pt>
                <c:pt idx="69">
                  <c:v>0.66199999999999992</c:v>
                </c:pt>
                <c:pt idx="70">
                  <c:v>0.72627999999999993</c:v>
                </c:pt>
                <c:pt idx="71">
                  <c:v>0.66955999999999993</c:v>
                </c:pt>
                <c:pt idx="72">
                  <c:v>0.7041599999999999</c:v>
                </c:pt>
                <c:pt idx="73">
                  <c:v>0.66588000000000014</c:v>
                </c:pt>
                <c:pt idx="74">
                  <c:v>0.87895999999999996</c:v>
                </c:pt>
                <c:pt idx="75">
                  <c:v>0.80876000000000003</c:v>
                </c:pt>
                <c:pt idx="76">
                  <c:v>0.83304000000000011</c:v>
                </c:pt>
                <c:pt idx="77">
                  <c:v>0.88380000000000014</c:v>
                </c:pt>
                <c:pt idx="78">
                  <c:v>0.80399999999999994</c:v>
                </c:pt>
                <c:pt idx="79">
                  <c:v>0.80400000000000005</c:v>
                </c:pt>
                <c:pt idx="80">
                  <c:v>0.80615999999999999</c:v>
                </c:pt>
                <c:pt idx="81">
                  <c:v>0.76859999999999995</c:v>
                </c:pt>
                <c:pt idx="82">
                  <c:v>0.84068000000000009</c:v>
                </c:pt>
                <c:pt idx="83">
                  <c:v>0.84488000000000008</c:v>
                </c:pt>
                <c:pt idx="84">
                  <c:v>0.80948000000000009</c:v>
                </c:pt>
                <c:pt idx="85">
                  <c:v>0.88952000000000009</c:v>
                </c:pt>
                <c:pt idx="86">
                  <c:v>0.88395999999999986</c:v>
                </c:pt>
                <c:pt idx="87">
                  <c:v>0.91883999999999999</c:v>
                </c:pt>
                <c:pt idx="88">
                  <c:v>0.85272000000000003</c:v>
                </c:pt>
                <c:pt idx="89">
                  <c:v>0.85376000000000007</c:v>
                </c:pt>
                <c:pt idx="90">
                  <c:v>0.95984000000000003</c:v>
                </c:pt>
                <c:pt idx="91">
                  <c:v>0.88772000000000006</c:v>
                </c:pt>
                <c:pt idx="92">
                  <c:v>0.88924000000000003</c:v>
                </c:pt>
                <c:pt idx="93">
                  <c:v>0.96088000000000007</c:v>
                </c:pt>
                <c:pt idx="94">
                  <c:v>0.87192000000000003</c:v>
                </c:pt>
                <c:pt idx="95">
                  <c:v>0.92591999999999997</c:v>
                </c:pt>
                <c:pt idx="96">
                  <c:v>0.9208400000000001</c:v>
                </c:pt>
                <c:pt idx="97">
                  <c:v>0.92227999999999999</c:v>
                </c:pt>
                <c:pt idx="98">
                  <c:v>0.88848000000000005</c:v>
                </c:pt>
                <c:pt idx="99">
                  <c:v>0.92259999999999986</c:v>
                </c:pt>
                <c:pt idx="100">
                  <c:v>0.92708000000000013</c:v>
                </c:pt>
                <c:pt idx="101">
                  <c:v>0.92267999999999994</c:v>
                </c:pt>
                <c:pt idx="102">
                  <c:v>0.96272000000000002</c:v>
                </c:pt>
                <c:pt idx="103">
                  <c:v>0.92404000000000008</c:v>
                </c:pt>
                <c:pt idx="104">
                  <c:v>0.92471999999999999</c:v>
                </c:pt>
                <c:pt idx="105">
                  <c:v>0.99712000000000001</c:v>
                </c:pt>
                <c:pt idx="106">
                  <c:v>0.96240000000000003</c:v>
                </c:pt>
                <c:pt idx="107">
                  <c:v>0.96319999999999995</c:v>
                </c:pt>
                <c:pt idx="108">
                  <c:v>0.96267999999999998</c:v>
                </c:pt>
                <c:pt idx="109">
                  <c:v>0.88932</c:v>
                </c:pt>
                <c:pt idx="110">
                  <c:v>0.89200000000000002</c:v>
                </c:pt>
                <c:pt idx="111">
                  <c:v>0.92935999999999996</c:v>
                </c:pt>
                <c:pt idx="112">
                  <c:v>0.88644000000000001</c:v>
                </c:pt>
                <c:pt idx="113">
                  <c:v>0.89071999999999996</c:v>
                </c:pt>
                <c:pt idx="114">
                  <c:v>0.95876000000000006</c:v>
                </c:pt>
                <c:pt idx="115">
                  <c:v>0.92296</c:v>
                </c:pt>
                <c:pt idx="116">
                  <c:v>0.92480000000000007</c:v>
                </c:pt>
                <c:pt idx="117">
                  <c:v>0.88979999999999992</c:v>
                </c:pt>
                <c:pt idx="118">
                  <c:v>0.91427999999999998</c:v>
                </c:pt>
                <c:pt idx="119">
                  <c:v>0.92376000000000003</c:v>
                </c:pt>
                <c:pt idx="120">
                  <c:v>0.92247999999999997</c:v>
                </c:pt>
                <c:pt idx="121">
                  <c:v>0.92368000000000006</c:v>
                </c:pt>
                <c:pt idx="122">
                  <c:v>0.9601599999999999</c:v>
                </c:pt>
                <c:pt idx="123">
                  <c:v>0.95755999999999997</c:v>
                </c:pt>
                <c:pt idx="124">
                  <c:v>0.96188000000000007</c:v>
                </c:pt>
                <c:pt idx="125">
                  <c:v>0.96508000000000005</c:v>
                </c:pt>
                <c:pt idx="126">
                  <c:v>0.95760000000000001</c:v>
                </c:pt>
                <c:pt idx="127">
                  <c:v>0.93084000000000011</c:v>
                </c:pt>
                <c:pt idx="128">
                  <c:v>0.9573600000000001</c:v>
                </c:pt>
                <c:pt idx="129">
                  <c:v>0.96099999999999997</c:v>
                </c:pt>
                <c:pt idx="130">
                  <c:v>0.99848000000000003</c:v>
                </c:pt>
                <c:pt idx="131">
                  <c:v>0.99924000000000002</c:v>
                </c:pt>
                <c:pt idx="132">
                  <c:v>0.99936000000000003</c:v>
                </c:pt>
                <c:pt idx="133">
                  <c:v>0.99944000000000011</c:v>
                </c:pt>
                <c:pt idx="134">
                  <c:v>0.99907999999999997</c:v>
                </c:pt>
                <c:pt idx="135">
                  <c:v>0.96175999999999995</c:v>
                </c:pt>
                <c:pt idx="136">
                  <c:v>0.96240000000000003</c:v>
                </c:pt>
                <c:pt idx="137">
                  <c:v>0.96107999999999993</c:v>
                </c:pt>
                <c:pt idx="138">
                  <c:v>0.95804000000000011</c:v>
                </c:pt>
                <c:pt idx="139">
                  <c:v>0.99827999999999995</c:v>
                </c:pt>
                <c:pt idx="140">
                  <c:v>0.99884000000000006</c:v>
                </c:pt>
                <c:pt idx="141">
                  <c:v>0.99887999999999999</c:v>
                </c:pt>
                <c:pt idx="142">
                  <c:v>0.99931999999999999</c:v>
                </c:pt>
                <c:pt idx="143">
                  <c:v>0.99931999999999999</c:v>
                </c:pt>
                <c:pt idx="144">
                  <c:v>0.96188000000000007</c:v>
                </c:pt>
                <c:pt idx="145">
                  <c:v>0.96300000000000008</c:v>
                </c:pt>
                <c:pt idx="146">
                  <c:v>0.95984000000000003</c:v>
                </c:pt>
                <c:pt idx="147">
                  <c:v>0.93228000000000011</c:v>
                </c:pt>
                <c:pt idx="148">
                  <c:v>0.96479999999999999</c:v>
                </c:pt>
                <c:pt idx="149">
                  <c:v>0.96296000000000004</c:v>
                </c:pt>
                <c:pt idx="150">
                  <c:v>0.93203999999999998</c:v>
                </c:pt>
                <c:pt idx="151">
                  <c:v>0.95804000000000011</c:v>
                </c:pt>
                <c:pt idx="152">
                  <c:v>0.96495999999999993</c:v>
                </c:pt>
                <c:pt idx="153">
                  <c:v>0.99771999999999994</c:v>
                </c:pt>
                <c:pt idx="154">
                  <c:v>0.96419999999999995</c:v>
                </c:pt>
                <c:pt idx="155">
                  <c:v>0.99895999999999996</c:v>
                </c:pt>
                <c:pt idx="156">
                  <c:v>0.96156000000000008</c:v>
                </c:pt>
                <c:pt idx="157">
                  <c:v>0.96156000000000008</c:v>
                </c:pt>
                <c:pt idx="158">
                  <c:v>0.96235999999999999</c:v>
                </c:pt>
                <c:pt idx="159">
                  <c:v>0.9991199999999999</c:v>
                </c:pt>
                <c:pt idx="160">
                  <c:v>0.99920000000000009</c:v>
                </c:pt>
                <c:pt idx="161">
                  <c:v>0.9991199999999999</c:v>
                </c:pt>
                <c:pt idx="162">
                  <c:v>0.99920000000000009</c:v>
                </c:pt>
                <c:pt idx="163">
                  <c:v>0.99936000000000003</c:v>
                </c:pt>
                <c:pt idx="164">
                  <c:v>0.96272000000000002</c:v>
                </c:pt>
                <c:pt idx="165">
                  <c:v>0.99895999999999996</c:v>
                </c:pt>
                <c:pt idx="166">
                  <c:v>0.96135999999999999</c:v>
                </c:pt>
                <c:pt idx="167">
                  <c:v>0.95871999999999991</c:v>
                </c:pt>
                <c:pt idx="168">
                  <c:v>0.95871999999999991</c:v>
                </c:pt>
                <c:pt idx="169">
                  <c:v>0.95567999999999986</c:v>
                </c:pt>
                <c:pt idx="170">
                  <c:v>0.95364000000000004</c:v>
                </c:pt>
                <c:pt idx="171">
                  <c:v>0.96379999999999999</c:v>
                </c:pt>
                <c:pt idx="172">
                  <c:v>0.95459999999999989</c:v>
                </c:pt>
                <c:pt idx="173">
                  <c:v>0.96199999999999997</c:v>
                </c:pt>
                <c:pt idx="174">
                  <c:v>0.99876000000000009</c:v>
                </c:pt>
                <c:pt idx="175">
                  <c:v>0.99947999999999992</c:v>
                </c:pt>
                <c:pt idx="176">
                  <c:v>0.99924000000000002</c:v>
                </c:pt>
                <c:pt idx="177">
                  <c:v>0.99979999999999991</c:v>
                </c:pt>
                <c:pt idx="178">
                  <c:v>0.96164000000000005</c:v>
                </c:pt>
                <c:pt idx="179">
                  <c:v>0.96235999999999999</c:v>
                </c:pt>
                <c:pt idx="180">
                  <c:v>0.96275999999999995</c:v>
                </c:pt>
                <c:pt idx="181">
                  <c:v>0.96228000000000002</c:v>
                </c:pt>
                <c:pt idx="182">
                  <c:v>0.99856</c:v>
                </c:pt>
                <c:pt idx="183">
                  <c:v>0.96140000000000003</c:v>
                </c:pt>
                <c:pt idx="184">
                  <c:v>0.96251999999999993</c:v>
                </c:pt>
                <c:pt idx="185">
                  <c:v>0.99892000000000003</c:v>
                </c:pt>
                <c:pt idx="186">
                  <c:v>0.96211999999999998</c:v>
                </c:pt>
                <c:pt idx="187">
                  <c:v>0.96160000000000001</c:v>
                </c:pt>
                <c:pt idx="188">
                  <c:v>0.96048000000000011</c:v>
                </c:pt>
                <c:pt idx="189">
                  <c:v>0.95975999999999995</c:v>
                </c:pt>
                <c:pt idx="190">
                  <c:v>0.96128000000000002</c:v>
                </c:pt>
                <c:pt idx="191">
                  <c:v>0.96096000000000004</c:v>
                </c:pt>
                <c:pt idx="192">
                  <c:v>0.96199999999999997</c:v>
                </c:pt>
                <c:pt idx="193">
                  <c:v>0.96160000000000001</c:v>
                </c:pt>
                <c:pt idx="194">
                  <c:v>0.96335999999999999</c:v>
                </c:pt>
                <c:pt idx="195">
                  <c:v>0.96207999999999994</c:v>
                </c:pt>
                <c:pt idx="196">
                  <c:v>0.99871999999999994</c:v>
                </c:pt>
                <c:pt idx="197">
                  <c:v>0.99928000000000006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F0A-4ED9-9E0E-3497E4F90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90784"/>
        <c:axId val="1318262624"/>
      </c:scatterChart>
      <c:valAx>
        <c:axId val="1077390784"/>
        <c:scaling>
          <c:orientation val="minMax"/>
          <c:max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62624"/>
        <c:crosses val="autoZero"/>
        <c:crossBetween val="midCat"/>
      </c:valAx>
      <c:valAx>
        <c:axId val="1318262624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0784"/>
        <c:crosses val="autoZero"/>
        <c:crossBetween val="midCat"/>
        <c:majorUnit val="0.2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'# Out NF'!$O$2</c:f>
              <c:strCache>
                <c:ptCount val="1"/>
                <c:pt idx="0">
                  <c:v>Run 1</c:v>
                </c:pt>
              </c:strCache>
            </c:strRef>
          </c:tx>
          <c:spPr>
            <a:ln w="19050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NF'!$N$3:$N$29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'# Out NF'!$O$3:$O$29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AC-45BF-83CB-6937AF20860E}"/>
            </c:ext>
          </c:extLst>
        </c:ser>
        <c:ser>
          <c:idx val="1"/>
          <c:order val="1"/>
          <c:tx>
            <c:strRef>
              <c:f>'# Out NF'!$P$2</c:f>
              <c:strCache>
                <c:ptCount val="1"/>
                <c:pt idx="0">
                  <c:v>Run 2</c:v>
                </c:pt>
              </c:strCache>
            </c:strRef>
          </c:tx>
          <c:spPr>
            <a:ln w="19050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NF'!$N$3:$N$29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'# Out NF'!$P$3:$P$29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AC-45BF-83CB-6937AF20860E}"/>
            </c:ext>
          </c:extLst>
        </c:ser>
        <c:ser>
          <c:idx val="2"/>
          <c:order val="2"/>
          <c:tx>
            <c:strRef>
              <c:f>'# Out NF'!$Q$2</c:f>
              <c:strCache>
                <c:ptCount val="1"/>
                <c:pt idx="0">
                  <c:v>Run 3</c:v>
                </c:pt>
              </c:strCache>
            </c:strRef>
          </c:tx>
          <c:spPr>
            <a:ln w="19050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NF'!$N$3:$N$29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'# Out NF'!$Q$3:$Q$29</c:f>
              <c:numCache>
                <c:formatCode>General</c:formatCode>
                <c:ptCount val="27"/>
                <c:pt idx="0">
                  <c:v>1</c:v>
                </c:pt>
                <c:pt idx="1">
                  <c:v>0.999</c:v>
                </c:pt>
                <c:pt idx="2">
                  <c:v>0.999</c:v>
                </c:pt>
                <c:pt idx="3">
                  <c:v>0.999</c:v>
                </c:pt>
                <c:pt idx="4">
                  <c:v>0.999</c:v>
                </c:pt>
                <c:pt idx="5">
                  <c:v>0.999</c:v>
                </c:pt>
                <c:pt idx="6">
                  <c:v>0.999</c:v>
                </c:pt>
                <c:pt idx="7">
                  <c:v>0.999</c:v>
                </c:pt>
                <c:pt idx="8">
                  <c:v>0.999</c:v>
                </c:pt>
                <c:pt idx="9">
                  <c:v>0.999</c:v>
                </c:pt>
                <c:pt idx="10">
                  <c:v>0.999</c:v>
                </c:pt>
                <c:pt idx="11">
                  <c:v>0.999</c:v>
                </c:pt>
                <c:pt idx="12">
                  <c:v>0.999</c:v>
                </c:pt>
                <c:pt idx="13">
                  <c:v>0.999</c:v>
                </c:pt>
                <c:pt idx="14">
                  <c:v>0.999</c:v>
                </c:pt>
                <c:pt idx="15">
                  <c:v>0.999</c:v>
                </c:pt>
                <c:pt idx="16">
                  <c:v>0.999</c:v>
                </c:pt>
                <c:pt idx="17">
                  <c:v>0.999</c:v>
                </c:pt>
                <c:pt idx="18">
                  <c:v>0.999</c:v>
                </c:pt>
                <c:pt idx="19">
                  <c:v>0.999</c:v>
                </c:pt>
                <c:pt idx="20">
                  <c:v>0.999</c:v>
                </c:pt>
                <c:pt idx="21">
                  <c:v>0.999</c:v>
                </c:pt>
                <c:pt idx="22">
                  <c:v>0.999</c:v>
                </c:pt>
                <c:pt idx="23">
                  <c:v>0.999</c:v>
                </c:pt>
                <c:pt idx="24">
                  <c:v>0.999</c:v>
                </c:pt>
                <c:pt idx="25">
                  <c:v>0.999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AC-45BF-83CB-6937AF20860E}"/>
            </c:ext>
          </c:extLst>
        </c:ser>
        <c:ser>
          <c:idx val="3"/>
          <c:order val="3"/>
          <c:tx>
            <c:strRef>
              <c:f>'# Out NF'!$R$2</c:f>
              <c:strCache>
                <c:ptCount val="1"/>
                <c:pt idx="0">
                  <c:v>Run 4</c:v>
                </c:pt>
              </c:strCache>
            </c:strRef>
          </c:tx>
          <c:spPr>
            <a:ln w="19050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NF'!$N$3:$N$29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'# Out NF'!$R$3:$R$29</c:f>
              <c:numCache>
                <c:formatCode>General</c:formatCode>
                <c:ptCount val="27"/>
                <c:pt idx="0">
                  <c:v>1</c:v>
                </c:pt>
                <c:pt idx="1">
                  <c:v>0.999</c:v>
                </c:pt>
                <c:pt idx="2">
                  <c:v>0.999</c:v>
                </c:pt>
                <c:pt idx="3">
                  <c:v>0.999</c:v>
                </c:pt>
                <c:pt idx="4">
                  <c:v>0.999</c:v>
                </c:pt>
                <c:pt idx="5">
                  <c:v>0.999</c:v>
                </c:pt>
                <c:pt idx="6">
                  <c:v>0.999</c:v>
                </c:pt>
                <c:pt idx="7">
                  <c:v>0.999</c:v>
                </c:pt>
                <c:pt idx="8">
                  <c:v>0.999</c:v>
                </c:pt>
                <c:pt idx="9">
                  <c:v>0.999</c:v>
                </c:pt>
                <c:pt idx="10">
                  <c:v>0.999</c:v>
                </c:pt>
                <c:pt idx="11">
                  <c:v>0.999</c:v>
                </c:pt>
                <c:pt idx="12">
                  <c:v>0.999</c:v>
                </c:pt>
                <c:pt idx="13">
                  <c:v>0.999</c:v>
                </c:pt>
                <c:pt idx="14">
                  <c:v>0.999</c:v>
                </c:pt>
                <c:pt idx="15">
                  <c:v>0.999</c:v>
                </c:pt>
                <c:pt idx="16">
                  <c:v>0.999</c:v>
                </c:pt>
                <c:pt idx="17">
                  <c:v>0.999</c:v>
                </c:pt>
                <c:pt idx="18">
                  <c:v>0.999</c:v>
                </c:pt>
                <c:pt idx="19">
                  <c:v>0.999</c:v>
                </c:pt>
                <c:pt idx="20">
                  <c:v>0.998</c:v>
                </c:pt>
                <c:pt idx="21">
                  <c:v>0.999</c:v>
                </c:pt>
                <c:pt idx="22">
                  <c:v>0.999</c:v>
                </c:pt>
                <c:pt idx="23">
                  <c:v>0.999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AC-45BF-83CB-6937AF20860E}"/>
            </c:ext>
          </c:extLst>
        </c:ser>
        <c:ser>
          <c:idx val="4"/>
          <c:order val="4"/>
          <c:tx>
            <c:strRef>
              <c:f>'# Out NF'!$S$2</c:f>
              <c:strCache>
                <c:ptCount val="1"/>
                <c:pt idx="0">
                  <c:v>Run 5</c:v>
                </c:pt>
              </c:strCache>
            </c:strRef>
          </c:tx>
          <c:spPr>
            <a:ln w="19050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NF'!$N$3:$N$29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'# Out NF'!$S$3:$S$29</c:f>
              <c:numCache>
                <c:formatCode>General</c:formatCode>
                <c:ptCount val="27"/>
                <c:pt idx="0">
                  <c:v>1</c:v>
                </c:pt>
                <c:pt idx="1">
                  <c:v>0.999</c:v>
                </c:pt>
                <c:pt idx="2">
                  <c:v>0.999</c:v>
                </c:pt>
                <c:pt idx="3">
                  <c:v>0.999</c:v>
                </c:pt>
                <c:pt idx="4">
                  <c:v>0.999</c:v>
                </c:pt>
                <c:pt idx="5">
                  <c:v>0.999</c:v>
                </c:pt>
                <c:pt idx="6">
                  <c:v>0.999</c:v>
                </c:pt>
                <c:pt idx="7">
                  <c:v>0.999</c:v>
                </c:pt>
                <c:pt idx="8">
                  <c:v>0.999</c:v>
                </c:pt>
                <c:pt idx="9">
                  <c:v>0.999</c:v>
                </c:pt>
                <c:pt idx="10">
                  <c:v>0.998</c:v>
                </c:pt>
                <c:pt idx="11">
                  <c:v>0.999</c:v>
                </c:pt>
                <c:pt idx="12">
                  <c:v>0.998</c:v>
                </c:pt>
                <c:pt idx="13">
                  <c:v>0.999</c:v>
                </c:pt>
                <c:pt idx="14">
                  <c:v>0.999</c:v>
                </c:pt>
                <c:pt idx="15">
                  <c:v>0.999</c:v>
                </c:pt>
                <c:pt idx="16">
                  <c:v>0.999</c:v>
                </c:pt>
                <c:pt idx="17">
                  <c:v>0.999</c:v>
                </c:pt>
                <c:pt idx="18">
                  <c:v>0.999</c:v>
                </c:pt>
                <c:pt idx="19">
                  <c:v>0.999</c:v>
                </c:pt>
                <c:pt idx="20">
                  <c:v>0.998</c:v>
                </c:pt>
                <c:pt idx="21">
                  <c:v>0.999</c:v>
                </c:pt>
                <c:pt idx="22">
                  <c:v>0.998</c:v>
                </c:pt>
                <c:pt idx="23">
                  <c:v>0.998</c:v>
                </c:pt>
                <c:pt idx="24">
                  <c:v>0.998</c:v>
                </c:pt>
                <c:pt idx="25">
                  <c:v>0.998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AC-45BF-83CB-6937AF20860E}"/>
            </c:ext>
          </c:extLst>
        </c:ser>
        <c:ser>
          <c:idx val="5"/>
          <c:order val="5"/>
          <c:tx>
            <c:strRef>
              <c:f>'# Out NF'!$T$2</c:f>
              <c:strCache>
                <c:ptCount val="1"/>
                <c:pt idx="0">
                  <c:v>Run 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'# Out NF'!$N$3:$N$29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'# Out NF'!$T$3:$T$29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BAC-45BF-83CB-6937AF20860E}"/>
            </c:ext>
          </c:extLst>
        </c:ser>
        <c:ser>
          <c:idx val="6"/>
          <c:order val="6"/>
          <c:tx>
            <c:strRef>
              <c:f>'# Out NF'!$U$2</c:f>
              <c:strCache>
                <c:ptCount val="1"/>
                <c:pt idx="0">
                  <c:v>Run 7</c:v>
                </c:pt>
              </c:strCache>
            </c:strRef>
          </c:tx>
          <c:spPr>
            <a:ln w="19050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NF'!$N$3:$N$29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'# Out NF'!$U$3:$U$29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BAC-45BF-83CB-6937AF20860E}"/>
            </c:ext>
          </c:extLst>
        </c:ser>
        <c:ser>
          <c:idx val="7"/>
          <c:order val="7"/>
          <c:tx>
            <c:strRef>
              <c:f>'# Out NF'!$V$2</c:f>
              <c:strCache>
                <c:ptCount val="1"/>
                <c:pt idx="0">
                  <c:v>Run 8</c:v>
                </c:pt>
              </c:strCache>
            </c:strRef>
          </c:tx>
          <c:spPr>
            <a:ln w="19050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NF'!$N$3:$N$29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'# Out NF'!$V$3:$V$29</c:f>
              <c:numCache>
                <c:formatCode>General</c:formatCode>
                <c:ptCount val="27"/>
                <c:pt idx="0">
                  <c:v>1</c:v>
                </c:pt>
                <c:pt idx="1">
                  <c:v>0.998</c:v>
                </c:pt>
                <c:pt idx="2">
                  <c:v>0.998</c:v>
                </c:pt>
                <c:pt idx="3">
                  <c:v>0.997</c:v>
                </c:pt>
                <c:pt idx="4">
                  <c:v>0.998</c:v>
                </c:pt>
                <c:pt idx="5">
                  <c:v>0.997</c:v>
                </c:pt>
                <c:pt idx="6">
                  <c:v>0.998</c:v>
                </c:pt>
                <c:pt idx="7">
                  <c:v>0.998</c:v>
                </c:pt>
                <c:pt idx="8">
                  <c:v>0.998</c:v>
                </c:pt>
                <c:pt idx="9">
                  <c:v>0.998</c:v>
                </c:pt>
                <c:pt idx="10">
                  <c:v>0.998</c:v>
                </c:pt>
                <c:pt idx="11">
                  <c:v>0.998</c:v>
                </c:pt>
                <c:pt idx="12">
                  <c:v>0.998</c:v>
                </c:pt>
                <c:pt idx="13">
                  <c:v>0.998</c:v>
                </c:pt>
                <c:pt idx="14">
                  <c:v>0.998</c:v>
                </c:pt>
                <c:pt idx="15">
                  <c:v>0.998</c:v>
                </c:pt>
                <c:pt idx="16">
                  <c:v>0.998</c:v>
                </c:pt>
                <c:pt idx="17">
                  <c:v>0.998</c:v>
                </c:pt>
                <c:pt idx="18">
                  <c:v>0.998</c:v>
                </c:pt>
                <c:pt idx="19">
                  <c:v>0.999</c:v>
                </c:pt>
                <c:pt idx="20">
                  <c:v>0.998</c:v>
                </c:pt>
                <c:pt idx="21">
                  <c:v>0.998</c:v>
                </c:pt>
                <c:pt idx="22">
                  <c:v>0.998</c:v>
                </c:pt>
                <c:pt idx="23">
                  <c:v>0.998</c:v>
                </c:pt>
                <c:pt idx="24">
                  <c:v>0.998</c:v>
                </c:pt>
                <c:pt idx="25">
                  <c:v>0.998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BAC-45BF-83CB-6937AF20860E}"/>
            </c:ext>
          </c:extLst>
        </c:ser>
        <c:ser>
          <c:idx val="8"/>
          <c:order val="8"/>
          <c:tx>
            <c:strRef>
              <c:f>'# Out NF'!$W$2</c:f>
              <c:strCache>
                <c:ptCount val="1"/>
                <c:pt idx="0">
                  <c:v>Run 9</c:v>
                </c:pt>
              </c:strCache>
            </c:strRef>
          </c:tx>
          <c:spPr>
            <a:ln w="19050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NF'!$N$3:$N$29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'# Out NF'!$W$3:$W$29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BAC-45BF-83CB-6937AF20860E}"/>
            </c:ext>
          </c:extLst>
        </c:ser>
        <c:ser>
          <c:idx val="9"/>
          <c:order val="9"/>
          <c:tx>
            <c:strRef>
              <c:f>'# Out NF'!$X$2</c:f>
              <c:strCache>
                <c:ptCount val="1"/>
                <c:pt idx="0">
                  <c:v>Run 10</c:v>
                </c:pt>
              </c:strCache>
            </c:strRef>
          </c:tx>
          <c:spPr>
            <a:ln w="19050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NF'!$N$3:$N$29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'# Out NF'!$X$3:$X$29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0.999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0.999</c:v>
                </c:pt>
                <c:pt idx="10">
                  <c:v>1</c:v>
                </c:pt>
                <c:pt idx="11">
                  <c:v>1</c:v>
                </c:pt>
                <c:pt idx="12">
                  <c:v>0.999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0.999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BAC-45BF-83CB-6937AF20860E}"/>
            </c:ext>
          </c:extLst>
        </c:ser>
        <c:ser>
          <c:idx val="10"/>
          <c:order val="10"/>
          <c:tx>
            <c:strRef>
              <c:f>'# Out NF'!$Y$2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'# Out NF'!$N$3:$N$29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'# Out NF'!$Y$3:$Y$29</c:f>
              <c:numCache>
                <c:formatCode>General</c:formatCode>
                <c:ptCount val="27"/>
                <c:pt idx="0">
                  <c:v>1</c:v>
                </c:pt>
                <c:pt idx="1">
                  <c:v>0.99950000000000006</c:v>
                </c:pt>
                <c:pt idx="2">
                  <c:v>0.99950000000000006</c:v>
                </c:pt>
                <c:pt idx="3">
                  <c:v>0.99939999999999996</c:v>
                </c:pt>
                <c:pt idx="4">
                  <c:v>0.99939999999999996</c:v>
                </c:pt>
                <c:pt idx="5">
                  <c:v>0.99939999999999996</c:v>
                </c:pt>
                <c:pt idx="6">
                  <c:v>0.99950000000000006</c:v>
                </c:pt>
                <c:pt idx="7">
                  <c:v>0.99950000000000006</c:v>
                </c:pt>
                <c:pt idx="8">
                  <c:v>0.99950000000000006</c:v>
                </c:pt>
                <c:pt idx="9">
                  <c:v>0.99939999999999996</c:v>
                </c:pt>
                <c:pt idx="10">
                  <c:v>0.99939999999999996</c:v>
                </c:pt>
                <c:pt idx="11">
                  <c:v>0.99950000000000006</c:v>
                </c:pt>
                <c:pt idx="12">
                  <c:v>0.99929999999999997</c:v>
                </c:pt>
                <c:pt idx="13">
                  <c:v>0.99950000000000006</c:v>
                </c:pt>
                <c:pt idx="14">
                  <c:v>0.99950000000000006</c:v>
                </c:pt>
                <c:pt idx="15">
                  <c:v>0.99950000000000006</c:v>
                </c:pt>
                <c:pt idx="16">
                  <c:v>0.99939999999999996</c:v>
                </c:pt>
                <c:pt idx="17">
                  <c:v>0.99950000000000006</c:v>
                </c:pt>
                <c:pt idx="18">
                  <c:v>0.99950000000000006</c:v>
                </c:pt>
                <c:pt idx="19">
                  <c:v>0.99960000000000004</c:v>
                </c:pt>
                <c:pt idx="20">
                  <c:v>0.99929999999999997</c:v>
                </c:pt>
                <c:pt idx="21">
                  <c:v>0.99950000000000006</c:v>
                </c:pt>
                <c:pt idx="22">
                  <c:v>0.99939999999999996</c:v>
                </c:pt>
                <c:pt idx="23">
                  <c:v>0.99939999999999996</c:v>
                </c:pt>
                <c:pt idx="24">
                  <c:v>0.99950000000000006</c:v>
                </c:pt>
                <c:pt idx="25">
                  <c:v>0.99950000000000006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BAC-45BF-83CB-6937AF208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90784"/>
        <c:axId val="1318262624"/>
      </c:scatterChart>
      <c:valAx>
        <c:axId val="107739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62624"/>
        <c:crosses val="autoZero"/>
        <c:crossBetween val="midCat"/>
      </c:valAx>
      <c:valAx>
        <c:axId val="1318262624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0784"/>
        <c:crosses val="autoZero"/>
        <c:crossBetween val="midCat"/>
        <c:majorUnit val="0.2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'# Out SF'!$O$2</c:f>
              <c:strCache>
                <c:ptCount val="1"/>
                <c:pt idx="0">
                  <c:v>Run 1</c:v>
                </c:pt>
              </c:strCache>
            </c:strRef>
          </c:tx>
          <c:spPr>
            <a:ln w="19050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SF'!$N$3:$N$37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'# Out SF'!$O$3:$O$37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0.99399999999999999</c:v>
                </c:pt>
                <c:pt idx="5">
                  <c:v>0.99</c:v>
                </c:pt>
                <c:pt idx="6">
                  <c:v>0.97899999999999998</c:v>
                </c:pt>
                <c:pt idx="7">
                  <c:v>0.96499999999999997</c:v>
                </c:pt>
                <c:pt idx="8">
                  <c:v>0.94</c:v>
                </c:pt>
                <c:pt idx="9">
                  <c:v>0.90700000000000003</c:v>
                </c:pt>
                <c:pt idx="10">
                  <c:v>0.86099999999999999</c:v>
                </c:pt>
                <c:pt idx="11">
                  <c:v>0.81499999999999995</c:v>
                </c:pt>
                <c:pt idx="12">
                  <c:v>0.77200000000000002</c:v>
                </c:pt>
                <c:pt idx="13">
                  <c:v>0.72299999999999998</c:v>
                </c:pt>
                <c:pt idx="14">
                  <c:v>0.69699999999999995</c:v>
                </c:pt>
                <c:pt idx="15">
                  <c:v>0.67</c:v>
                </c:pt>
                <c:pt idx="16">
                  <c:v>0.66800000000000004</c:v>
                </c:pt>
                <c:pt idx="17">
                  <c:v>0.70299999999999996</c:v>
                </c:pt>
                <c:pt idx="18">
                  <c:v>0.74199999999999999</c:v>
                </c:pt>
                <c:pt idx="19">
                  <c:v>0.80900000000000005</c:v>
                </c:pt>
                <c:pt idx="20">
                  <c:v>0.86499999999999999</c:v>
                </c:pt>
                <c:pt idx="21">
                  <c:v>0.91</c:v>
                </c:pt>
                <c:pt idx="22">
                  <c:v>0.94699999999999995</c:v>
                </c:pt>
                <c:pt idx="23">
                  <c:v>0.96499999999999997</c:v>
                </c:pt>
                <c:pt idx="24">
                  <c:v>0.98199999999999998</c:v>
                </c:pt>
                <c:pt idx="25">
                  <c:v>0.98899999999999999</c:v>
                </c:pt>
                <c:pt idx="26">
                  <c:v>0.99399999999999999</c:v>
                </c:pt>
                <c:pt idx="27">
                  <c:v>0.997</c:v>
                </c:pt>
                <c:pt idx="28">
                  <c:v>0.997</c:v>
                </c:pt>
                <c:pt idx="29">
                  <c:v>0.996</c:v>
                </c:pt>
                <c:pt idx="30">
                  <c:v>0.997</c:v>
                </c:pt>
                <c:pt idx="31">
                  <c:v>0.999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CD-4D43-AF9F-E3699A7D9254}"/>
            </c:ext>
          </c:extLst>
        </c:ser>
        <c:ser>
          <c:idx val="1"/>
          <c:order val="1"/>
          <c:tx>
            <c:strRef>
              <c:f>'# Out SF'!$P$2</c:f>
              <c:strCache>
                <c:ptCount val="1"/>
                <c:pt idx="0">
                  <c:v>Run 2</c:v>
                </c:pt>
              </c:strCache>
            </c:strRef>
          </c:tx>
          <c:spPr>
            <a:ln w="19050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SF'!$N$3:$N$37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'# Out SF'!$P$3:$P$37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0.996</c:v>
                </c:pt>
                <c:pt idx="5">
                  <c:v>0.98799999999999999</c:v>
                </c:pt>
                <c:pt idx="6">
                  <c:v>0.98299999999999998</c:v>
                </c:pt>
                <c:pt idx="7">
                  <c:v>0.97599999999999998</c:v>
                </c:pt>
                <c:pt idx="8">
                  <c:v>0.96399999999999997</c:v>
                </c:pt>
                <c:pt idx="9">
                  <c:v>0.95699999999999996</c:v>
                </c:pt>
                <c:pt idx="10">
                  <c:v>0.93400000000000005</c:v>
                </c:pt>
                <c:pt idx="11">
                  <c:v>0.90700000000000003</c:v>
                </c:pt>
                <c:pt idx="12">
                  <c:v>0.871</c:v>
                </c:pt>
                <c:pt idx="13">
                  <c:v>0.82099999999999995</c:v>
                </c:pt>
                <c:pt idx="14">
                  <c:v>0.77400000000000002</c:v>
                </c:pt>
                <c:pt idx="15">
                  <c:v>0.72099999999999997</c:v>
                </c:pt>
                <c:pt idx="16">
                  <c:v>0.67600000000000005</c:v>
                </c:pt>
                <c:pt idx="17">
                  <c:v>0.66</c:v>
                </c:pt>
                <c:pt idx="18">
                  <c:v>0.66800000000000004</c:v>
                </c:pt>
                <c:pt idx="19">
                  <c:v>0.70399999999999996</c:v>
                </c:pt>
                <c:pt idx="20">
                  <c:v>0.76500000000000001</c:v>
                </c:pt>
                <c:pt idx="21">
                  <c:v>0.82199999999999995</c:v>
                </c:pt>
                <c:pt idx="22">
                  <c:v>0.874</c:v>
                </c:pt>
                <c:pt idx="23">
                  <c:v>0.92200000000000004</c:v>
                </c:pt>
                <c:pt idx="24">
                  <c:v>0.95199999999999996</c:v>
                </c:pt>
                <c:pt idx="25">
                  <c:v>0.97199999999999998</c:v>
                </c:pt>
                <c:pt idx="26">
                  <c:v>0.98599999999999999</c:v>
                </c:pt>
                <c:pt idx="27">
                  <c:v>0.99099999999999999</c:v>
                </c:pt>
                <c:pt idx="28">
                  <c:v>0.995</c:v>
                </c:pt>
                <c:pt idx="29">
                  <c:v>0.999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CD-4D43-AF9F-E3699A7D9254}"/>
            </c:ext>
          </c:extLst>
        </c:ser>
        <c:ser>
          <c:idx val="2"/>
          <c:order val="2"/>
          <c:tx>
            <c:strRef>
              <c:f>'# Out SF'!$Q$2</c:f>
              <c:strCache>
                <c:ptCount val="1"/>
                <c:pt idx="0">
                  <c:v>Run 3</c:v>
                </c:pt>
              </c:strCache>
            </c:strRef>
          </c:tx>
          <c:spPr>
            <a:ln w="19050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SF'!$N$3:$N$37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'# Out SF'!$Q$3:$Q$37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0.996</c:v>
                </c:pt>
                <c:pt idx="5">
                  <c:v>0.99299999999999999</c:v>
                </c:pt>
                <c:pt idx="6">
                  <c:v>0.98899999999999999</c:v>
                </c:pt>
                <c:pt idx="7">
                  <c:v>0.98299999999999998</c:v>
                </c:pt>
                <c:pt idx="8">
                  <c:v>0.97499999999999998</c:v>
                </c:pt>
                <c:pt idx="9">
                  <c:v>0.95799999999999996</c:v>
                </c:pt>
                <c:pt idx="10">
                  <c:v>0.94299999999999995</c:v>
                </c:pt>
                <c:pt idx="11">
                  <c:v>0.91900000000000004</c:v>
                </c:pt>
                <c:pt idx="12">
                  <c:v>0.88700000000000001</c:v>
                </c:pt>
                <c:pt idx="13">
                  <c:v>0.84699999999999998</c:v>
                </c:pt>
                <c:pt idx="14">
                  <c:v>0.80700000000000005</c:v>
                </c:pt>
                <c:pt idx="15">
                  <c:v>0.75600000000000001</c:v>
                </c:pt>
                <c:pt idx="16">
                  <c:v>0.71199999999999997</c:v>
                </c:pt>
                <c:pt idx="17">
                  <c:v>0.68400000000000005</c:v>
                </c:pt>
                <c:pt idx="18">
                  <c:v>0.66700000000000004</c:v>
                </c:pt>
                <c:pt idx="19">
                  <c:v>0.69299999999999995</c:v>
                </c:pt>
                <c:pt idx="20">
                  <c:v>0.73799999999999999</c:v>
                </c:pt>
                <c:pt idx="21">
                  <c:v>0.79600000000000004</c:v>
                </c:pt>
                <c:pt idx="22">
                  <c:v>0.85199999999999998</c:v>
                </c:pt>
                <c:pt idx="23">
                  <c:v>0.90100000000000002</c:v>
                </c:pt>
                <c:pt idx="24">
                  <c:v>0.93200000000000005</c:v>
                </c:pt>
                <c:pt idx="25">
                  <c:v>0.95599999999999996</c:v>
                </c:pt>
                <c:pt idx="26">
                  <c:v>0.97199999999999998</c:v>
                </c:pt>
                <c:pt idx="27">
                  <c:v>0.98</c:v>
                </c:pt>
                <c:pt idx="28">
                  <c:v>0.99</c:v>
                </c:pt>
                <c:pt idx="29">
                  <c:v>0.99399999999999999</c:v>
                </c:pt>
                <c:pt idx="30">
                  <c:v>0.997</c:v>
                </c:pt>
                <c:pt idx="31">
                  <c:v>0.999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CD-4D43-AF9F-E3699A7D9254}"/>
            </c:ext>
          </c:extLst>
        </c:ser>
        <c:ser>
          <c:idx val="3"/>
          <c:order val="3"/>
          <c:tx>
            <c:strRef>
              <c:f>'# Out SF'!$R$2</c:f>
              <c:strCache>
                <c:ptCount val="1"/>
                <c:pt idx="0">
                  <c:v>Run 4</c:v>
                </c:pt>
              </c:strCache>
            </c:strRef>
          </c:tx>
          <c:spPr>
            <a:ln w="19050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SF'!$N$3:$N$37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'# Out SF'!$R$3:$R$37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0.998</c:v>
                </c:pt>
                <c:pt idx="5">
                  <c:v>0.998</c:v>
                </c:pt>
                <c:pt idx="6">
                  <c:v>0.998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CD-4D43-AF9F-E3699A7D9254}"/>
            </c:ext>
          </c:extLst>
        </c:ser>
        <c:ser>
          <c:idx val="4"/>
          <c:order val="4"/>
          <c:tx>
            <c:strRef>
              <c:f>'# Out SF'!$S$2</c:f>
              <c:strCache>
                <c:ptCount val="1"/>
                <c:pt idx="0">
                  <c:v>Run 5</c:v>
                </c:pt>
              </c:strCache>
            </c:strRef>
          </c:tx>
          <c:spPr>
            <a:ln w="19050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SF'!$N$3:$N$37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'# Out SF'!$S$3:$S$37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0.995</c:v>
                </c:pt>
                <c:pt idx="5">
                  <c:v>0.98899999999999999</c:v>
                </c:pt>
                <c:pt idx="6">
                  <c:v>0.98199999999999998</c:v>
                </c:pt>
                <c:pt idx="7">
                  <c:v>0.97699999999999998</c:v>
                </c:pt>
                <c:pt idx="8">
                  <c:v>0.96399999999999997</c:v>
                </c:pt>
                <c:pt idx="9">
                  <c:v>0.94499999999999995</c:v>
                </c:pt>
                <c:pt idx="10">
                  <c:v>0.91200000000000003</c:v>
                </c:pt>
                <c:pt idx="11">
                  <c:v>0.86</c:v>
                </c:pt>
                <c:pt idx="12">
                  <c:v>0.80400000000000005</c:v>
                </c:pt>
                <c:pt idx="13">
                  <c:v>0.72499999999999998</c:v>
                </c:pt>
                <c:pt idx="14">
                  <c:v>0.66700000000000004</c:v>
                </c:pt>
                <c:pt idx="15">
                  <c:v>0.63400000000000001</c:v>
                </c:pt>
                <c:pt idx="16">
                  <c:v>0.626</c:v>
                </c:pt>
                <c:pt idx="17">
                  <c:v>0.68500000000000005</c:v>
                </c:pt>
                <c:pt idx="18">
                  <c:v>0.745</c:v>
                </c:pt>
                <c:pt idx="19">
                  <c:v>0.81799999999999995</c:v>
                </c:pt>
                <c:pt idx="20">
                  <c:v>0.88200000000000001</c:v>
                </c:pt>
                <c:pt idx="21">
                  <c:v>0.91300000000000003</c:v>
                </c:pt>
                <c:pt idx="22">
                  <c:v>0.94599999999999995</c:v>
                </c:pt>
                <c:pt idx="23">
                  <c:v>0.95899999999999996</c:v>
                </c:pt>
                <c:pt idx="24">
                  <c:v>0.97099999999999997</c:v>
                </c:pt>
                <c:pt idx="25">
                  <c:v>0.98299999999999998</c:v>
                </c:pt>
                <c:pt idx="26">
                  <c:v>0.98799999999999999</c:v>
                </c:pt>
                <c:pt idx="27">
                  <c:v>0.99299999999999999</c:v>
                </c:pt>
                <c:pt idx="28">
                  <c:v>0.996</c:v>
                </c:pt>
                <c:pt idx="29">
                  <c:v>0.998</c:v>
                </c:pt>
                <c:pt idx="30">
                  <c:v>0.999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CD-4D43-AF9F-E3699A7D9254}"/>
            </c:ext>
          </c:extLst>
        </c:ser>
        <c:ser>
          <c:idx val="5"/>
          <c:order val="5"/>
          <c:tx>
            <c:strRef>
              <c:f>'# Out SF'!$T$2</c:f>
              <c:strCache>
                <c:ptCount val="1"/>
                <c:pt idx="0">
                  <c:v>Run 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'# Out SF'!$N$3:$N$37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'# Out SF'!$T$3:$T$37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0.996</c:v>
                </c:pt>
                <c:pt idx="5">
                  <c:v>0.99099999999999999</c:v>
                </c:pt>
                <c:pt idx="6">
                  <c:v>0.98</c:v>
                </c:pt>
                <c:pt idx="7">
                  <c:v>0.97199999999999998</c:v>
                </c:pt>
                <c:pt idx="8">
                  <c:v>0.95699999999999996</c:v>
                </c:pt>
                <c:pt idx="9">
                  <c:v>0.93600000000000005</c:v>
                </c:pt>
                <c:pt idx="10">
                  <c:v>0.89800000000000002</c:v>
                </c:pt>
                <c:pt idx="11">
                  <c:v>0.85299999999999998</c:v>
                </c:pt>
                <c:pt idx="12">
                  <c:v>0.78600000000000003</c:v>
                </c:pt>
                <c:pt idx="13">
                  <c:v>0.72699999999999998</c:v>
                </c:pt>
                <c:pt idx="14">
                  <c:v>0.66500000000000004</c:v>
                </c:pt>
                <c:pt idx="15">
                  <c:v>0.60799999999999998</c:v>
                </c:pt>
                <c:pt idx="16">
                  <c:v>0.60699999999999998</c:v>
                </c:pt>
                <c:pt idx="17">
                  <c:v>0.625</c:v>
                </c:pt>
                <c:pt idx="18">
                  <c:v>0.69899999999999995</c:v>
                </c:pt>
                <c:pt idx="19">
                  <c:v>0.78800000000000003</c:v>
                </c:pt>
                <c:pt idx="20">
                  <c:v>0.85299999999999998</c:v>
                </c:pt>
                <c:pt idx="21">
                  <c:v>0.91300000000000003</c:v>
                </c:pt>
                <c:pt idx="22">
                  <c:v>0.95199999999999996</c:v>
                </c:pt>
                <c:pt idx="23">
                  <c:v>0.97199999999999998</c:v>
                </c:pt>
                <c:pt idx="24">
                  <c:v>0.98899999999999999</c:v>
                </c:pt>
                <c:pt idx="25">
                  <c:v>0.996</c:v>
                </c:pt>
                <c:pt idx="26">
                  <c:v>0.998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CD-4D43-AF9F-E3699A7D9254}"/>
            </c:ext>
          </c:extLst>
        </c:ser>
        <c:ser>
          <c:idx val="6"/>
          <c:order val="6"/>
          <c:tx>
            <c:strRef>
              <c:f>'# Out SF'!$U$2</c:f>
              <c:strCache>
                <c:ptCount val="1"/>
                <c:pt idx="0">
                  <c:v>Run 7</c:v>
                </c:pt>
              </c:strCache>
            </c:strRef>
          </c:tx>
          <c:spPr>
            <a:ln w="19050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SF'!$N$3:$N$37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'# Out SF'!$U$3:$U$37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0.997</c:v>
                </c:pt>
                <c:pt idx="5">
                  <c:v>0.99399999999999999</c:v>
                </c:pt>
                <c:pt idx="6">
                  <c:v>0.98699999999999999</c:v>
                </c:pt>
                <c:pt idx="7">
                  <c:v>0.98199999999999998</c:v>
                </c:pt>
                <c:pt idx="8">
                  <c:v>0.96899999999999997</c:v>
                </c:pt>
                <c:pt idx="9">
                  <c:v>0.94899999999999995</c:v>
                </c:pt>
                <c:pt idx="10">
                  <c:v>0.91700000000000004</c:v>
                </c:pt>
                <c:pt idx="11">
                  <c:v>0.878</c:v>
                </c:pt>
                <c:pt idx="12">
                  <c:v>0.82199999999999995</c:v>
                </c:pt>
                <c:pt idx="13">
                  <c:v>0.76900000000000002</c:v>
                </c:pt>
                <c:pt idx="14">
                  <c:v>0.71399999999999997</c:v>
                </c:pt>
                <c:pt idx="15">
                  <c:v>0.67400000000000004</c:v>
                </c:pt>
                <c:pt idx="16">
                  <c:v>0.65400000000000003</c:v>
                </c:pt>
                <c:pt idx="17">
                  <c:v>0.65900000000000003</c:v>
                </c:pt>
                <c:pt idx="18">
                  <c:v>0.69699999999999995</c:v>
                </c:pt>
                <c:pt idx="19">
                  <c:v>0.747</c:v>
                </c:pt>
                <c:pt idx="20">
                  <c:v>0.81899999999999995</c:v>
                </c:pt>
                <c:pt idx="21">
                  <c:v>0.88</c:v>
                </c:pt>
                <c:pt idx="22">
                  <c:v>0.92500000000000004</c:v>
                </c:pt>
                <c:pt idx="23">
                  <c:v>0.95699999999999996</c:v>
                </c:pt>
                <c:pt idx="24">
                  <c:v>0.97099999999999997</c:v>
                </c:pt>
                <c:pt idx="25">
                  <c:v>0.97799999999999998</c:v>
                </c:pt>
                <c:pt idx="26">
                  <c:v>0.98799999999999999</c:v>
                </c:pt>
                <c:pt idx="27">
                  <c:v>0.99099999999999999</c:v>
                </c:pt>
                <c:pt idx="28">
                  <c:v>0.99299999999999999</c:v>
                </c:pt>
                <c:pt idx="29">
                  <c:v>0.996</c:v>
                </c:pt>
                <c:pt idx="30">
                  <c:v>0.997</c:v>
                </c:pt>
                <c:pt idx="31">
                  <c:v>0.998</c:v>
                </c:pt>
                <c:pt idx="32">
                  <c:v>0.999</c:v>
                </c:pt>
                <c:pt idx="33">
                  <c:v>0.999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3CD-4D43-AF9F-E3699A7D9254}"/>
            </c:ext>
          </c:extLst>
        </c:ser>
        <c:ser>
          <c:idx val="7"/>
          <c:order val="7"/>
          <c:tx>
            <c:strRef>
              <c:f>'# Out SF'!$V$2</c:f>
              <c:strCache>
                <c:ptCount val="1"/>
                <c:pt idx="0">
                  <c:v>Run 8</c:v>
                </c:pt>
              </c:strCache>
            </c:strRef>
          </c:tx>
          <c:spPr>
            <a:ln w="19050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SF'!$N$3:$N$37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'# Out SF'!$V$3:$V$37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0.99399999999999999</c:v>
                </c:pt>
                <c:pt idx="5">
                  <c:v>0.98899999999999999</c:v>
                </c:pt>
                <c:pt idx="6">
                  <c:v>0.97799999999999998</c:v>
                </c:pt>
                <c:pt idx="7">
                  <c:v>0.96399999999999997</c:v>
                </c:pt>
                <c:pt idx="8">
                  <c:v>0.94299999999999995</c:v>
                </c:pt>
                <c:pt idx="9">
                  <c:v>0.90700000000000003</c:v>
                </c:pt>
                <c:pt idx="10">
                  <c:v>0.85699999999999998</c:v>
                </c:pt>
                <c:pt idx="11">
                  <c:v>0.79600000000000004</c:v>
                </c:pt>
                <c:pt idx="12">
                  <c:v>0.72699999999999998</c:v>
                </c:pt>
                <c:pt idx="13">
                  <c:v>0.67400000000000004</c:v>
                </c:pt>
                <c:pt idx="14">
                  <c:v>0.63600000000000001</c:v>
                </c:pt>
                <c:pt idx="15">
                  <c:v>0.626</c:v>
                </c:pt>
                <c:pt idx="16">
                  <c:v>0.65100000000000002</c:v>
                </c:pt>
                <c:pt idx="17">
                  <c:v>0.69199999999999995</c:v>
                </c:pt>
                <c:pt idx="18">
                  <c:v>0.76400000000000001</c:v>
                </c:pt>
                <c:pt idx="19">
                  <c:v>0.84399999999999997</c:v>
                </c:pt>
                <c:pt idx="20">
                  <c:v>0.90500000000000003</c:v>
                </c:pt>
                <c:pt idx="21">
                  <c:v>0.95499999999999996</c:v>
                </c:pt>
                <c:pt idx="22">
                  <c:v>0.97799999999999998</c:v>
                </c:pt>
                <c:pt idx="23">
                  <c:v>0.98499999999999999</c:v>
                </c:pt>
                <c:pt idx="24">
                  <c:v>0.99199999999999999</c:v>
                </c:pt>
                <c:pt idx="25">
                  <c:v>0.99199999999999999</c:v>
                </c:pt>
                <c:pt idx="26">
                  <c:v>0.996</c:v>
                </c:pt>
                <c:pt idx="27">
                  <c:v>0.996</c:v>
                </c:pt>
                <c:pt idx="28">
                  <c:v>0.997</c:v>
                </c:pt>
                <c:pt idx="29">
                  <c:v>0.997</c:v>
                </c:pt>
                <c:pt idx="30">
                  <c:v>0.998</c:v>
                </c:pt>
                <c:pt idx="31">
                  <c:v>0.999</c:v>
                </c:pt>
                <c:pt idx="32">
                  <c:v>0.999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3CD-4D43-AF9F-E3699A7D9254}"/>
            </c:ext>
          </c:extLst>
        </c:ser>
        <c:ser>
          <c:idx val="8"/>
          <c:order val="8"/>
          <c:tx>
            <c:strRef>
              <c:f>'# Out SF'!$W$2</c:f>
              <c:strCache>
                <c:ptCount val="1"/>
                <c:pt idx="0">
                  <c:v>Run 9</c:v>
                </c:pt>
              </c:strCache>
            </c:strRef>
          </c:tx>
          <c:spPr>
            <a:ln w="19050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SF'!$N$3:$N$37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'# Out SF'!$W$3:$W$37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0.996</c:v>
                </c:pt>
                <c:pt idx="5">
                  <c:v>0.98899999999999999</c:v>
                </c:pt>
                <c:pt idx="6">
                  <c:v>0.98299999999999998</c:v>
                </c:pt>
                <c:pt idx="7">
                  <c:v>0.97499999999999998</c:v>
                </c:pt>
                <c:pt idx="8">
                  <c:v>0.96299999999999997</c:v>
                </c:pt>
                <c:pt idx="9">
                  <c:v>0.95399999999999996</c:v>
                </c:pt>
                <c:pt idx="10">
                  <c:v>0.92900000000000005</c:v>
                </c:pt>
                <c:pt idx="11">
                  <c:v>0.90700000000000003</c:v>
                </c:pt>
                <c:pt idx="12">
                  <c:v>0.86699999999999999</c:v>
                </c:pt>
                <c:pt idx="13">
                  <c:v>0.81599999999999995</c:v>
                </c:pt>
                <c:pt idx="14">
                  <c:v>0.76900000000000002</c:v>
                </c:pt>
                <c:pt idx="15">
                  <c:v>0.70699999999999996</c:v>
                </c:pt>
                <c:pt idx="16">
                  <c:v>0.68700000000000006</c:v>
                </c:pt>
                <c:pt idx="17">
                  <c:v>0.67300000000000004</c:v>
                </c:pt>
                <c:pt idx="18">
                  <c:v>0.69</c:v>
                </c:pt>
                <c:pt idx="19">
                  <c:v>0.73399999999999999</c:v>
                </c:pt>
                <c:pt idx="20">
                  <c:v>0.77100000000000002</c:v>
                </c:pt>
                <c:pt idx="21">
                  <c:v>0.82899999999999996</c:v>
                </c:pt>
                <c:pt idx="22">
                  <c:v>0.876</c:v>
                </c:pt>
                <c:pt idx="23">
                  <c:v>0.92100000000000004</c:v>
                </c:pt>
                <c:pt idx="24">
                  <c:v>0.95599999999999996</c:v>
                </c:pt>
                <c:pt idx="25">
                  <c:v>0.97799999999999998</c:v>
                </c:pt>
                <c:pt idx="26">
                  <c:v>0.99199999999999999</c:v>
                </c:pt>
                <c:pt idx="27">
                  <c:v>0.997</c:v>
                </c:pt>
                <c:pt idx="28">
                  <c:v>0.999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3CD-4D43-AF9F-E3699A7D9254}"/>
            </c:ext>
          </c:extLst>
        </c:ser>
        <c:ser>
          <c:idx val="9"/>
          <c:order val="9"/>
          <c:tx>
            <c:strRef>
              <c:f>'# Out SF'!$X$2</c:f>
              <c:strCache>
                <c:ptCount val="1"/>
                <c:pt idx="0">
                  <c:v>Run 10</c:v>
                </c:pt>
              </c:strCache>
            </c:strRef>
          </c:tx>
          <c:spPr>
            <a:ln w="19050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SF'!$N$3:$N$37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'# Out SF'!$X$3:$X$37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0.998</c:v>
                </c:pt>
                <c:pt idx="5">
                  <c:v>0.99399999999999999</c:v>
                </c:pt>
                <c:pt idx="6">
                  <c:v>0.99099999999999999</c:v>
                </c:pt>
                <c:pt idx="7">
                  <c:v>0.98799999999999999</c:v>
                </c:pt>
                <c:pt idx="8">
                  <c:v>0.98</c:v>
                </c:pt>
                <c:pt idx="9">
                  <c:v>0.97199999999999998</c:v>
                </c:pt>
                <c:pt idx="10">
                  <c:v>0.96199999999999997</c:v>
                </c:pt>
                <c:pt idx="11">
                  <c:v>0.94199999999999995</c:v>
                </c:pt>
                <c:pt idx="12">
                  <c:v>0.91600000000000004</c:v>
                </c:pt>
                <c:pt idx="13">
                  <c:v>0.88900000000000001</c:v>
                </c:pt>
                <c:pt idx="14">
                  <c:v>0.84299999999999997</c:v>
                </c:pt>
                <c:pt idx="15">
                  <c:v>0.78500000000000003</c:v>
                </c:pt>
                <c:pt idx="16">
                  <c:v>0.71699999999999997</c:v>
                </c:pt>
                <c:pt idx="17">
                  <c:v>0.65800000000000003</c:v>
                </c:pt>
                <c:pt idx="18">
                  <c:v>0.629</c:v>
                </c:pt>
                <c:pt idx="19">
                  <c:v>0.64200000000000002</c:v>
                </c:pt>
                <c:pt idx="20">
                  <c:v>0.69499999999999995</c:v>
                </c:pt>
                <c:pt idx="21">
                  <c:v>0.76100000000000001</c:v>
                </c:pt>
                <c:pt idx="22">
                  <c:v>0.83599999999999997</c:v>
                </c:pt>
                <c:pt idx="23">
                  <c:v>0.89500000000000002</c:v>
                </c:pt>
                <c:pt idx="24">
                  <c:v>0.93799999999999994</c:v>
                </c:pt>
                <c:pt idx="25">
                  <c:v>0.96499999999999997</c:v>
                </c:pt>
                <c:pt idx="26">
                  <c:v>0.97399999999999998</c:v>
                </c:pt>
                <c:pt idx="27">
                  <c:v>0.98299999999999998</c:v>
                </c:pt>
                <c:pt idx="28">
                  <c:v>0.98899999999999999</c:v>
                </c:pt>
                <c:pt idx="29">
                  <c:v>0.99299999999999999</c:v>
                </c:pt>
                <c:pt idx="30">
                  <c:v>0.996</c:v>
                </c:pt>
                <c:pt idx="31">
                  <c:v>0.997</c:v>
                </c:pt>
                <c:pt idx="32">
                  <c:v>0.998</c:v>
                </c:pt>
                <c:pt idx="33">
                  <c:v>0.999</c:v>
                </c:pt>
                <c:pt idx="34">
                  <c:v>0.999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3CD-4D43-AF9F-E3699A7D9254}"/>
            </c:ext>
          </c:extLst>
        </c:ser>
        <c:ser>
          <c:idx val="10"/>
          <c:order val="10"/>
          <c:tx>
            <c:strRef>
              <c:f>'# Out SF'!$Y$2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'# Out SF'!$N$3:$N$37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'# Out SF'!$Y$3:$Y$37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</c:v>
                </c:pt>
                <c:pt idx="4">
                  <c:v>0.996</c:v>
                </c:pt>
                <c:pt idx="5">
                  <c:v>0.99150000000000005</c:v>
                </c:pt>
                <c:pt idx="6">
                  <c:v>0.98499999999999999</c:v>
                </c:pt>
                <c:pt idx="7">
                  <c:v>0.97820000000000007</c:v>
                </c:pt>
                <c:pt idx="8">
                  <c:v>0.96550000000000002</c:v>
                </c:pt>
                <c:pt idx="9">
                  <c:v>0.94850000000000001</c:v>
                </c:pt>
                <c:pt idx="10">
                  <c:v>0.92130000000000001</c:v>
                </c:pt>
                <c:pt idx="11">
                  <c:v>0.88770000000000004</c:v>
                </c:pt>
                <c:pt idx="12">
                  <c:v>0.84520000000000006</c:v>
                </c:pt>
                <c:pt idx="13">
                  <c:v>0.79910000000000003</c:v>
                </c:pt>
                <c:pt idx="14">
                  <c:v>0.7572000000000001</c:v>
                </c:pt>
                <c:pt idx="15">
                  <c:v>0.71810000000000007</c:v>
                </c:pt>
                <c:pt idx="16">
                  <c:v>0.69979999999999998</c:v>
                </c:pt>
                <c:pt idx="17">
                  <c:v>0.70389999999999997</c:v>
                </c:pt>
                <c:pt idx="18">
                  <c:v>0.73009999999999997</c:v>
                </c:pt>
                <c:pt idx="19">
                  <c:v>0.77789999999999992</c:v>
                </c:pt>
                <c:pt idx="20">
                  <c:v>0.82929999999999993</c:v>
                </c:pt>
                <c:pt idx="21">
                  <c:v>0.87790000000000001</c:v>
                </c:pt>
                <c:pt idx="22">
                  <c:v>0.91859999999999997</c:v>
                </c:pt>
                <c:pt idx="23">
                  <c:v>0.9477000000000001</c:v>
                </c:pt>
                <c:pt idx="24">
                  <c:v>0.96829999999999994</c:v>
                </c:pt>
                <c:pt idx="25">
                  <c:v>0.98089999999999999</c:v>
                </c:pt>
                <c:pt idx="26">
                  <c:v>0.9887999999999999</c:v>
                </c:pt>
                <c:pt idx="27">
                  <c:v>0.9927999999999999</c:v>
                </c:pt>
                <c:pt idx="28">
                  <c:v>0.99560000000000004</c:v>
                </c:pt>
                <c:pt idx="29">
                  <c:v>0.99729999999999996</c:v>
                </c:pt>
                <c:pt idx="30">
                  <c:v>0.99839999999999995</c:v>
                </c:pt>
                <c:pt idx="31">
                  <c:v>0.99920000000000009</c:v>
                </c:pt>
                <c:pt idx="32">
                  <c:v>0.99960000000000004</c:v>
                </c:pt>
                <c:pt idx="33">
                  <c:v>0.99979999999999991</c:v>
                </c:pt>
                <c:pt idx="34">
                  <c:v>0.99990000000000001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3CD-4D43-AF9F-E3699A7D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90784"/>
        <c:axId val="1318262624"/>
      </c:scatterChart>
      <c:valAx>
        <c:axId val="107739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62624"/>
        <c:crosses val="autoZero"/>
        <c:crossBetween val="midCat"/>
      </c:valAx>
      <c:valAx>
        <c:axId val="131826262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 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0784"/>
        <c:crosses val="autoZero"/>
        <c:crossBetween val="midCat"/>
        <c:majorUnit val="0.2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'# Out FF'!$O$2</c:f>
              <c:strCache>
                <c:ptCount val="1"/>
                <c:pt idx="0">
                  <c:v>Run 1</c:v>
                </c:pt>
              </c:strCache>
            </c:strRef>
          </c:tx>
          <c:spPr>
            <a:ln w="19050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FF'!$N$3:$N$200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'# Out FF'!$O$3:$O$200</c:f>
              <c:numCache>
                <c:formatCode>General</c:formatCode>
                <c:ptCount val="198"/>
                <c:pt idx="0">
                  <c:v>1</c:v>
                </c:pt>
                <c:pt idx="1">
                  <c:v>0.998</c:v>
                </c:pt>
                <c:pt idx="2">
                  <c:v>0.997</c:v>
                </c:pt>
                <c:pt idx="3">
                  <c:v>0.999</c:v>
                </c:pt>
                <c:pt idx="4">
                  <c:v>0.78200000000000003</c:v>
                </c:pt>
                <c:pt idx="5">
                  <c:v>0.77100000000000002</c:v>
                </c:pt>
                <c:pt idx="6">
                  <c:v>0.71</c:v>
                </c:pt>
                <c:pt idx="7">
                  <c:v>0.65800000000000003</c:v>
                </c:pt>
                <c:pt idx="8">
                  <c:v>0.45300000000000001</c:v>
                </c:pt>
                <c:pt idx="9">
                  <c:v>0.34599999999999997</c:v>
                </c:pt>
                <c:pt idx="10">
                  <c:v>0.51100000000000001</c:v>
                </c:pt>
                <c:pt idx="11">
                  <c:v>0.44700000000000001</c:v>
                </c:pt>
                <c:pt idx="12">
                  <c:v>0.439</c:v>
                </c:pt>
                <c:pt idx="13">
                  <c:v>0.53500000000000003</c:v>
                </c:pt>
                <c:pt idx="14">
                  <c:v>0.54700000000000004</c:v>
                </c:pt>
                <c:pt idx="15">
                  <c:v>0.76600000000000001</c:v>
                </c:pt>
                <c:pt idx="16">
                  <c:v>0.71799999999999997</c:v>
                </c:pt>
                <c:pt idx="17">
                  <c:v>0.73799999999999999</c:v>
                </c:pt>
                <c:pt idx="18">
                  <c:v>0.66500000000000004</c:v>
                </c:pt>
                <c:pt idx="19">
                  <c:v>0.71299999999999997</c:v>
                </c:pt>
                <c:pt idx="20">
                  <c:v>0.84799999999999998</c:v>
                </c:pt>
                <c:pt idx="21">
                  <c:v>0.55800000000000005</c:v>
                </c:pt>
                <c:pt idx="22">
                  <c:v>0.71899999999999997</c:v>
                </c:pt>
                <c:pt idx="23">
                  <c:v>0.35699999999999998</c:v>
                </c:pt>
                <c:pt idx="24">
                  <c:v>0.35899999999999999</c:v>
                </c:pt>
                <c:pt idx="25">
                  <c:v>0.65600000000000003</c:v>
                </c:pt>
                <c:pt idx="26">
                  <c:v>0.7</c:v>
                </c:pt>
                <c:pt idx="27">
                  <c:v>0.79400000000000004</c:v>
                </c:pt>
                <c:pt idx="28">
                  <c:v>0.995</c:v>
                </c:pt>
                <c:pt idx="29">
                  <c:v>0.78200000000000003</c:v>
                </c:pt>
                <c:pt idx="30">
                  <c:v>0.998</c:v>
                </c:pt>
                <c:pt idx="31">
                  <c:v>0.8</c:v>
                </c:pt>
                <c:pt idx="32">
                  <c:v>0.55900000000000005</c:v>
                </c:pt>
                <c:pt idx="33">
                  <c:v>0.72299999999999998</c:v>
                </c:pt>
                <c:pt idx="34">
                  <c:v>0.746</c:v>
                </c:pt>
                <c:pt idx="35">
                  <c:v>0.76300000000000001</c:v>
                </c:pt>
                <c:pt idx="36">
                  <c:v>0.78700000000000003</c:v>
                </c:pt>
                <c:pt idx="37">
                  <c:v>0.78800000000000003</c:v>
                </c:pt>
                <c:pt idx="38">
                  <c:v>0.78</c:v>
                </c:pt>
                <c:pt idx="39">
                  <c:v>0.77700000000000002</c:v>
                </c:pt>
                <c:pt idx="40">
                  <c:v>0.78700000000000003</c:v>
                </c:pt>
                <c:pt idx="41">
                  <c:v>0.80400000000000005</c:v>
                </c:pt>
                <c:pt idx="42">
                  <c:v>0.76300000000000001</c:v>
                </c:pt>
                <c:pt idx="43">
                  <c:v>0.76700000000000002</c:v>
                </c:pt>
                <c:pt idx="44">
                  <c:v>0.77800000000000002</c:v>
                </c:pt>
                <c:pt idx="45">
                  <c:v>0.78</c:v>
                </c:pt>
                <c:pt idx="46">
                  <c:v>0.80100000000000005</c:v>
                </c:pt>
                <c:pt idx="47">
                  <c:v>0.998</c:v>
                </c:pt>
                <c:pt idx="48">
                  <c:v>0.999</c:v>
                </c:pt>
                <c:pt idx="49">
                  <c:v>0.999</c:v>
                </c:pt>
                <c:pt idx="50">
                  <c:v>0.80500000000000005</c:v>
                </c:pt>
                <c:pt idx="51">
                  <c:v>0.77100000000000002</c:v>
                </c:pt>
                <c:pt idx="52">
                  <c:v>0.72</c:v>
                </c:pt>
                <c:pt idx="53">
                  <c:v>0.71199999999999997</c:v>
                </c:pt>
                <c:pt idx="54">
                  <c:v>0.54900000000000004</c:v>
                </c:pt>
                <c:pt idx="55">
                  <c:v>0.71799999999999997</c:v>
                </c:pt>
                <c:pt idx="56">
                  <c:v>0.54600000000000004</c:v>
                </c:pt>
                <c:pt idx="57">
                  <c:v>0.746</c:v>
                </c:pt>
                <c:pt idx="58">
                  <c:v>0.79</c:v>
                </c:pt>
                <c:pt idx="59">
                  <c:v>0.77700000000000002</c:v>
                </c:pt>
                <c:pt idx="60">
                  <c:v>0.995</c:v>
                </c:pt>
                <c:pt idx="61">
                  <c:v>0.77800000000000002</c:v>
                </c:pt>
                <c:pt idx="62">
                  <c:v>0.78500000000000003</c:v>
                </c:pt>
                <c:pt idx="63">
                  <c:v>0.80300000000000005</c:v>
                </c:pt>
                <c:pt idx="64">
                  <c:v>0.71599999999999997</c:v>
                </c:pt>
                <c:pt idx="65">
                  <c:v>0.76700000000000002</c:v>
                </c:pt>
                <c:pt idx="66">
                  <c:v>0.78600000000000003</c:v>
                </c:pt>
                <c:pt idx="67">
                  <c:v>0.77700000000000002</c:v>
                </c:pt>
                <c:pt idx="68">
                  <c:v>0.75700000000000001</c:v>
                </c:pt>
                <c:pt idx="69">
                  <c:v>0.56699999999999995</c:v>
                </c:pt>
                <c:pt idx="70">
                  <c:v>0.78900000000000003</c:v>
                </c:pt>
                <c:pt idx="71">
                  <c:v>0.80300000000000005</c:v>
                </c:pt>
                <c:pt idx="72">
                  <c:v>0.77900000000000003</c:v>
                </c:pt>
                <c:pt idx="73">
                  <c:v>0.81200000000000006</c:v>
                </c:pt>
                <c:pt idx="74">
                  <c:v>0.995</c:v>
                </c:pt>
                <c:pt idx="75">
                  <c:v>0.999</c:v>
                </c:pt>
                <c:pt idx="76">
                  <c:v>0.999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BE-487C-A30C-3AE74D9D8CB3}"/>
            </c:ext>
          </c:extLst>
        </c:ser>
        <c:ser>
          <c:idx val="1"/>
          <c:order val="1"/>
          <c:tx>
            <c:strRef>
              <c:f>'# Out FF'!$P$2</c:f>
              <c:strCache>
                <c:ptCount val="1"/>
                <c:pt idx="0">
                  <c:v>Run 2</c:v>
                </c:pt>
              </c:strCache>
            </c:strRef>
          </c:tx>
          <c:spPr>
            <a:ln w="19050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FF'!$N$3:$N$200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'# Out FF'!$P$3:$P$200</c:f>
              <c:numCache>
                <c:formatCode>General</c:formatCode>
                <c:ptCount val="198"/>
                <c:pt idx="0">
                  <c:v>1</c:v>
                </c:pt>
                <c:pt idx="1">
                  <c:v>0.996</c:v>
                </c:pt>
                <c:pt idx="2">
                  <c:v>0.996</c:v>
                </c:pt>
                <c:pt idx="3">
                  <c:v>0.998</c:v>
                </c:pt>
                <c:pt idx="4">
                  <c:v>0.79600000000000004</c:v>
                </c:pt>
                <c:pt idx="5">
                  <c:v>0.80700000000000005</c:v>
                </c:pt>
                <c:pt idx="6">
                  <c:v>0.79500000000000004</c:v>
                </c:pt>
                <c:pt idx="7">
                  <c:v>0.84199999999999997</c:v>
                </c:pt>
                <c:pt idx="8">
                  <c:v>0.45800000000000002</c:v>
                </c:pt>
                <c:pt idx="9">
                  <c:v>0.38200000000000001</c:v>
                </c:pt>
                <c:pt idx="10">
                  <c:v>0.53</c:v>
                </c:pt>
                <c:pt idx="11">
                  <c:v>0.28399999999999997</c:v>
                </c:pt>
                <c:pt idx="12">
                  <c:v>0.74099999999999999</c:v>
                </c:pt>
                <c:pt idx="13">
                  <c:v>0.77600000000000002</c:v>
                </c:pt>
                <c:pt idx="14">
                  <c:v>0.79800000000000004</c:v>
                </c:pt>
                <c:pt idx="15">
                  <c:v>0.78300000000000003</c:v>
                </c:pt>
                <c:pt idx="16">
                  <c:v>0.79700000000000004</c:v>
                </c:pt>
                <c:pt idx="17">
                  <c:v>0.75800000000000001</c:v>
                </c:pt>
                <c:pt idx="18">
                  <c:v>0.56799999999999995</c:v>
                </c:pt>
                <c:pt idx="19">
                  <c:v>0.56999999999999995</c:v>
                </c:pt>
                <c:pt idx="20">
                  <c:v>0.70899999999999996</c:v>
                </c:pt>
                <c:pt idx="21">
                  <c:v>0.70599999999999996</c:v>
                </c:pt>
                <c:pt idx="22">
                  <c:v>0.70499999999999996</c:v>
                </c:pt>
                <c:pt idx="23">
                  <c:v>0.56499999999999995</c:v>
                </c:pt>
                <c:pt idx="24">
                  <c:v>0.74099999999999999</c:v>
                </c:pt>
                <c:pt idx="25">
                  <c:v>0.80700000000000005</c:v>
                </c:pt>
                <c:pt idx="26">
                  <c:v>0.77400000000000002</c:v>
                </c:pt>
                <c:pt idx="27">
                  <c:v>0.78600000000000003</c:v>
                </c:pt>
                <c:pt idx="28">
                  <c:v>0.80100000000000005</c:v>
                </c:pt>
                <c:pt idx="29">
                  <c:v>0.73799999999999999</c:v>
                </c:pt>
                <c:pt idx="30">
                  <c:v>0.69099999999999995</c:v>
                </c:pt>
                <c:pt idx="31">
                  <c:v>0.66100000000000003</c:v>
                </c:pt>
                <c:pt idx="32">
                  <c:v>0.46400000000000002</c:v>
                </c:pt>
                <c:pt idx="33">
                  <c:v>0.55500000000000005</c:v>
                </c:pt>
                <c:pt idx="34">
                  <c:v>0.72499999999999998</c:v>
                </c:pt>
                <c:pt idx="35">
                  <c:v>0.78800000000000003</c:v>
                </c:pt>
                <c:pt idx="36">
                  <c:v>0.78600000000000003</c:v>
                </c:pt>
                <c:pt idx="37">
                  <c:v>0.80500000000000005</c:v>
                </c:pt>
                <c:pt idx="38">
                  <c:v>0.77700000000000002</c:v>
                </c:pt>
                <c:pt idx="39">
                  <c:v>0.749</c:v>
                </c:pt>
                <c:pt idx="40">
                  <c:v>0.80400000000000005</c:v>
                </c:pt>
                <c:pt idx="41">
                  <c:v>0.78600000000000003</c:v>
                </c:pt>
                <c:pt idx="42">
                  <c:v>0.73799999999999999</c:v>
                </c:pt>
                <c:pt idx="43">
                  <c:v>0.70599999999999996</c:v>
                </c:pt>
                <c:pt idx="44">
                  <c:v>0.69299999999999995</c:v>
                </c:pt>
                <c:pt idx="45">
                  <c:v>0.70499999999999996</c:v>
                </c:pt>
                <c:pt idx="46">
                  <c:v>0.67100000000000004</c:v>
                </c:pt>
                <c:pt idx="47">
                  <c:v>0.69699999999999995</c:v>
                </c:pt>
                <c:pt idx="48">
                  <c:v>0.69499999999999995</c:v>
                </c:pt>
                <c:pt idx="49">
                  <c:v>0.73799999999999999</c:v>
                </c:pt>
                <c:pt idx="50">
                  <c:v>0.71</c:v>
                </c:pt>
                <c:pt idx="51">
                  <c:v>0.57599999999999996</c:v>
                </c:pt>
                <c:pt idx="52">
                  <c:v>0.69299999999999995</c:v>
                </c:pt>
                <c:pt idx="53">
                  <c:v>0.77700000000000002</c:v>
                </c:pt>
                <c:pt idx="54">
                  <c:v>0.80200000000000005</c:v>
                </c:pt>
                <c:pt idx="55">
                  <c:v>0.79300000000000004</c:v>
                </c:pt>
                <c:pt idx="56">
                  <c:v>0.80800000000000005</c:v>
                </c:pt>
                <c:pt idx="57">
                  <c:v>0.79200000000000004</c:v>
                </c:pt>
                <c:pt idx="58">
                  <c:v>0.78</c:v>
                </c:pt>
                <c:pt idx="59">
                  <c:v>0.80500000000000005</c:v>
                </c:pt>
                <c:pt idx="60">
                  <c:v>0.57399999999999995</c:v>
                </c:pt>
                <c:pt idx="61">
                  <c:v>0.56599999999999995</c:v>
                </c:pt>
                <c:pt idx="62">
                  <c:v>0.8</c:v>
                </c:pt>
                <c:pt idx="63">
                  <c:v>0.80700000000000005</c:v>
                </c:pt>
                <c:pt idx="64">
                  <c:v>0.99399999999999999</c:v>
                </c:pt>
                <c:pt idx="65">
                  <c:v>0.998</c:v>
                </c:pt>
                <c:pt idx="66">
                  <c:v>0.998</c:v>
                </c:pt>
                <c:pt idx="67">
                  <c:v>0.996</c:v>
                </c:pt>
                <c:pt idx="68">
                  <c:v>0.80200000000000005</c:v>
                </c:pt>
                <c:pt idx="69">
                  <c:v>0.77</c:v>
                </c:pt>
                <c:pt idx="70">
                  <c:v>0.77500000000000002</c:v>
                </c:pt>
                <c:pt idx="71">
                  <c:v>0.80500000000000005</c:v>
                </c:pt>
                <c:pt idx="72">
                  <c:v>0.80300000000000005</c:v>
                </c:pt>
                <c:pt idx="73">
                  <c:v>0.80900000000000005</c:v>
                </c:pt>
                <c:pt idx="74">
                  <c:v>0.996</c:v>
                </c:pt>
                <c:pt idx="75">
                  <c:v>0.996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BE-487C-A30C-3AE74D9D8CB3}"/>
            </c:ext>
          </c:extLst>
        </c:ser>
        <c:ser>
          <c:idx val="2"/>
          <c:order val="2"/>
          <c:tx>
            <c:strRef>
              <c:f>'# Out FF'!$Q$2</c:f>
              <c:strCache>
                <c:ptCount val="1"/>
                <c:pt idx="0">
                  <c:v>Run 3</c:v>
                </c:pt>
              </c:strCache>
            </c:strRef>
          </c:tx>
          <c:spPr>
            <a:ln w="19050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FF'!$N$3:$N$200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'# Out FF'!$Q$3:$Q$200</c:f>
              <c:numCache>
                <c:formatCode>General</c:formatCode>
                <c:ptCount val="198"/>
                <c:pt idx="0">
                  <c:v>1</c:v>
                </c:pt>
                <c:pt idx="1">
                  <c:v>0.995</c:v>
                </c:pt>
                <c:pt idx="2">
                  <c:v>0.99399999999999999</c:v>
                </c:pt>
                <c:pt idx="3">
                  <c:v>0.99399999999999999</c:v>
                </c:pt>
                <c:pt idx="4">
                  <c:v>0.77500000000000002</c:v>
                </c:pt>
                <c:pt idx="5">
                  <c:v>0.78600000000000003</c:v>
                </c:pt>
                <c:pt idx="6">
                  <c:v>0.53200000000000003</c:v>
                </c:pt>
                <c:pt idx="7">
                  <c:v>0.71299999999999997</c:v>
                </c:pt>
                <c:pt idx="8">
                  <c:v>0.75900000000000001</c:v>
                </c:pt>
                <c:pt idx="9">
                  <c:v>0.755</c:v>
                </c:pt>
                <c:pt idx="10">
                  <c:v>0.72199999999999998</c:v>
                </c:pt>
                <c:pt idx="11">
                  <c:v>0.53600000000000003</c:v>
                </c:pt>
                <c:pt idx="12">
                  <c:v>0.65200000000000002</c:v>
                </c:pt>
                <c:pt idx="13">
                  <c:v>0.52700000000000002</c:v>
                </c:pt>
                <c:pt idx="14">
                  <c:v>0.42399999999999999</c:v>
                </c:pt>
                <c:pt idx="15">
                  <c:v>0.69799999999999995</c:v>
                </c:pt>
                <c:pt idx="16">
                  <c:v>0.83099999999999996</c:v>
                </c:pt>
                <c:pt idx="17">
                  <c:v>0.70299999999999996</c:v>
                </c:pt>
                <c:pt idx="18">
                  <c:v>0.74299999999999999</c:v>
                </c:pt>
                <c:pt idx="19">
                  <c:v>0.75700000000000001</c:v>
                </c:pt>
                <c:pt idx="20">
                  <c:v>0.53700000000000003</c:v>
                </c:pt>
                <c:pt idx="21">
                  <c:v>0.72</c:v>
                </c:pt>
                <c:pt idx="22">
                  <c:v>0.69899999999999995</c:v>
                </c:pt>
                <c:pt idx="23">
                  <c:v>0.72199999999999998</c:v>
                </c:pt>
                <c:pt idx="24">
                  <c:v>0.53200000000000003</c:v>
                </c:pt>
                <c:pt idx="25">
                  <c:v>0.77400000000000002</c:v>
                </c:pt>
                <c:pt idx="26">
                  <c:v>0.78600000000000003</c:v>
                </c:pt>
                <c:pt idx="27">
                  <c:v>0.79</c:v>
                </c:pt>
                <c:pt idx="28">
                  <c:v>0.75800000000000001</c:v>
                </c:pt>
                <c:pt idx="29">
                  <c:v>0.53500000000000003</c:v>
                </c:pt>
                <c:pt idx="30">
                  <c:v>0.78100000000000003</c:v>
                </c:pt>
                <c:pt idx="31">
                  <c:v>0.76</c:v>
                </c:pt>
                <c:pt idx="32">
                  <c:v>0.53400000000000003</c:v>
                </c:pt>
                <c:pt idx="33">
                  <c:v>0.76100000000000001</c:v>
                </c:pt>
                <c:pt idx="34">
                  <c:v>0.76300000000000001</c:v>
                </c:pt>
                <c:pt idx="35">
                  <c:v>0.77100000000000002</c:v>
                </c:pt>
                <c:pt idx="36">
                  <c:v>0.99299999999999999</c:v>
                </c:pt>
                <c:pt idx="37">
                  <c:v>0.77500000000000002</c:v>
                </c:pt>
                <c:pt idx="38">
                  <c:v>0.99199999999999999</c:v>
                </c:pt>
                <c:pt idx="39">
                  <c:v>0.76700000000000002</c:v>
                </c:pt>
                <c:pt idx="40">
                  <c:v>0.77100000000000002</c:v>
                </c:pt>
                <c:pt idx="41">
                  <c:v>0.78500000000000003</c:v>
                </c:pt>
                <c:pt idx="42">
                  <c:v>0.78300000000000003</c:v>
                </c:pt>
                <c:pt idx="43">
                  <c:v>0.76900000000000002</c:v>
                </c:pt>
                <c:pt idx="44">
                  <c:v>0.77600000000000002</c:v>
                </c:pt>
                <c:pt idx="45">
                  <c:v>0.77700000000000002</c:v>
                </c:pt>
                <c:pt idx="46">
                  <c:v>0.77600000000000002</c:v>
                </c:pt>
                <c:pt idx="47">
                  <c:v>0.99</c:v>
                </c:pt>
                <c:pt idx="48">
                  <c:v>0.78400000000000003</c:v>
                </c:pt>
                <c:pt idx="49">
                  <c:v>0.99299999999999999</c:v>
                </c:pt>
                <c:pt idx="50">
                  <c:v>0.99299999999999999</c:v>
                </c:pt>
                <c:pt idx="51">
                  <c:v>0.79300000000000004</c:v>
                </c:pt>
                <c:pt idx="52">
                  <c:v>0.99399999999999999</c:v>
                </c:pt>
                <c:pt idx="53">
                  <c:v>0.99299999999999999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BE-487C-A30C-3AE74D9D8CB3}"/>
            </c:ext>
          </c:extLst>
        </c:ser>
        <c:ser>
          <c:idx val="3"/>
          <c:order val="3"/>
          <c:tx>
            <c:strRef>
              <c:f>'# Out FF'!$R$2</c:f>
              <c:strCache>
                <c:ptCount val="1"/>
                <c:pt idx="0">
                  <c:v>Run 4</c:v>
                </c:pt>
              </c:strCache>
            </c:strRef>
          </c:tx>
          <c:spPr>
            <a:ln w="19050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FF'!$N$3:$N$200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'# Out FF'!$R$3:$R$200</c:f>
              <c:numCache>
                <c:formatCode>General</c:formatCode>
                <c:ptCount val="198"/>
                <c:pt idx="0">
                  <c:v>1</c:v>
                </c:pt>
                <c:pt idx="1">
                  <c:v>0.998</c:v>
                </c:pt>
                <c:pt idx="2">
                  <c:v>0.999</c:v>
                </c:pt>
                <c:pt idx="3">
                  <c:v>0.999</c:v>
                </c:pt>
                <c:pt idx="4">
                  <c:v>0.79100000000000004</c:v>
                </c:pt>
                <c:pt idx="5">
                  <c:v>0.995</c:v>
                </c:pt>
                <c:pt idx="6">
                  <c:v>0.76600000000000001</c:v>
                </c:pt>
                <c:pt idx="7">
                  <c:v>0.68700000000000006</c:v>
                </c:pt>
                <c:pt idx="8">
                  <c:v>0.745</c:v>
                </c:pt>
                <c:pt idx="9">
                  <c:v>0.48399999999999999</c:v>
                </c:pt>
                <c:pt idx="10">
                  <c:v>0.34499999999999997</c:v>
                </c:pt>
                <c:pt idx="11">
                  <c:v>0.33500000000000002</c:v>
                </c:pt>
                <c:pt idx="12">
                  <c:v>0.504</c:v>
                </c:pt>
                <c:pt idx="13">
                  <c:v>0.44</c:v>
                </c:pt>
                <c:pt idx="14">
                  <c:v>0.69899999999999995</c:v>
                </c:pt>
                <c:pt idx="15">
                  <c:v>0.74399999999999999</c:v>
                </c:pt>
                <c:pt idx="16">
                  <c:v>0.78400000000000003</c:v>
                </c:pt>
                <c:pt idx="17">
                  <c:v>0.80400000000000005</c:v>
                </c:pt>
                <c:pt idx="18">
                  <c:v>0.78</c:v>
                </c:pt>
                <c:pt idx="19">
                  <c:v>0.75800000000000001</c:v>
                </c:pt>
                <c:pt idx="20">
                  <c:v>0.72199999999999998</c:v>
                </c:pt>
                <c:pt idx="21">
                  <c:v>0.751</c:v>
                </c:pt>
                <c:pt idx="22">
                  <c:v>0.70899999999999996</c:v>
                </c:pt>
                <c:pt idx="23">
                  <c:v>0.70199999999999996</c:v>
                </c:pt>
                <c:pt idx="24">
                  <c:v>0.70199999999999996</c:v>
                </c:pt>
                <c:pt idx="25">
                  <c:v>0.70199999999999996</c:v>
                </c:pt>
                <c:pt idx="26">
                  <c:v>0.84499999999999997</c:v>
                </c:pt>
                <c:pt idx="27">
                  <c:v>0.751</c:v>
                </c:pt>
                <c:pt idx="28">
                  <c:v>0.66500000000000004</c:v>
                </c:pt>
                <c:pt idx="29">
                  <c:v>0.748</c:v>
                </c:pt>
                <c:pt idx="30">
                  <c:v>0.53400000000000003</c:v>
                </c:pt>
                <c:pt idx="31">
                  <c:v>0.54</c:v>
                </c:pt>
                <c:pt idx="32">
                  <c:v>0.68400000000000005</c:v>
                </c:pt>
                <c:pt idx="33">
                  <c:v>0.42699999999999999</c:v>
                </c:pt>
                <c:pt idx="34">
                  <c:v>0.83099999999999996</c:v>
                </c:pt>
                <c:pt idx="35">
                  <c:v>0.66200000000000003</c:v>
                </c:pt>
                <c:pt idx="36">
                  <c:v>0.749</c:v>
                </c:pt>
                <c:pt idx="37">
                  <c:v>0.51800000000000002</c:v>
                </c:pt>
                <c:pt idx="38">
                  <c:v>0.71299999999999997</c:v>
                </c:pt>
                <c:pt idx="39">
                  <c:v>0.52100000000000002</c:v>
                </c:pt>
                <c:pt idx="40">
                  <c:v>0.78600000000000003</c:v>
                </c:pt>
                <c:pt idx="41">
                  <c:v>0.99299999999999999</c:v>
                </c:pt>
                <c:pt idx="42">
                  <c:v>0.79500000000000004</c:v>
                </c:pt>
                <c:pt idx="43">
                  <c:v>0.996</c:v>
                </c:pt>
                <c:pt idx="44">
                  <c:v>0.78500000000000003</c:v>
                </c:pt>
                <c:pt idx="45">
                  <c:v>0.79300000000000004</c:v>
                </c:pt>
                <c:pt idx="46">
                  <c:v>0.76300000000000001</c:v>
                </c:pt>
                <c:pt idx="47">
                  <c:v>0.54400000000000004</c:v>
                </c:pt>
                <c:pt idx="48">
                  <c:v>0.77600000000000002</c:v>
                </c:pt>
                <c:pt idx="49">
                  <c:v>0.72099999999999997</c:v>
                </c:pt>
                <c:pt idx="50">
                  <c:v>0.78400000000000003</c:v>
                </c:pt>
                <c:pt idx="51">
                  <c:v>0.78100000000000003</c:v>
                </c:pt>
                <c:pt idx="52">
                  <c:v>0.996</c:v>
                </c:pt>
                <c:pt idx="53">
                  <c:v>0.79600000000000004</c:v>
                </c:pt>
                <c:pt idx="54">
                  <c:v>0.79200000000000004</c:v>
                </c:pt>
                <c:pt idx="55">
                  <c:v>0.999</c:v>
                </c:pt>
                <c:pt idx="56">
                  <c:v>0.79</c:v>
                </c:pt>
                <c:pt idx="57">
                  <c:v>0.79500000000000004</c:v>
                </c:pt>
                <c:pt idx="58">
                  <c:v>0.78400000000000003</c:v>
                </c:pt>
                <c:pt idx="59">
                  <c:v>0.53900000000000003</c:v>
                </c:pt>
                <c:pt idx="60">
                  <c:v>0.78800000000000003</c:v>
                </c:pt>
                <c:pt idx="61">
                  <c:v>0.52800000000000002</c:v>
                </c:pt>
                <c:pt idx="62">
                  <c:v>0.68100000000000005</c:v>
                </c:pt>
                <c:pt idx="63">
                  <c:v>0.51900000000000002</c:v>
                </c:pt>
                <c:pt idx="64">
                  <c:v>0.53100000000000003</c:v>
                </c:pt>
                <c:pt idx="65">
                  <c:v>0.78500000000000003</c:v>
                </c:pt>
                <c:pt idx="66">
                  <c:v>0.78300000000000003</c:v>
                </c:pt>
                <c:pt idx="67">
                  <c:v>0.997</c:v>
                </c:pt>
                <c:pt idx="68">
                  <c:v>0.79800000000000004</c:v>
                </c:pt>
                <c:pt idx="69">
                  <c:v>0.79</c:v>
                </c:pt>
                <c:pt idx="70">
                  <c:v>0.998</c:v>
                </c:pt>
                <c:pt idx="71">
                  <c:v>0.80300000000000005</c:v>
                </c:pt>
                <c:pt idx="72">
                  <c:v>0.79700000000000004</c:v>
                </c:pt>
                <c:pt idx="73">
                  <c:v>0.80700000000000005</c:v>
                </c:pt>
                <c:pt idx="74">
                  <c:v>0.79600000000000004</c:v>
                </c:pt>
                <c:pt idx="75">
                  <c:v>0.996</c:v>
                </c:pt>
                <c:pt idx="76">
                  <c:v>0.998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BE-487C-A30C-3AE74D9D8CB3}"/>
            </c:ext>
          </c:extLst>
        </c:ser>
        <c:ser>
          <c:idx val="4"/>
          <c:order val="4"/>
          <c:tx>
            <c:strRef>
              <c:f>'# Out FF'!$S$2</c:f>
              <c:strCache>
                <c:ptCount val="1"/>
                <c:pt idx="0">
                  <c:v>Run 5</c:v>
                </c:pt>
              </c:strCache>
            </c:strRef>
          </c:tx>
          <c:spPr>
            <a:ln w="19050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FF'!$N$3:$N$200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'# Out FF'!$S$3:$S$200</c:f>
              <c:numCache>
                <c:formatCode>General</c:formatCode>
                <c:ptCount val="198"/>
                <c:pt idx="0">
                  <c:v>1</c:v>
                </c:pt>
                <c:pt idx="1">
                  <c:v>0.997</c:v>
                </c:pt>
                <c:pt idx="2">
                  <c:v>0.998</c:v>
                </c:pt>
                <c:pt idx="3">
                  <c:v>0.996</c:v>
                </c:pt>
                <c:pt idx="4">
                  <c:v>0.78700000000000003</c:v>
                </c:pt>
                <c:pt idx="5">
                  <c:v>0.79400000000000004</c:v>
                </c:pt>
                <c:pt idx="6">
                  <c:v>0.53300000000000003</c:v>
                </c:pt>
                <c:pt idx="7">
                  <c:v>0.748</c:v>
                </c:pt>
                <c:pt idx="8">
                  <c:v>0.68500000000000005</c:v>
                </c:pt>
                <c:pt idx="9">
                  <c:v>0.84099999999999997</c:v>
                </c:pt>
                <c:pt idx="10">
                  <c:v>0.84699999999999998</c:v>
                </c:pt>
                <c:pt idx="11">
                  <c:v>0.68600000000000005</c:v>
                </c:pt>
                <c:pt idx="12">
                  <c:v>0.36599999999999999</c:v>
                </c:pt>
                <c:pt idx="13">
                  <c:v>0.44600000000000001</c:v>
                </c:pt>
                <c:pt idx="14">
                  <c:v>0.19700000000000001</c:v>
                </c:pt>
                <c:pt idx="15">
                  <c:v>0.27900000000000003</c:v>
                </c:pt>
                <c:pt idx="16">
                  <c:v>0.72199999999999998</c:v>
                </c:pt>
                <c:pt idx="17">
                  <c:v>0.67</c:v>
                </c:pt>
                <c:pt idx="18">
                  <c:v>0.77</c:v>
                </c:pt>
                <c:pt idx="19">
                  <c:v>0.77900000000000003</c:v>
                </c:pt>
                <c:pt idx="20">
                  <c:v>0.77700000000000002</c:v>
                </c:pt>
                <c:pt idx="21">
                  <c:v>0.78100000000000003</c:v>
                </c:pt>
                <c:pt idx="22">
                  <c:v>0.53700000000000003</c:v>
                </c:pt>
                <c:pt idx="23">
                  <c:v>0.7</c:v>
                </c:pt>
                <c:pt idx="24">
                  <c:v>0.69199999999999995</c:v>
                </c:pt>
                <c:pt idx="25">
                  <c:v>0.85499999999999998</c:v>
                </c:pt>
                <c:pt idx="26">
                  <c:v>0.51400000000000001</c:v>
                </c:pt>
                <c:pt idx="27">
                  <c:v>0.70299999999999996</c:v>
                </c:pt>
                <c:pt idx="28">
                  <c:v>0.77100000000000002</c:v>
                </c:pt>
                <c:pt idx="29">
                  <c:v>0.47699999999999998</c:v>
                </c:pt>
                <c:pt idx="30">
                  <c:v>0.78</c:v>
                </c:pt>
                <c:pt idx="31">
                  <c:v>0.67900000000000005</c:v>
                </c:pt>
                <c:pt idx="32">
                  <c:v>0.76300000000000001</c:v>
                </c:pt>
                <c:pt idx="33">
                  <c:v>0.995</c:v>
                </c:pt>
                <c:pt idx="34">
                  <c:v>0.79200000000000004</c:v>
                </c:pt>
                <c:pt idx="35">
                  <c:v>0.79100000000000004</c:v>
                </c:pt>
                <c:pt idx="36">
                  <c:v>0.77800000000000002</c:v>
                </c:pt>
                <c:pt idx="37">
                  <c:v>0.86399999999999999</c:v>
                </c:pt>
                <c:pt idx="38">
                  <c:v>0.78300000000000003</c:v>
                </c:pt>
                <c:pt idx="39">
                  <c:v>0.68100000000000005</c:v>
                </c:pt>
                <c:pt idx="40">
                  <c:v>0.76100000000000001</c:v>
                </c:pt>
                <c:pt idx="41">
                  <c:v>0.69699999999999995</c:v>
                </c:pt>
                <c:pt idx="42">
                  <c:v>0.47499999999999998</c:v>
                </c:pt>
                <c:pt idx="43">
                  <c:v>0.76700000000000002</c:v>
                </c:pt>
                <c:pt idx="44">
                  <c:v>0.57799999999999996</c:v>
                </c:pt>
                <c:pt idx="45">
                  <c:v>0.77</c:v>
                </c:pt>
                <c:pt idx="46">
                  <c:v>0.77400000000000002</c:v>
                </c:pt>
                <c:pt idx="47">
                  <c:v>0.78</c:v>
                </c:pt>
                <c:pt idx="48">
                  <c:v>0.77700000000000002</c:v>
                </c:pt>
                <c:pt idx="49">
                  <c:v>0.79500000000000004</c:v>
                </c:pt>
                <c:pt idx="50">
                  <c:v>0.77300000000000002</c:v>
                </c:pt>
                <c:pt idx="51">
                  <c:v>0.995</c:v>
                </c:pt>
                <c:pt idx="52">
                  <c:v>0.996</c:v>
                </c:pt>
                <c:pt idx="53">
                  <c:v>0.997</c:v>
                </c:pt>
                <c:pt idx="54">
                  <c:v>0.996</c:v>
                </c:pt>
                <c:pt idx="55">
                  <c:v>0.995</c:v>
                </c:pt>
                <c:pt idx="56">
                  <c:v>0.79300000000000004</c:v>
                </c:pt>
                <c:pt idx="57">
                  <c:v>0.77800000000000002</c:v>
                </c:pt>
                <c:pt idx="58">
                  <c:v>0.77800000000000002</c:v>
                </c:pt>
                <c:pt idx="59">
                  <c:v>0.53200000000000003</c:v>
                </c:pt>
                <c:pt idx="60">
                  <c:v>0.749</c:v>
                </c:pt>
                <c:pt idx="61">
                  <c:v>0.75900000000000001</c:v>
                </c:pt>
                <c:pt idx="62">
                  <c:v>0.78600000000000003</c:v>
                </c:pt>
                <c:pt idx="63">
                  <c:v>0.99199999999999999</c:v>
                </c:pt>
                <c:pt idx="64">
                  <c:v>0.78900000000000003</c:v>
                </c:pt>
                <c:pt idx="65">
                  <c:v>0.995</c:v>
                </c:pt>
                <c:pt idx="66">
                  <c:v>0.995</c:v>
                </c:pt>
                <c:pt idx="67">
                  <c:v>0.54500000000000004</c:v>
                </c:pt>
                <c:pt idx="68">
                  <c:v>0.77600000000000002</c:v>
                </c:pt>
                <c:pt idx="69">
                  <c:v>0.77600000000000002</c:v>
                </c:pt>
                <c:pt idx="70">
                  <c:v>0.77800000000000002</c:v>
                </c:pt>
                <c:pt idx="71">
                  <c:v>0.77900000000000003</c:v>
                </c:pt>
                <c:pt idx="72">
                  <c:v>0.79200000000000004</c:v>
                </c:pt>
                <c:pt idx="73">
                  <c:v>0.79600000000000004</c:v>
                </c:pt>
                <c:pt idx="74">
                  <c:v>0.997</c:v>
                </c:pt>
                <c:pt idx="75">
                  <c:v>0.79</c:v>
                </c:pt>
                <c:pt idx="76">
                  <c:v>0.995</c:v>
                </c:pt>
                <c:pt idx="77">
                  <c:v>0.78700000000000003</c:v>
                </c:pt>
                <c:pt idx="78">
                  <c:v>0.78600000000000003</c:v>
                </c:pt>
                <c:pt idx="79">
                  <c:v>0.78300000000000003</c:v>
                </c:pt>
                <c:pt idx="80">
                  <c:v>0.78500000000000003</c:v>
                </c:pt>
                <c:pt idx="81">
                  <c:v>0.76100000000000001</c:v>
                </c:pt>
                <c:pt idx="82">
                  <c:v>0.79600000000000004</c:v>
                </c:pt>
                <c:pt idx="83">
                  <c:v>0.78800000000000003</c:v>
                </c:pt>
                <c:pt idx="84">
                  <c:v>0.996</c:v>
                </c:pt>
                <c:pt idx="85">
                  <c:v>0.995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BE-487C-A30C-3AE74D9D8CB3}"/>
            </c:ext>
          </c:extLst>
        </c:ser>
        <c:ser>
          <c:idx val="5"/>
          <c:order val="5"/>
          <c:tx>
            <c:strRef>
              <c:f>'# Out FF'!$T$2</c:f>
              <c:strCache>
                <c:ptCount val="1"/>
                <c:pt idx="0">
                  <c:v>Run 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'# Out FF'!$N$3:$N$200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'# Out FF'!$T$3:$T$200</c:f>
              <c:numCache>
                <c:formatCode>General</c:formatCode>
                <c:ptCount val="198"/>
                <c:pt idx="0">
                  <c:v>1</c:v>
                </c:pt>
                <c:pt idx="1">
                  <c:v>0.997</c:v>
                </c:pt>
                <c:pt idx="2">
                  <c:v>0.997</c:v>
                </c:pt>
                <c:pt idx="3">
                  <c:v>0.997</c:v>
                </c:pt>
                <c:pt idx="4">
                  <c:v>0.79300000000000004</c:v>
                </c:pt>
                <c:pt idx="5">
                  <c:v>0.995</c:v>
                </c:pt>
                <c:pt idx="6">
                  <c:v>0.80200000000000005</c:v>
                </c:pt>
                <c:pt idx="7">
                  <c:v>0.79400000000000004</c:v>
                </c:pt>
                <c:pt idx="8">
                  <c:v>0.78200000000000003</c:v>
                </c:pt>
                <c:pt idx="9">
                  <c:v>0.70199999999999996</c:v>
                </c:pt>
                <c:pt idx="10">
                  <c:v>0.78700000000000003</c:v>
                </c:pt>
                <c:pt idx="11">
                  <c:v>0.82899999999999996</c:v>
                </c:pt>
                <c:pt idx="12">
                  <c:v>0.57999999999999996</c:v>
                </c:pt>
                <c:pt idx="13">
                  <c:v>0.47299999999999998</c:v>
                </c:pt>
                <c:pt idx="14">
                  <c:v>0.55400000000000005</c:v>
                </c:pt>
                <c:pt idx="15">
                  <c:v>0.39200000000000002</c:v>
                </c:pt>
                <c:pt idx="16">
                  <c:v>0.54500000000000004</c:v>
                </c:pt>
                <c:pt idx="17">
                  <c:v>0.68700000000000006</c:v>
                </c:pt>
                <c:pt idx="18">
                  <c:v>0.70099999999999996</c:v>
                </c:pt>
                <c:pt idx="19">
                  <c:v>0.77200000000000002</c:v>
                </c:pt>
                <c:pt idx="20">
                  <c:v>0.78300000000000003</c:v>
                </c:pt>
                <c:pt idx="21">
                  <c:v>0.79700000000000004</c:v>
                </c:pt>
                <c:pt idx="22">
                  <c:v>0.8</c:v>
                </c:pt>
                <c:pt idx="23">
                  <c:v>0.79500000000000004</c:v>
                </c:pt>
                <c:pt idx="24">
                  <c:v>0.55100000000000005</c:v>
                </c:pt>
                <c:pt idx="25">
                  <c:v>0.55000000000000004</c:v>
                </c:pt>
                <c:pt idx="26">
                  <c:v>0.54600000000000004</c:v>
                </c:pt>
                <c:pt idx="27">
                  <c:v>0.54800000000000004</c:v>
                </c:pt>
                <c:pt idx="28">
                  <c:v>0.79200000000000004</c:v>
                </c:pt>
                <c:pt idx="29">
                  <c:v>0.80500000000000005</c:v>
                </c:pt>
                <c:pt idx="30">
                  <c:v>0.79700000000000004</c:v>
                </c:pt>
                <c:pt idx="31">
                  <c:v>0.79400000000000004</c:v>
                </c:pt>
                <c:pt idx="32">
                  <c:v>0.79400000000000004</c:v>
                </c:pt>
                <c:pt idx="33">
                  <c:v>0.79400000000000004</c:v>
                </c:pt>
                <c:pt idx="34">
                  <c:v>0.79500000000000004</c:v>
                </c:pt>
                <c:pt idx="35">
                  <c:v>0.79800000000000004</c:v>
                </c:pt>
                <c:pt idx="36">
                  <c:v>0.81399999999999995</c:v>
                </c:pt>
                <c:pt idx="37">
                  <c:v>0.78</c:v>
                </c:pt>
                <c:pt idx="38">
                  <c:v>0.79300000000000004</c:v>
                </c:pt>
                <c:pt idx="39">
                  <c:v>0.80500000000000005</c:v>
                </c:pt>
                <c:pt idx="40">
                  <c:v>0.79100000000000004</c:v>
                </c:pt>
                <c:pt idx="41">
                  <c:v>0.79300000000000004</c:v>
                </c:pt>
                <c:pt idx="42">
                  <c:v>0.78300000000000003</c:v>
                </c:pt>
                <c:pt idx="43">
                  <c:v>0.79600000000000004</c:v>
                </c:pt>
                <c:pt idx="44">
                  <c:v>0.79300000000000004</c:v>
                </c:pt>
                <c:pt idx="45">
                  <c:v>0.78200000000000003</c:v>
                </c:pt>
                <c:pt idx="46">
                  <c:v>0.79</c:v>
                </c:pt>
                <c:pt idx="47">
                  <c:v>0.81</c:v>
                </c:pt>
                <c:pt idx="48">
                  <c:v>0.78800000000000003</c:v>
                </c:pt>
                <c:pt idx="49">
                  <c:v>0.79400000000000004</c:v>
                </c:pt>
                <c:pt idx="50">
                  <c:v>0.79200000000000004</c:v>
                </c:pt>
                <c:pt idx="51">
                  <c:v>0.80200000000000005</c:v>
                </c:pt>
                <c:pt idx="52">
                  <c:v>0.79100000000000004</c:v>
                </c:pt>
                <c:pt idx="53">
                  <c:v>0.54500000000000004</c:v>
                </c:pt>
                <c:pt idx="54">
                  <c:v>0.78500000000000003</c:v>
                </c:pt>
                <c:pt idx="55">
                  <c:v>0.55200000000000005</c:v>
                </c:pt>
                <c:pt idx="56">
                  <c:v>0.54100000000000004</c:v>
                </c:pt>
                <c:pt idx="57">
                  <c:v>0.80200000000000005</c:v>
                </c:pt>
                <c:pt idx="58">
                  <c:v>0.79800000000000004</c:v>
                </c:pt>
                <c:pt idx="59">
                  <c:v>0.78900000000000003</c:v>
                </c:pt>
                <c:pt idx="60">
                  <c:v>0.8</c:v>
                </c:pt>
                <c:pt idx="61">
                  <c:v>0.78600000000000003</c:v>
                </c:pt>
                <c:pt idx="62">
                  <c:v>0.79600000000000004</c:v>
                </c:pt>
                <c:pt idx="63">
                  <c:v>0.79300000000000004</c:v>
                </c:pt>
                <c:pt idx="64">
                  <c:v>0.78700000000000003</c:v>
                </c:pt>
                <c:pt idx="65">
                  <c:v>0.80200000000000005</c:v>
                </c:pt>
                <c:pt idx="66">
                  <c:v>0.80400000000000005</c:v>
                </c:pt>
                <c:pt idx="67">
                  <c:v>0.77500000000000002</c:v>
                </c:pt>
                <c:pt idx="68">
                  <c:v>0.78200000000000003</c:v>
                </c:pt>
                <c:pt idx="69">
                  <c:v>0.54200000000000004</c:v>
                </c:pt>
                <c:pt idx="70">
                  <c:v>0.80300000000000005</c:v>
                </c:pt>
                <c:pt idx="71">
                  <c:v>0.54900000000000004</c:v>
                </c:pt>
                <c:pt idx="72">
                  <c:v>0.55100000000000005</c:v>
                </c:pt>
                <c:pt idx="73">
                  <c:v>0.78900000000000003</c:v>
                </c:pt>
                <c:pt idx="74">
                  <c:v>0.997</c:v>
                </c:pt>
                <c:pt idx="75">
                  <c:v>0.81</c:v>
                </c:pt>
                <c:pt idx="76">
                  <c:v>0.79100000000000004</c:v>
                </c:pt>
                <c:pt idx="77">
                  <c:v>0.80300000000000005</c:v>
                </c:pt>
                <c:pt idx="78">
                  <c:v>0.79</c:v>
                </c:pt>
                <c:pt idx="79">
                  <c:v>0.79600000000000004</c:v>
                </c:pt>
                <c:pt idx="80">
                  <c:v>0.78600000000000003</c:v>
                </c:pt>
                <c:pt idx="81">
                  <c:v>0.78900000000000003</c:v>
                </c:pt>
                <c:pt idx="82">
                  <c:v>0.78600000000000003</c:v>
                </c:pt>
                <c:pt idx="83">
                  <c:v>0.78700000000000003</c:v>
                </c:pt>
                <c:pt idx="84">
                  <c:v>0.79700000000000004</c:v>
                </c:pt>
                <c:pt idx="85">
                  <c:v>0.996</c:v>
                </c:pt>
                <c:pt idx="86">
                  <c:v>0.996</c:v>
                </c:pt>
                <c:pt idx="87">
                  <c:v>0.996</c:v>
                </c:pt>
                <c:pt idx="88">
                  <c:v>0.8</c:v>
                </c:pt>
                <c:pt idx="89">
                  <c:v>0.80300000000000005</c:v>
                </c:pt>
                <c:pt idx="90">
                  <c:v>0.78600000000000003</c:v>
                </c:pt>
                <c:pt idx="91">
                  <c:v>0.79900000000000004</c:v>
                </c:pt>
                <c:pt idx="92">
                  <c:v>0.78700000000000003</c:v>
                </c:pt>
                <c:pt idx="93">
                  <c:v>0.79600000000000004</c:v>
                </c:pt>
                <c:pt idx="94">
                  <c:v>0.996</c:v>
                </c:pt>
                <c:pt idx="95">
                  <c:v>0.998</c:v>
                </c:pt>
                <c:pt idx="96">
                  <c:v>0.999</c:v>
                </c:pt>
                <c:pt idx="97">
                  <c:v>0.999</c:v>
                </c:pt>
                <c:pt idx="98">
                  <c:v>0.79700000000000004</c:v>
                </c:pt>
                <c:pt idx="99">
                  <c:v>0.78800000000000003</c:v>
                </c:pt>
                <c:pt idx="100">
                  <c:v>0.79700000000000004</c:v>
                </c:pt>
                <c:pt idx="101">
                  <c:v>0.78600000000000003</c:v>
                </c:pt>
                <c:pt idx="102">
                  <c:v>0.996</c:v>
                </c:pt>
                <c:pt idx="103">
                  <c:v>0.995</c:v>
                </c:pt>
                <c:pt idx="104">
                  <c:v>0.998</c:v>
                </c:pt>
                <c:pt idx="105">
                  <c:v>0.996</c:v>
                </c:pt>
                <c:pt idx="106">
                  <c:v>0.79600000000000004</c:v>
                </c:pt>
                <c:pt idx="107">
                  <c:v>0.8</c:v>
                </c:pt>
                <c:pt idx="108">
                  <c:v>0.8</c:v>
                </c:pt>
                <c:pt idx="109">
                  <c:v>0.80200000000000005</c:v>
                </c:pt>
                <c:pt idx="110">
                  <c:v>0.80300000000000005</c:v>
                </c:pt>
                <c:pt idx="111">
                  <c:v>0.80600000000000005</c:v>
                </c:pt>
                <c:pt idx="112">
                  <c:v>0.80300000000000005</c:v>
                </c:pt>
                <c:pt idx="113">
                  <c:v>0.80300000000000005</c:v>
                </c:pt>
                <c:pt idx="114">
                  <c:v>0.77800000000000002</c:v>
                </c:pt>
                <c:pt idx="115">
                  <c:v>0.78400000000000003</c:v>
                </c:pt>
                <c:pt idx="116">
                  <c:v>0.79700000000000004</c:v>
                </c:pt>
                <c:pt idx="117">
                  <c:v>0.54800000000000004</c:v>
                </c:pt>
                <c:pt idx="118">
                  <c:v>0.79300000000000004</c:v>
                </c:pt>
                <c:pt idx="119">
                  <c:v>0.80400000000000005</c:v>
                </c:pt>
                <c:pt idx="120">
                  <c:v>0.79600000000000004</c:v>
                </c:pt>
                <c:pt idx="121">
                  <c:v>0.79400000000000004</c:v>
                </c:pt>
                <c:pt idx="122">
                  <c:v>0.995</c:v>
                </c:pt>
                <c:pt idx="123">
                  <c:v>0.998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BE-487C-A30C-3AE74D9D8CB3}"/>
            </c:ext>
          </c:extLst>
        </c:ser>
        <c:ser>
          <c:idx val="6"/>
          <c:order val="6"/>
          <c:tx>
            <c:strRef>
              <c:f>'# Out FF'!$U$2</c:f>
              <c:strCache>
                <c:ptCount val="1"/>
                <c:pt idx="0">
                  <c:v>Run 7</c:v>
                </c:pt>
              </c:strCache>
            </c:strRef>
          </c:tx>
          <c:spPr>
            <a:ln w="19050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FF'!$N$3:$N$200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'# Out FF'!$U$3:$U$200</c:f>
              <c:numCache>
                <c:formatCode>General</c:formatCode>
                <c:ptCount val="198"/>
                <c:pt idx="0">
                  <c:v>1</c:v>
                </c:pt>
                <c:pt idx="1">
                  <c:v>0.995</c:v>
                </c:pt>
                <c:pt idx="2">
                  <c:v>0.997</c:v>
                </c:pt>
                <c:pt idx="3">
                  <c:v>0.997</c:v>
                </c:pt>
                <c:pt idx="4">
                  <c:v>0.77500000000000002</c:v>
                </c:pt>
                <c:pt idx="5">
                  <c:v>0.80300000000000005</c:v>
                </c:pt>
                <c:pt idx="6">
                  <c:v>0.77200000000000002</c:v>
                </c:pt>
                <c:pt idx="7">
                  <c:v>0.55000000000000004</c:v>
                </c:pt>
                <c:pt idx="8">
                  <c:v>0.76700000000000002</c:v>
                </c:pt>
                <c:pt idx="9">
                  <c:v>0.76600000000000001</c:v>
                </c:pt>
                <c:pt idx="10">
                  <c:v>0.55100000000000005</c:v>
                </c:pt>
                <c:pt idx="11">
                  <c:v>0.75900000000000001</c:v>
                </c:pt>
                <c:pt idx="12">
                  <c:v>0.76300000000000001</c:v>
                </c:pt>
                <c:pt idx="13">
                  <c:v>0.71199999999999997</c:v>
                </c:pt>
                <c:pt idx="14">
                  <c:v>0.75700000000000001</c:v>
                </c:pt>
                <c:pt idx="15">
                  <c:v>0.755</c:v>
                </c:pt>
                <c:pt idx="16">
                  <c:v>0.751</c:v>
                </c:pt>
                <c:pt idx="17">
                  <c:v>0.73499999999999999</c:v>
                </c:pt>
                <c:pt idx="18">
                  <c:v>0.72299999999999998</c:v>
                </c:pt>
                <c:pt idx="19">
                  <c:v>0.55400000000000005</c:v>
                </c:pt>
                <c:pt idx="20">
                  <c:v>0.74099999999999999</c:v>
                </c:pt>
                <c:pt idx="21">
                  <c:v>0.77300000000000002</c:v>
                </c:pt>
                <c:pt idx="22">
                  <c:v>0.72</c:v>
                </c:pt>
                <c:pt idx="23">
                  <c:v>0.54</c:v>
                </c:pt>
                <c:pt idx="24">
                  <c:v>0.68100000000000005</c:v>
                </c:pt>
                <c:pt idx="25">
                  <c:v>0.83599999999999997</c:v>
                </c:pt>
                <c:pt idx="26">
                  <c:v>0.83099999999999996</c:v>
                </c:pt>
                <c:pt idx="27">
                  <c:v>0.745</c:v>
                </c:pt>
                <c:pt idx="28">
                  <c:v>0.74199999999999999</c:v>
                </c:pt>
                <c:pt idx="29">
                  <c:v>0.54</c:v>
                </c:pt>
                <c:pt idx="30">
                  <c:v>0.54600000000000004</c:v>
                </c:pt>
                <c:pt idx="31">
                  <c:v>0.45200000000000001</c:v>
                </c:pt>
                <c:pt idx="32">
                  <c:v>0.47199999999999998</c:v>
                </c:pt>
                <c:pt idx="33">
                  <c:v>0.43</c:v>
                </c:pt>
                <c:pt idx="34">
                  <c:v>0.81699999999999995</c:v>
                </c:pt>
                <c:pt idx="35">
                  <c:v>0.69899999999999995</c:v>
                </c:pt>
                <c:pt idx="36">
                  <c:v>0.751</c:v>
                </c:pt>
                <c:pt idx="37">
                  <c:v>0.54700000000000004</c:v>
                </c:pt>
                <c:pt idx="38">
                  <c:v>0.755</c:v>
                </c:pt>
                <c:pt idx="39">
                  <c:v>0.755</c:v>
                </c:pt>
                <c:pt idx="40">
                  <c:v>0.69399999999999995</c:v>
                </c:pt>
                <c:pt idx="41">
                  <c:v>0.72799999999999998</c:v>
                </c:pt>
                <c:pt idx="42">
                  <c:v>0.69199999999999995</c:v>
                </c:pt>
                <c:pt idx="43">
                  <c:v>0.73899999999999999</c:v>
                </c:pt>
                <c:pt idx="44">
                  <c:v>0.54400000000000004</c:v>
                </c:pt>
                <c:pt idx="45">
                  <c:v>0.53600000000000003</c:v>
                </c:pt>
                <c:pt idx="46">
                  <c:v>0.74199999999999999</c:v>
                </c:pt>
                <c:pt idx="47">
                  <c:v>0.73299999999999998</c:v>
                </c:pt>
                <c:pt idx="48">
                  <c:v>0.77200000000000002</c:v>
                </c:pt>
                <c:pt idx="49">
                  <c:v>0.80700000000000005</c:v>
                </c:pt>
                <c:pt idx="50">
                  <c:v>0.76500000000000001</c:v>
                </c:pt>
                <c:pt idx="51">
                  <c:v>0.74399999999999999</c:v>
                </c:pt>
                <c:pt idx="52">
                  <c:v>0.80300000000000005</c:v>
                </c:pt>
                <c:pt idx="53">
                  <c:v>0.747</c:v>
                </c:pt>
                <c:pt idx="54">
                  <c:v>0.99299999999999999</c:v>
                </c:pt>
                <c:pt idx="55">
                  <c:v>0.996</c:v>
                </c:pt>
                <c:pt idx="56">
                  <c:v>0.81299999999999994</c:v>
                </c:pt>
                <c:pt idx="57">
                  <c:v>0.997</c:v>
                </c:pt>
                <c:pt idx="58">
                  <c:v>0.997</c:v>
                </c:pt>
                <c:pt idx="59">
                  <c:v>0.753</c:v>
                </c:pt>
                <c:pt idx="60">
                  <c:v>0.80400000000000005</c:v>
                </c:pt>
                <c:pt idx="61">
                  <c:v>0.749</c:v>
                </c:pt>
                <c:pt idx="62">
                  <c:v>0.77400000000000002</c:v>
                </c:pt>
                <c:pt idx="63">
                  <c:v>0.76900000000000002</c:v>
                </c:pt>
                <c:pt idx="64">
                  <c:v>0.80600000000000005</c:v>
                </c:pt>
                <c:pt idx="65">
                  <c:v>0.77400000000000002</c:v>
                </c:pt>
                <c:pt idx="66">
                  <c:v>0.81599999999999995</c:v>
                </c:pt>
                <c:pt idx="67">
                  <c:v>0.8</c:v>
                </c:pt>
                <c:pt idx="68">
                  <c:v>0.78200000000000003</c:v>
                </c:pt>
                <c:pt idx="69">
                  <c:v>0.77200000000000002</c:v>
                </c:pt>
                <c:pt idx="70">
                  <c:v>0.74099999999999999</c:v>
                </c:pt>
                <c:pt idx="71">
                  <c:v>0.8</c:v>
                </c:pt>
                <c:pt idx="72">
                  <c:v>0.99299999999999999</c:v>
                </c:pt>
                <c:pt idx="73">
                  <c:v>0.74099999999999999</c:v>
                </c:pt>
                <c:pt idx="74">
                  <c:v>0.77100000000000002</c:v>
                </c:pt>
                <c:pt idx="75">
                  <c:v>0.77400000000000002</c:v>
                </c:pt>
                <c:pt idx="76">
                  <c:v>0.69699999999999995</c:v>
                </c:pt>
                <c:pt idx="77">
                  <c:v>0.98599999999999999</c:v>
                </c:pt>
                <c:pt idx="78">
                  <c:v>0.76900000000000002</c:v>
                </c:pt>
                <c:pt idx="79">
                  <c:v>0.81899999999999995</c:v>
                </c:pt>
                <c:pt idx="80">
                  <c:v>0.995</c:v>
                </c:pt>
                <c:pt idx="81">
                  <c:v>0.80800000000000005</c:v>
                </c:pt>
                <c:pt idx="82">
                  <c:v>0.996</c:v>
                </c:pt>
                <c:pt idx="83">
                  <c:v>0.997</c:v>
                </c:pt>
                <c:pt idx="84">
                  <c:v>0.78200000000000003</c:v>
                </c:pt>
                <c:pt idx="85">
                  <c:v>0.81200000000000006</c:v>
                </c:pt>
                <c:pt idx="86">
                  <c:v>0.996</c:v>
                </c:pt>
                <c:pt idx="87">
                  <c:v>0.998</c:v>
                </c:pt>
                <c:pt idx="88">
                  <c:v>0.999</c:v>
                </c:pt>
                <c:pt idx="89">
                  <c:v>0.999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6BE-487C-A30C-3AE74D9D8CB3}"/>
            </c:ext>
          </c:extLst>
        </c:ser>
        <c:ser>
          <c:idx val="7"/>
          <c:order val="7"/>
          <c:tx>
            <c:strRef>
              <c:f>'# Out FF'!$V$2</c:f>
              <c:strCache>
                <c:ptCount val="1"/>
                <c:pt idx="0">
                  <c:v>Run 8</c:v>
                </c:pt>
              </c:strCache>
            </c:strRef>
          </c:tx>
          <c:spPr>
            <a:ln w="19050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FF'!$N$3:$N$200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'# Out FF'!$V$3:$V$200</c:f>
              <c:numCache>
                <c:formatCode>General</c:formatCode>
                <c:ptCount val="198"/>
                <c:pt idx="0">
                  <c:v>1</c:v>
                </c:pt>
                <c:pt idx="1">
                  <c:v>0.999</c:v>
                </c:pt>
                <c:pt idx="2">
                  <c:v>0.998</c:v>
                </c:pt>
                <c:pt idx="3">
                  <c:v>0.999</c:v>
                </c:pt>
                <c:pt idx="4">
                  <c:v>0.78400000000000003</c:v>
                </c:pt>
                <c:pt idx="5">
                  <c:v>0.76200000000000001</c:v>
                </c:pt>
                <c:pt idx="6">
                  <c:v>0.76900000000000002</c:v>
                </c:pt>
                <c:pt idx="7">
                  <c:v>0.67200000000000004</c:v>
                </c:pt>
                <c:pt idx="8">
                  <c:v>0.69099999999999995</c:v>
                </c:pt>
                <c:pt idx="9">
                  <c:v>0.46</c:v>
                </c:pt>
                <c:pt idx="10">
                  <c:v>0.45800000000000002</c:v>
                </c:pt>
                <c:pt idx="11">
                  <c:v>0.46</c:v>
                </c:pt>
                <c:pt idx="12">
                  <c:v>0.74099999999999999</c:v>
                </c:pt>
                <c:pt idx="13">
                  <c:v>0.67700000000000005</c:v>
                </c:pt>
                <c:pt idx="14">
                  <c:v>0.51800000000000002</c:v>
                </c:pt>
                <c:pt idx="15">
                  <c:v>0.72499999999999998</c:v>
                </c:pt>
                <c:pt idx="16">
                  <c:v>0.77400000000000002</c:v>
                </c:pt>
                <c:pt idx="17">
                  <c:v>0.53</c:v>
                </c:pt>
                <c:pt idx="18">
                  <c:v>0.78200000000000003</c:v>
                </c:pt>
                <c:pt idx="19">
                  <c:v>0.76500000000000001</c:v>
                </c:pt>
                <c:pt idx="20">
                  <c:v>0.53300000000000003</c:v>
                </c:pt>
                <c:pt idx="21">
                  <c:v>0.78400000000000003</c:v>
                </c:pt>
                <c:pt idx="22">
                  <c:v>0.76700000000000002</c:v>
                </c:pt>
                <c:pt idx="23">
                  <c:v>0.77900000000000003</c:v>
                </c:pt>
                <c:pt idx="24">
                  <c:v>0.79400000000000004</c:v>
                </c:pt>
                <c:pt idx="25">
                  <c:v>0.77500000000000002</c:v>
                </c:pt>
                <c:pt idx="26">
                  <c:v>0.78200000000000003</c:v>
                </c:pt>
                <c:pt idx="27">
                  <c:v>0.77200000000000002</c:v>
                </c:pt>
                <c:pt idx="28">
                  <c:v>0.77100000000000002</c:v>
                </c:pt>
                <c:pt idx="29">
                  <c:v>0.996</c:v>
                </c:pt>
                <c:pt idx="30">
                  <c:v>0.79200000000000004</c:v>
                </c:pt>
                <c:pt idx="31">
                  <c:v>0.80800000000000005</c:v>
                </c:pt>
                <c:pt idx="32">
                  <c:v>0.995</c:v>
                </c:pt>
                <c:pt idx="33">
                  <c:v>0.54300000000000004</c:v>
                </c:pt>
                <c:pt idx="34">
                  <c:v>0.53600000000000003</c:v>
                </c:pt>
                <c:pt idx="35">
                  <c:v>0.72499999999999998</c:v>
                </c:pt>
                <c:pt idx="36">
                  <c:v>0.47499999999999998</c:v>
                </c:pt>
                <c:pt idx="37">
                  <c:v>0.77100000000000002</c:v>
                </c:pt>
                <c:pt idx="38">
                  <c:v>0.66600000000000004</c:v>
                </c:pt>
                <c:pt idx="39">
                  <c:v>0.67300000000000004</c:v>
                </c:pt>
                <c:pt idx="40">
                  <c:v>0.77600000000000002</c:v>
                </c:pt>
                <c:pt idx="41">
                  <c:v>0.52100000000000002</c:v>
                </c:pt>
                <c:pt idx="42">
                  <c:v>0.77800000000000002</c:v>
                </c:pt>
                <c:pt idx="43">
                  <c:v>0.77100000000000002</c:v>
                </c:pt>
                <c:pt idx="44">
                  <c:v>0.86699999999999999</c:v>
                </c:pt>
                <c:pt idx="45">
                  <c:v>0.75700000000000001</c:v>
                </c:pt>
                <c:pt idx="46">
                  <c:v>0.71299999999999997</c:v>
                </c:pt>
                <c:pt idx="47">
                  <c:v>0.68300000000000005</c:v>
                </c:pt>
                <c:pt idx="48">
                  <c:v>0.68400000000000005</c:v>
                </c:pt>
                <c:pt idx="49">
                  <c:v>0.67800000000000005</c:v>
                </c:pt>
                <c:pt idx="50">
                  <c:v>0.69699999999999995</c:v>
                </c:pt>
                <c:pt idx="51">
                  <c:v>0.85199999999999998</c:v>
                </c:pt>
                <c:pt idx="52">
                  <c:v>0.66100000000000003</c:v>
                </c:pt>
                <c:pt idx="53">
                  <c:v>0.85899999999999999</c:v>
                </c:pt>
                <c:pt idx="54">
                  <c:v>0.67700000000000005</c:v>
                </c:pt>
                <c:pt idx="55">
                  <c:v>0.46200000000000002</c:v>
                </c:pt>
                <c:pt idx="56">
                  <c:v>0.84299999999999997</c:v>
                </c:pt>
                <c:pt idx="57">
                  <c:v>0.36</c:v>
                </c:pt>
                <c:pt idx="58">
                  <c:v>0.68</c:v>
                </c:pt>
                <c:pt idx="59">
                  <c:v>0.76600000000000001</c:v>
                </c:pt>
                <c:pt idx="60">
                  <c:v>0.76</c:v>
                </c:pt>
                <c:pt idx="61">
                  <c:v>0.79100000000000004</c:v>
                </c:pt>
                <c:pt idx="62">
                  <c:v>0.79200000000000004</c:v>
                </c:pt>
                <c:pt idx="63">
                  <c:v>0.99399999999999999</c:v>
                </c:pt>
                <c:pt idx="64">
                  <c:v>0.998</c:v>
                </c:pt>
                <c:pt idx="65">
                  <c:v>0.998</c:v>
                </c:pt>
                <c:pt idx="66">
                  <c:v>0.999</c:v>
                </c:pt>
                <c:pt idx="67">
                  <c:v>0.997</c:v>
                </c:pt>
                <c:pt idx="68">
                  <c:v>0.78300000000000003</c:v>
                </c:pt>
                <c:pt idx="69">
                  <c:v>0.996</c:v>
                </c:pt>
                <c:pt idx="70">
                  <c:v>0.79400000000000004</c:v>
                </c:pt>
                <c:pt idx="71">
                  <c:v>0.78800000000000003</c:v>
                </c:pt>
                <c:pt idx="72">
                  <c:v>0.80800000000000005</c:v>
                </c:pt>
                <c:pt idx="73">
                  <c:v>0.53700000000000003</c:v>
                </c:pt>
                <c:pt idx="74">
                  <c:v>0.78200000000000003</c:v>
                </c:pt>
                <c:pt idx="75">
                  <c:v>0.995</c:v>
                </c:pt>
                <c:pt idx="76">
                  <c:v>0.78800000000000003</c:v>
                </c:pt>
                <c:pt idx="77">
                  <c:v>0.998</c:v>
                </c:pt>
                <c:pt idx="78">
                  <c:v>0.77600000000000002</c:v>
                </c:pt>
                <c:pt idx="79">
                  <c:v>0.70899999999999996</c:v>
                </c:pt>
                <c:pt idx="80">
                  <c:v>0.76100000000000001</c:v>
                </c:pt>
                <c:pt idx="81">
                  <c:v>0.46600000000000003</c:v>
                </c:pt>
                <c:pt idx="82">
                  <c:v>0.72899999999999998</c:v>
                </c:pt>
                <c:pt idx="83">
                  <c:v>0.78700000000000003</c:v>
                </c:pt>
                <c:pt idx="84">
                  <c:v>0.79100000000000004</c:v>
                </c:pt>
                <c:pt idx="85">
                  <c:v>0.80100000000000005</c:v>
                </c:pt>
                <c:pt idx="86">
                  <c:v>0.79900000000000004</c:v>
                </c:pt>
                <c:pt idx="87">
                  <c:v>0.997</c:v>
                </c:pt>
                <c:pt idx="88">
                  <c:v>0.80700000000000005</c:v>
                </c:pt>
                <c:pt idx="89">
                  <c:v>0.80700000000000005</c:v>
                </c:pt>
                <c:pt idx="90">
                  <c:v>0.996</c:v>
                </c:pt>
                <c:pt idx="91">
                  <c:v>0.79200000000000004</c:v>
                </c:pt>
                <c:pt idx="92">
                  <c:v>0.80900000000000005</c:v>
                </c:pt>
                <c:pt idx="93">
                  <c:v>0.996</c:v>
                </c:pt>
                <c:pt idx="94">
                  <c:v>0.69499999999999995</c:v>
                </c:pt>
                <c:pt idx="95">
                  <c:v>0.81399999999999995</c:v>
                </c:pt>
                <c:pt idx="96">
                  <c:v>0.78500000000000003</c:v>
                </c:pt>
                <c:pt idx="97">
                  <c:v>0.77400000000000002</c:v>
                </c:pt>
                <c:pt idx="98">
                  <c:v>0.79600000000000004</c:v>
                </c:pt>
                <c:pt idx="99">
                  <c:v>0.78300000000000003</c:v>
                </c:pt>
                <c:pt idx="100">
                  <c:v>0.80200000000000005</c:v>
                </c:pt>
                <c:pt idx="101">
                  <c:v>0.78700000000000003</c:v>
                </c:pt>
                <c:pt idx="102">
                  <c:v>0.80100000000000005</c:v>
                </c:pt>
                <c:pt idx="103">
                  <c:v>0.78600000000000003</c:v>
                </c:pt>
                <c:pt idx="104">
                  <c:v>0.80500000000000005</c:v>
                </c:pt>
                <c:pt idx="105">
                  <c:v>0.997</c:v>
                </c:pt>
                <c:pt idx="106">
                  <c:v>0.999</c:v>
                </c:pt>
                <c:pt idx="107">
                  <c:v>1</c:v>
                </c:pt>
                <c:pt idx="108">
                  <c:v>0.998</c:v>
                </c:pt>
                <c:pt idx="109">
                  <c:v>0.78900000000000003</c:v>
                </c:pt>
                <c:pt idx="110">
                  <c:v>0.81100000000000005</c:v>
                </c:pt>
                <c:pt idx="111">
                  <c:v>0.80700000000000005</c:v>
                </c:pt>
                <c:pt idx="112">
                  <c:v>0.79900000000000004</c:v>
                </c:pt>
                <c:pt idx="113">
                  <c:v>0.80300000000000005</c:v>
                </c:pt>
                <c:pt idx="114">
                  <c:v>0.997</c:v>
                </c:pt>
                <c:pt idx="115">
                  <c:v>0.999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6BE-487C-A30C-3AE74D9D8CB3}"/>
            </c:ext>
          </c:extLst>
        </c:ser>
        <c:ser>
          <c:idx val="8"/>
          <c:order val="8"/>
          <c:tx>
            <c:strRef>
              <c:f>'# Out FF'!$W$2</c:f>
              <c:strCache>
                <c:ptCount val="1"/>
                <c:pt idx="0">
                  <c:v>Run 9</c:v>
                </c:pt>
              </c:strCache>
            </c:strRef>
          </c:tx>
          <c:spPr>
            <a:ln w="19050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FF'!$N$3:$N$200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'# Out FF'!$W$3:$W$200</c:f>
              <c:numCache>
                <c:formatCode>General</c:formatCode>
                <c:ptCount val="198"/>
                <c:pt idx="0">
                  <c:v>1</c:v>
                </c:pt>
                <c:pt idx="1">
                  <c:v>0.996</c:v>
                </c:pt>
                <c:pt idx="2">
                  <c:v>0.997</c:v>
                </c:pt>
                <c:pt idx="3">
                  <c:v>0.995</c:v>
                </c:pt>
                <c:pt idx="4">
                  <c:v>0.78300000000000003</c:v>
                </c:pt>
                <c:pt idx="5">
                  <c:v>0.77200000000000002</c:v>
                </c:pt>
                <c:pt idx="6">
                  <c:v>0.77800000000000002</c:v>
                </c:pt>
                <c:pt idx="7">
                  <c:v>0.57099999999999995</c:v>
                </c:pt>
                <c:pt idx="8">
                  <c:v>0.78800000000000003</c:v>
                </c:pt>
                <c:pt idx="9">
                  <c:v>0.80400000000000005</c:v>
                </c:pt>
                <c:pt idx="10">
                  <c:v>0.75700000000000001</c:v>
                </c:pt>
                <c:pt idx="11">
                  <c:v>0.75600000000000001</c:v>
                </c:pt>
                <c:pt idx="12">
                  <c:v>0.76300000000000001</c:v>
                </c:pt>
                <c:pt idx="13">
                  <c:v>0.77500000000000002</c:v>
                </c:pt>
                <c:pt idx="14">
                  <c:v>0.749</c:v>
                </c:pt>
                <c:pt idx="15">
                  <c:v>0.55300000000000005</c:v>
                </c:pt>
                <c:pt idx="16">
                  <c:v>0.35699999999999998</c:v>
                </c:pt>
                <c:pt idx="17">
                  <c:v>0.436</c:v>
                </c:pt>
                <c:pt idx="18">
                  <c:v>0.21299999999999999</c:v>
                </c:pt>
                <c:pt idx="19">
                  <c:v>0.56499999999999995</c:v>
                </c:pt>
                <c:pt idx="20">
                  <c:v>0.76700000000000002</c:v>
                </c:pt>
                <c:pt idx="21">
                  <c:v>0.74</c:v>
                </c:pt>
                <c:pt idx="22">
                  <c:v>0.99</c:v>
                </c:pt>
                <c:pt idx="23">
                  <c:v>0.78100000000000003</c:v>
                </c:pt>
                <c:pt idx="24">
                  <c:v>0.79100000000000004</c:v>
                </c:pt>
                <c:pt idx="25">
                  <c:v>0.99399999999999999</c:v>
                </c:pt>
                <c:pt idx="26">
                  <c:v>0.71699999999999997</c:v>
                </c:pt>
                <c:pt idx="27">
                  <c:v>0.72899999999999998</c:v>
                </c:pt>
                <c:pt idx="28">
                  <c:v>0.69799999999999995</c:v>
                </c:pt>
                <c:pt idx="29">
                  <c:v>0.41499999999999998</c:v>
                </c:pt>
                <c:pt idx="30">
                  <c:v>0.69799999999999995</c:v>
                </c:pt>
                <c:pt idx="31">
                  <c:v>0.35299999999999998</c:v>
                </c:pt>
                <c:pt idx="32">
                  <c:v>0.35399999999999998</c:v>
                </c:pt>
                <c:pt idx="33">
                  <c:v>0.54600000000000004</c:v>
                </c:pt>
                <c:pt idx="34">
                  <c:v>0.72199999999999998</c:v>
                </c:pt>
                <c:pt idx="35">
                  <c:v>0.76600000000000001</c:v>
                </c:pt>
                <c:pt idx="36">
                  <c:v>0.99399999999999999</c:v>
                </c:pt>
                <c:pt idx="37">
                  <c:v>0.996</c:v>
                </c:pt>
                <c:pt idx="38">
                  <c:v>0.997</c:v>
                </c:pt>
                <c:pt idx="39">
                  <c:v>0.995</c:v>
                </c:pt>
                <c:pt idx="40">
                  <c:v>0.78800000000000003</c:v>
                </c:pt>
                <c:pt idx="41">
                  <c:v>0.78</c:v>
                </c:pt>
                <c:pt idx="42">
                  <c:v>0.995</c:v>
                </c:pt>
                <c:pt idx="43">
                  <c:v>0.998</c:v>
                </c:pt>
                <c:pt idx="44">
                  <c:v>0.995</c:v>
                </c:pt>
                <c:pt idx="45">
                  <c:v>0.99399999999999999</c:v>
                </c:pt>
                <c:pt idx="46">
                  <c:v>0.80800000000000005</c:v>
                </c:pt>
                <c:pt idx="47">
                  <c:v>0.77</c:v>
                </c:pt>
                <c:pt idx="48">
                  <c:v>0.69099999999999995</c:v>
                </c:pt>
                <c:pt idx="49">
                  <c:v>0.44500000000000001</c:v>
                </c:pt>
                <c:pt idx="50">
                  <c:v>0.44</c:v>
                </c:pt>
                <c:pt idx="51">
                  <c:v>0.432</c:v>
                </c:pt>
                <c:pt idx="52">
                  <c:v>0.56499999999999995</c:v>
                </c:pt>
                <c:pt idx="53">
                  <c:v>0.74399999999999999</c:v>
                </c:pt>
                <c:pt idx="54">
                  <c:v>0.73399999999999999</c:v>
                </c:pt>
                <c:pt idx="55">
                  <c:v>0.755</c:v>
                </c:pt>
                <c:pt idx="56">
                  <c:v>0.77700000000000002</c:v>
                </c:pt>
                <c:pt idx="57">
                  <c:v>0.76200000000000001</c:v>
                </c:pt>
                <c:pt idx="58">
                  <c:v>0.77600000000000002</c:v>
                </c:pt>
                <c:pt idx="59">
                  <c:v>0.77900000000000003</c:v>
                </c:pt>
                <c:pt idx="60">
                  <c:v>0.79200000000000004</c:v>
                </c:pt>
                <c:pt idx="61">
                  <c:v>0.79</c:v>
                </c:pt>
                <c:pt idx="62">
                  <c:v>0.80800000000000005</c:v>
                </c:pt>
                <c:pt idx="63">
                  <c:v>0.78100000000000003</c:v>
                </c:pt>
                <c:pt idx="64">
                  <c:v>0.78700000000000003</c:v>
                </c:pt>
                <c:pt idx="65">
                  <c:v>0.78</c:v>
                </c:pt>
                <c:pt idx="66">
                  <c:v>0.78500000000000003</c:v>
                </c:pt>
                <c:pt idx="67">
                  <c:v>0.78600000000000003</c:v>
                </c:pt>
                <c:pt idx="68">
                  <c:v>0.99399999999999999</c:v>
                </c:pt>
                <c:pt idx="69">
                  <c:v>0.997</c:v>
                </c:pt>
                <c:pt idx="70">
                  <c:v>0.998</c:v>
                </c:pt>
                <c:pt idx="71">
                  <c:v>0.998</c:v>
                </c:pt>
                <c:pt idx="72">
                  <c:v>0.77400000000000002</c:v>
                </c:pt>
                <c:pt idx="73">
                  <c:v>0.99399999999999999</c:v>
                </c:pt>
                <c:pt idx="74">
                  <c:v>0.99299999999999999</c:v>
                </c:pt>
                <c:pt idx="75">
                  <c:v>0.79</c:v>
                </c:pt>
                <c:pt idx="76">
                  <c:v>0.99399999999999999</c:v>
                </c:pt>
                <c:pt idx="77">
                  <c:v>0.99399999999999999</c:v>
                </c:pt>
                <c:pt idx="78">
                  <c:v>0.78300000000000003</c:v>
                </c:pt>
                <c:pt idx="79">
                  <c:v>0.995</c:v>
                </c:pt>
                <c:pt idx="80">
                  <c:v>0.79200000000000004</c:v>
                </c:pt>
                <c:pt idx="81">
                  <c:v>0.995</c:v>
                </c:pt>
                <c:pt idx="82">
                  <c:v>0.995</c:v>
                </c:pt>
                <c:pt idx="83">
                  <c:v>0.78200000000000003</c:v>
                </c:pt>
                <c:pt idx="84">
                  <c:v>0.78300000000000003</c:v>
                </c:pt>
                <c:pt idx="85">
                  <c:v>0.78800000000000003</c:v>
                </c:pt>
                <c:pt idx="86">
                  <c:v>0.76500000000000001</c:v>
                </c:pt>
                <c:pt idx="87">
                  <c:v>0.76400000000000001</c:v>
                </c:pt>
                <c:pt idx="88">
                  <c:v>0.78300000000000003</c:v>
                </c:pt>
                <c:pt idx="89">
                  <c:v>0.78200000000000003</c:v>
                </c:pt>
                <c:pt idx="90">
                  <c:v>0.997</c:v>
                </c:pt>
                <c:pt idx="91">
                  <c:v>0.78500000000000003</c:v>
                </c:pt>
                <c:pt idx="92">
                  <c:v>0.78700000000000003</c:v>
                </c:pt>
                <c:pt idx="93">
                  <c:v>0.995</c:v>
                </c:pt>
                <c:pt idx="94">
                  <c:v>0.78600000000000003</c:v>
                </c:pt>
                <c:pt idx="95">
                  <c:v>0.78200000000000003</c:v>
                </c:pt>
                <c:pt idx="96">
                  <c:v>0.77500000000000002</c:v>
                </c:pt>
                <c:pt idx="97">
                  <c:v>0.79200000000000004</c:v>
                </c:pt>
                <c:pt idx="98">
                  <c:v>0.78500000000000003</c:v>
                </c:pt>
                <c:pt idx="99">
                  <c:v>0.996</c:v>
                </c:pt>
                <c:pt idx="100">
                  <c:v>0.996</c:v>
                </c:pt>
                <c:pt idx="101">
                  <c:v>0.995</c:v>
                </c:pt>
                <c:pt idx="102">
                  <c:v>0.996</c:v>
                </c:pt>
                <c:pt idx="103">
                  <c:v>0.79500000000000004</c:v>
                </c:pt>
                <c:pt idx="104">
                  <c:v>0.78</c:v>
                </c:pt>
                <c:pt idx="105">
                  <c:v>0.99299999999999999</c:v>
                </c:pt>
                <c:pt idx="106">
                  <c:v>0.996</c:v>
                </c:pt>
                <c:pt idx="107">
                  <c:v>0.996</c:v>
                </c:pt>
                <c:pt idx="108">
                  <c:v>0.996</c:v>
                </c:pt>
                <c:pt idx="109">
                  <c:v>0.79300000000000004</c:v>
                </c:pt>
                <c:pt idx="110">
                  <c:v>0.78700000000000003</c:v>
                </c:pt>
                <c:pt idx="111">
                  <c:v>0.997</c:v>
                </c:pt>
                <c:pt idx="112">
                  <c:v>0.76600000000000001</c:v>
                </c:pt>
                <c:pt idx="113">
                  <c:v>0.78500000000000003</c:v>
                </c:pt>
                <c:pt idx="114">
                  <c:v>0.99399999999999999</c:v>
                </c:pt>
                <c:pt idx="115">
                  <c:v>0.78700000000000003</c:v>
                </c:pt>
                <c:pt idx="116">
                  <c:v>0.78300000000000003</c:v>
                </c:pt>
                <c:pt idx="117">
                  <c:v>0.77200000000000002</c:v>
                </c:pt>
                <c:pt idx="118">
                  <c:v>0.71699999999999997</c:v>
                </c:pt>
                <c:pt idx="119">
                  <c:v>0.76900000000000002</c:v>
                </c:pt>
                <c:pt idx="120">
                  <c:v>0.77200000000000002</c:v>
                </c:pt>
                <c:pt idx="121">
                  <c:v>0.78</c:v>
                </c:pt>
                <c:pt idx="122">
                  <c:v>0.78400000000000003</c:v>
                </c:pt>
                <c:pt idx="123">
                  <c:v>0.75800000000000001</c:v>
                </c:pt>
                <c:pt idx="124">
                  <c:v>0.78600000000000003</c:v>
                </c:pt>
                <c:pt idx="125">
                  <c:v>0.80600000000000005</c:v>
                </c:pt>
                <c:pt idx="126">
                  <c:v>0.76</c:v>
                </c:pt>
                <c:pt idx="127">
                  <c:v>0.55700000000000005</c:v>
                </c:pt>
                <c:pt idx="128">
                  <c:v>0.76</c:v>
                </c:pt>
                <c:pt idx="129">
                  <c:v>0.78</c:v>
                </c:pt>
                <c:pt idx="130">
                  <c:v>0.99299999999999999</c:v>
                </c:pt>
                <c:pt idx="131">
                  <c:v>0.997</c:v>
                </c:pt>
                <c:pt idx="132">
                  <c:v>0.997</c:v>
                </c:pt>
                <c:pt idx="133">
                  <c:v>0.997</c:v>
                </c:pt>
                <c:pt idx="134">
                  <c:v>0.995</c:v>
                </c:pt>
                <c:pt idx="135">
                  <c:v>0.78600000000000003</c:v>
                </c:pt>
                <c:pt idx="136">
                  <c:v>0.78900000000000003</c:v>
                </c:pt>
                <c:pt idx="137">
                  <c:v>0.78200000000000003</c:v>
                </c:pt>
                <c:pt idx="138">
                  <c:v>0.76200000000000001</c:v>
                </c:pt>
                <c:pt idx="139">
                  <c:v>0.99199999999999999</c:v>
                </c:pt>
                <c:pt idx="140">
                  <c:v>0.995</c:v>
                </c:pt>
                <c:pt idx="141">
                  <c:v>0.995</c:v>
                </c:pt>
                <c:pt idx="142">
                  <c:v>0.996</c:v>
                </c:pt>
                <c:pt idx="143">
                  <c:v>0.996</c:v>
                </c:pt>
                <c:pt idx="144">
                  <c:v>0.78600000000000003</c:v>
                </c:pt>
                <c:pt idx="145">
                  <c:v>0.79300000000000004</c:v>
                </c:pt>
                <c:pt idx="146">
                  <c:v>0.77200000000000002</c:v>
                </c:pt>
                <c:pt idx="147">
                  <c:v>0.56999999999999995</c:v>
                </c:pt>
                <c:pt idx="148">
                  <c:v>0.80500000000000005</c:v>
                </c:pt>
                <c:pt idx="149">
                  <c:v>0.79400000000000004</c:v>
                </c:pt>
                <c:pt idx="150">
                  <c:v>0.56499999999999995</c:v>
                </c:pt>
                <c:pt idx="151">
                  <c:v>0.76200000000000001</c:v>
                </c:pt>
                <c:pt idx="152">
                  <c:v>0.80600000000000005</c:v>
                </c:pt>
                <c:pt idx="153">
                  <c:v>0.98899999999999999</c:v>
                </c:pt>
                <c:pt idx="154">
                  <c:v>0.80100000000000005</c:v>
                </c:pt>
                <c:pt idx="155">
                  <c:v>0.995</c:v>
                </c:pt>
                <c:pt idx="156">
                  <c:v>0.78500000000000003</c:v>
                </c:pt>
                <c:pt idx="157">
                  <c:v>0.78400000000000003</c:v>
                </c:pt>
                <c:pt idx="158">
                  <c:v>0.79100000000000004</c:v>
                </c:pt>
                <c:pt idx="159">
                  <c:v>0.995</c:v>
                </c:pt>
                <c:pt idx="160">
                  <c:v>0.996</c:v>
                </c:pt>
                <c:pt idx="161">
                  <c:v>0.996</c:v>
                </c:pt>
                <c:pt idx="162">
                  <c:v>0.996</c:v>
                </c:pt>
                <c:pt idx="163">
                  <c:v>0.997</c:v>
                </c:pt>
                <c:pt idx="164">
                  <c:v>0.79200000000000004</c:v>
                </c:pt>
                <c:pt idx="165">
                  <c:v>0.995</c:v>
                </c:pt>
                <c:pt idx="166">
                  <c:v>0.78300000000000003</c:v>
                </c:pt>
                <c:pt idx="167">
                  <c:v>0.76600000000000001</c:v>
                </c:pt>
                <c:pt idx="168">
                  <c:v>0.76600000000000001</c:v>
                </c:pt>
                <c:pt idx="169">
                  <c:v>0.748</c:v>
                </c:pt>
                <c:pt idx="170">
                  <c:v>0.73599999999999999</c:v>
                </c:pt>
                <c:pt idx="171">
                  <c:v>0.79900000000000004</c:v>
                </c:pt>
                <c:pt idx="172">
                  <c:v>0.73899999999999999</c:v>
                </c:pt>
                <c:pt idx="173">
                  <c:v>0.78700000000000003</c:v>
                </c:pt>
                <c:pt idx="174">
                  <c:v>0.99399999999999999</c:v>
                </c:pt>
                <c:pt idx="175">
                  <c:v>0.997</c:v>
                </c:pt>
                <c:pt idx="176">
                  <c:v>0.996</c:v>
                </c:pt>
                <c:pt idx="177">
                  <c:v>0.999</c:v>
                </c:pt>
                <c:pt idx="178">
                  <c:v>0.78600000000000003</c:v>
                </c:pt>
                <c:pt idx="179">
                  <c:v>0.79</c:v>
                </c:pt>
                <c:pt idx="180">
                  <c:v>0.79400000000000004</c:v>
                </c:pt>
                <c:pt idx="181">
                  <c:v>0.78900000000000003</c:v>
                </c:pt>
                <c:pt idx="182">
                  <c:v>0.99299999999999999</c:v>
                </c:pt>
                <c:pt idx="183">
                  <c:v>0.78300000000000003</c:v>
                </c:pt>
                <c:pt idx="184">
                  <c:v>0.79</c:v>
                </c:pt>
                <c:pt idx="185">
                  <c:v>0.99399999999999999</c:v>
                </c:pt>
                <c:pt idx="186">
                  <c:v>0.78800000000000003</c:v>
                </c:pt>
                <c:pt idx="187">
                  <c:v>0.78600000000000003</c:v>
                </c:pt>
                <c:pt idx="188">
                  <c:v>0.77900000000000003</c:v>
                </c:pt>
                <c:pt idx="189">
                  <c:v>0.77200000000000002</c:v>
                </c:pt>
                <c:pt idx="190">
                  <c:v>0.78300000000000003</c:v>
                </c:pt>
                <c:pt idx="191">
                  <c:v>0.78100000000000003</c:v>
                </c:pt>
                <c:pt idx="192">
                  <c:v>0.78700000000000003</c:v>
                </c:pt>
                <c:pt idx="193">
                  <c:v>0.78600000000000003</c:v>
                </c:pt>
                <c:pt idx="194">
                  <c:v>0.79600000000000004</c:v>
                </c:pt>
                <c:pt idx="195">
                  <c:v>0.78800000000000003</c:v>
                </c:pt>
                <c:pt idx="196">
                  <c:v>0.99399999999999999</c:v>
                </c:pt>
                <c:pt idx="197">
                  <c:v>0.996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6BE-487C-A30C-3AE74D9D8CB3}"/>
            </c:ext>
          </c:extLst>
        </c:ser>
        <c:ser>
          <c:idx val="9"/>
          <c:order val="9"/>
          <c:tx>
            <c:strRef>
              <c:f>'# Out FF'!$X$2</c:f>
              <c:strCache>
                <c:ptCount val="1"/>
                <c:pt idx="0">
                  <c:v>Run 10</c:v>
                </c:pt>
              </c:strCache>
            </c:strRef>
          </c:tx>
          <c:spPr>
            <a:ln w="19050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 Out FF'!$N$3:$N$200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'# Out FF'!$X$3:$X$200</c:f>
              <c:numCache>
                <c:formatCode>General</c:formatCode>
                <c:ptCount val="198"/>
                <c:pt idx="0">
                  <c:v>1</c:v>
                </c:pt>
                <c:pt idx="1">
                  <c:v>0.998</c:v>
                </c:pt>
                <c:pt idx="2">
                  <c:v>0.999</c:v>
                </c:pt>
                <c:pt idx="3">
                  <c:v>0.999</c:v>
                </c:pt>
                <c:pt idx="4">
                  <c:v>0.78800000000000003</c:v>
                </c:pt>
                <c:pt idx="5">
                  <c:v>0.56999999999999995</c:v>
                </c:pt>
                <c:pt idx="6">
                  <c:v>0.752</c:v>
                </c:pt>
                <c:pt idx="7">
                  <c:v>0.55100000000000005</c:v>
                </c:pt>
                <c:pt idx="8">
                  <c:v>0.55600000000000005</c:v>
                </c:pt>
                <c:pt idx="9">
                  <c:v>0.77700000000000002</c:v>
                </c:pt>
                <c:pt idx="10">
                  <c:v>0.79500000000000004</c:v>
                </c:pt>
                <c:pt idx="11">
                  <c:v>0.78600000000000003</c:v>
                </c:pt>
                <c:pt idx="12">
                  <c:v>0.79900000000000004</c:v>
                </c:pt>
                <c:pt idx="13">
                  <c:v>0.79700000000000004</c:v>
                </c:pt>
                <c:pt idx="14">
                  <c:v>0.55900000000000005</c:v>
                </c:pt>
                <c:pt idx="15">
                  <c:v>0.76600000000000001</c:v>
                </c:pt>
                <c:pt idx="16">
                  <c:v>0.56000000000000005</c:v>
                </c:pt>
                <c:pt idx="17">
                  <c:v>0.84299999999999997</c:v>
                </c:pt>
                <c:pt idx="18">
                  <c:v>0.74299999999999999</c:v>
                </c:pt>
                <c:pt idx="19">
                  <c:v>0.67900000000000005</c:v>
                </c:pt>
                <c:pt idx="20">
                  <c:v>0.66300000000000003</c:v>
                </c:pt>
                <c:pt idx="21">
                  <c:v>0.47399999999999998</c:v>
                </c:pt>
                <c:pt idx="22">
                  <c:v>0.46400000000000002</c:v>
                </c:pt>
                <c:pt idx="23">
                  <c:v>0.46899999999999997</c:v>
                </c:pt>
                <c:pt idx="24">
                  <c:v>0.83099999999999996</c:v>
                </c:pt>
                <c:pt idx="25">
                  <c:v>0.745</c:v>
                </c:pt>
                <c:pt idx="26">
                  <c:v>0.76100000000000001</c:v>
                </c:pt>
                <c:pt idx="27">
                  <c:v>0.54600000000000004</c:v>
                </c:pt>
                <c:pt idx="28">
                  <c:v>0.69</c:v>
                </c:pt>
                <c:pt idx="29">
                  <c:v>0.746</c:v>
                </c:pt>
                <c:pt idx="30">
                  <c:v>0.57099999999999995</c:v>
                </c:pt>
                <c:pt idx="31">
                  <c:v>0.55400000000000005</c:v>
                </c:pt>
                <c:pt idx="32">
                  <c:v>0.68</c:v>
                </c:pt>
                <c:pt idx="33">
                  <c:v>0.69199999999999995</c:v>
                </c:pt>
                <c:pt idx="34">
                  <c:v>0.76</c:v>
                </c:pt>
                <c:pt idx="35">
                  <c:v>0.77600000000000002</c:v>
                </c:pt>
                <c:pt idx="36">
                  <c:v>0.75600000000000001</c:v>
                </c:pt>
                <c:pt idx="37">
                  <c:v>0.76</c:v>
                </c:pt>
                <c:pt idx="38">
                  <c:v>0.76600000000000001</c:v>
                </c:pt>
                <c:pt idx="39">
                  <c:v>0.68300000000000005</c:v>
                </c:pt>
                <c:pt idx="40">
                  <c:v>0.54800000000000004</c:v>
                </c:pt>
                <c:pt idx="41">
                  <c:v>0.72</c:v>
                </c:pt>
                <c:pt idx="42">
                  <c:v>0.72699999999999998</c:v>
                </c:pt>
                <c:pt idx="43">
                  <c:v>0.72699999999999998</c:v>
                </c:pt>
                <c:pt idx="44">
                  <c:v>0.78600000000000003</c:v>
                </c:pt>
                <c:pt idx="45">
                  <c:v>0.81100000000000005</c:v>
                </c:pt>
                <c:pt idx="46">
                  <c:v>0.79300000000000004</c:v>
                </c:pt>
                <c:pt idx="47">
                  <c:v>0.78300000000000003</c:v>
                </c:pt>
                <c:pt idx="48">
                  <c:v>0.79200000000000004</c:v>
                </c:pt>
                <c:pt idx="49">
                  <c:v>0.79700000000000004</c:v>
                </c:pt>
                <c:pt idx="50">
                  <c:v>0.8</c:v>
                </c:pt>
                <c:pt idx="51">
                  <c:v>0.79200000000000004</c:v>
                </c:pt>
                <c:pt idx="52">
                  <c:v>0.998</c:v>
                </c:pt>
                <c:pt idx="53">
                  <c:v>0.999</c:v>
                </c:pt>
                <c:pt idx="54">
                  <c:v>0.998</c:v>
                </c:pt>
                <c:pt idx="55">
                  <c:v>0.998</c:v>
                </c:pt>
                <c:pt idx="56">
                  <c:v>0.79700000000000004</c:v>
                </c:pt>
                <c:pt idx="57">
                  <c:v>0.997</c:v>
                </c:pt>
                <c:pt idx="58">
                  <c:v>0.78800000000000003</c:v>
                </c:pt>
                <c:pt idx="59">
                  <c:v>0.76</c:v>
                </c:pt>
                <c:pt idx="60">
                  <c:v>0.78700000000000003</c:v>
                </c:pt>
                <c:pt idx="61">
                  <c:v>0.77800000000000002</c:v>
                </c:pt>
                <c:pt idx="62">
                  <c:v>0.79800000000000004</c:v>
                </c:pt>
                <c:pt idx="63">
                  <c:v>0.55500000000000005</c:v>
                </c:pt>
                <c:pt idx="64">
                  <c:v>0.80200000000000005</c:v>
                </c:pt>
                <c:pt idx="65">
                  <c:v>0.55200000000000005</c:v>
                </c:pt>
                <c:pt idx="66">
                  <c:v>0.79</c:v>
                </c:pt>
                <c:pt idx="67">
                  <c:v>0.8</c:v>
                </c:pt>
                <c:pt idx="68">
                  <c:v>0.749</c:v>
                </c:pt>
                <c:pt idx="69">
                  <c:v>0.78100000000000003</c:v>
                </c:pt>
                <c:pt idx="70">
                  <c:v>0.79</c:v>
                </c:pt>
                <c:pt idx="71">
                  <c:v>0.77100000000000002</c:v>
                </c:pt>
                <c:pt idx="72">
                  <c:v>0.99399999999999999</c:v>
                </c:pt>
                <c:pt idx="73">
                  <c:v>0.78600000000000003</c:v>
                </c:pt>
                <c:pt idx="74">
                  <c:v>0.997</c:v>
                </c:pt>
                <c:pt idx="75">
                  <c:v>0.78600000000000003</c:v>
                </c:pt>
                <c:pt idx="76">
                  <c:v>0.79400000000000004</c:v>
                </c:pt>
                <c:pt idx="77">
                  <c:v>0.78800000000000003</c:v>
                </c:pt>
                <c:pt idx="78">
                  <c:v>0.997</c:v>
                </c:pt>
                <c:pt idx="79">
                  <c:v>0.79400000000000004</c:v>
                </c:pt>
                <c:pt idx="80">
                  <c:v>0.79800000000000004</c:v>
                </c:pt>
                <c:pt idx="81">
                  <c:v>0.78400000000000003</c:v>
                </c:pt>
                <c:pt idx="82">
                  <c:v>0.80200000000000005</c:v>
                </c:pt>
                <c:pt idx="83">
                  <c:v>0.99399999999999999</c:v>
                </c:pt>
                <c:pt idx="84">
                  <c:v>0.78500000000000003</c:v>
                </c:pt>
                <c:pt idx="85">
                  <c:v>0.996</c:v>
                </c:pt>
                <c:pt idx="86">
                  <c:v>0.79600000000000004</c:v>
                </c:pt>
                <c:pt idx="87">
                  <c:v>0.79300000000000004</c:v>
                </c:pt>
                <c:pt idx="88">
                  <c:v>0.79100000000000004</c:v>
                </c:pt>
                <c:pt idx="89">
                  <c:v>0.79500000000000004</c:v>
                </c:pt>
                <c:pt idx="90">
                  <c:v>0.997</c:v>
                </c:pt>
                <c:pt idx="91">
                  <c:v>0.998</c:v>
                </c:pt>
                <c:pt idx="92">
                  <c:v>0.998</c:v>
                </c:pt>
                <c:pt idx="93">
                  <c:v>0.997</c:v>
                </c:pt>
                <c:pt idx="94">
                  <c:v>0.79</c:v>
                </c:pt>
                <c:pt idx="95">
                  <c:v>0.997</c:v>
                </c:pt>
                <c:pt idx="96">
                  <c:v>0.998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6BE-487C-A30C-3AE74D9D8CB3}"/>
            </c:ext>
          </c:extLst>
        </c:ser>
        <c:ser>
          <c:idx val="10"/>
          <c:order val="10"/>
          <c:tx>
            <c:strRef>
              <c:f>'# Out FF'!$Y$2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'# Out FF'!$N$3:$N$200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xVal>
          <c:yVal>
            <c:numRef>
              <c:f>'# Out FF'!$Y$3:$Y$200</c:f>
              <c:numCache>
                <c:formatCode>General</c:formatCode>
                <c:ptCount val="198"/>
                <c:pt idx="0">
                  <c:v>1</c:v>
                </c:pt>
                <c:pt idx="1">
                  <c:v>0.99690000000000001</c:v>
                </c:pt>
                <c:pt idx="2">
                  <c:v>0.99720000000000009</c:v>
                </c:pt>
                <c:pt idx="3">
                  <c:v>0.99729999999999996</c:v>
                </c:pt>
                <c:pt idx="4">
                  <c:v>0.78539999999999999</c:v>
                </c:pt>
                <c:pt idx="5">
                  <c:v>0.80549999999999999</c:v>
                </c:pt>
                <c:pt idx="6">
                  <c:v>0.72089999999999999</c:v>
                </c:pt>
                <c:pt idx="7">
                  <c:v>0.67859999999999998</c:v>
                </c:pt>
                <c:pt idx="8">
                  <c:v>0.66839999999999999</c:v>
                </c:pt>
                <c:pt idx="9">
                  <c:v>0.63170000000000004</c:v>
                </c:pt>
                <c:pt idx="10">
                  <c:v>0.63029999999999997</c:v>
                </c:pt>
                <c:pt idx="11">
                  <c:v>0.58779999999999999</c:v>
                </c:pt>
                <c:pt idx="12">
                  <c:v>0.63479999999999992</c:v>
                </c:pt>
                <c:pt idx="13">
                  <c:v>0.6157999999999999</c:v>
                </c:pt>
                <c:pt idx="14">
                  <c:v>0.58020000000000005</c:v>
                </c:pt>
                <c:pt idx="15">
                  <c:v>0.64610000000000001</c:v>
                </c:pt>
                <c:pt idx="16">
                  <c:v>0.68389999999999995</c:v>
                </c:pt>
                <c:pt idx="17">
                  <c:v>0.69040000000000001</c:v>
                </c:pt>
                <c:pt idx="18">
                  <c:v>0.66879999999999995</c:v>
                </c:pt>
                <c:pt idx="19">
                  <c:v>0.69120000000000004</c:v>
                </c:pt>
                <c:pt idx="20">
                  <c:v>0.70799999999999996</c:v>
                </c:pt>
                <c:pt idx="21">
                  <c:v>0.70840000000000003</c:v>
                </c:pt>
                <c:pt idx="22">
                  <c:v>0.71099999999999997</c:v>
                </c:pt>
                <c:pt idx="23">
                  <c:v>0.64100000000000001</c:v>
                </c:pt>
                <c:pt idx="24">
                  <c:v>0.66739999999999999</c:v>
                </c:pt>
                <c:pt idx="25">
                  <c:v>0.76939999999999997</c:v>
                </c:pt>
                <c:pt idx="26">
                  <c:v>0.72560000000000002</c:v>
                </c:pt>
                <c:pt idx="27">
                  <c:v>0.71639999999999993</c:v>
                </c:pt>
                <c:pt idx="28">
                  <c:v>0.76829999999999998</c:v>
                </c:pt>
                <c:pt idx="29">
                  <c:v>0.67820000000000003</c:v>
                </c:pt>
                <c:pt idx="30">
                  <c:v>0.71879999999999999</c:v>
                </c:pt>
                <c:pt idx="31">
                  <c:v>0.6401</c:v>
                </c:pt>
                <c:pt idx="32">
                  <c:v>0.62990000000000002</c:v>
                </c:pt>
                <c:pt idx="33">
                  <c:v>0.64660000000000006</c:v>
                </c:pt>
                <c:pt idx="34">
                  <c:v>0.74870000000000003</c:v>
                </c:pt>
                <c:pt idx="35">
                  <c:v>0.75390000000000001</c:v>
                </c:pt>
                <c:pt idx="36">
                  <c:v>0.7883</c:v>
                </c:pt>
                <c:pt idx="37">
                  <c:v>0.76039999999999996</c:v>
                </c:pt>
                <c:pt idx="38">
                  <c:v>0.80220000000000002</c:v>
                </c:pt>
                <c:pt idx="39">
                  <c:v>0.74060000000000004</c:v>
                </c:pt>
                <c:pt idx="40">
                  <c:v>0.75060000000000004</c:v>
                </c:pt>
                <c:pt idx="41">
                  <c:v>0.76070000000000004</c:v>
                </c:pt>
                <c:pt idx="42">
                  <c:v>0.75290000000000001</c:v>
                </c:pt>
                <c:pt idx="43">
                  <c:v>0.80359999999999998</c:v>
                </c:pt>
                <c:pt idx="44">
                  <c:v>0.75949999999999995</c:v>
                </c:pt>
                <c:pt idx="45">
                  <c:v>0.77049999999999996</c:v>
                </c:pt>
                <c:pt idx="46">
                  <c:v>0.7631</c:v>
                </c:pt>
                <c:pt idx="47">
                  <c:v>0.77879999999999994</c:v>
                </c:pt>
                <c:pt idx="48">
                  <c:v>0.77579999999999993</c:v>
                </c:pt>
                <c:pt idx="49">
                  <c:v>0.77670000000000006</c:v>
                </c:pt>
                <c:pt idx="50">
                  <c:v>0.75590000000000002</c:v>
                </c:pt>
                <c:pt idx="51">
                  <c:v>0.75379999999999991</c:v>
                </c:pt>
                <c:pt idx="52">
                  <c:v>0.8217000000000001</c:v>
                </c:pt>
                <c:pt idx="53">
                  <c:v>0.81689999999999996</c:v>
                </c:pt>
                <c:pt idx="54">
                  <c:v>0.83260000000000001</c:v>
                </c:pt>
                <c:pt idx="55">
                  <c:v>0.82679999999999998</c:v>
                </c:pt>
                <c:pt idx="56">
                  <c:v>0.77079999999999993</c:v>
                </c:pt>
                <c:pt idx="57">
                  <c:v>0.80289999999999995</c:v>
                </c:pt>
                <c:pt idx="58">
                  <c:v>0.81710000000000005</c:v>
                </c:pt>
                <c:pt idx="59">
                  <c:v>0.75</c:v>
                </c:pt>
                <c:pt idx="60">
                  <c:v>0.80489999999999995</c:v>
                </c:pt>
                <c:pt idx="61">
                  <c:v>0.75249999999999995</c:v>
                </c:pt>
                <c:pt idx="62">
                  <c:v>0.80200000000000005</c:v>
                </c:pt>
                <c:pt idx="63">
                  <c:v>0.8012999999999999</c:v>
                </c:pt>
                <c:pt idx="64">
                  <c:v>0.82099999999999995</c:v>
                </c:pt>
                <c:pt idx="65">
                  <c:v>0.84510000000000007</c:v>
                </c:pt>
                <c:pt idx="66">
                  <c:v>0.87560000000000004</c:v>
                </c:pt>
                <c:pt idx="67">
                  <c:v>0.84729999999999994</c:v>
                </c:pt>
                <c:pt idx="68">
                  <c:v>0.82229999999999992</c:v>
                </c:pt>
                <c:pt idx="69">
                  <c:v>0.79910000000000003</c:v>
                </c:pt>
                <c:pt idx="70">
                  <c:v>0.84660000000000002</c:v>
                </c:pt>
                <c:pt idx="71">
                  <c:v>0.80959999999999999</c:v>
                </c:pt>
                <c:pt idx="72">
                  <c:v>0.82910000000000006</c:v>
                </c:pt>
                <c:pt idx="73">
                  <c:v>0.80710000000000004</c:v>
                </c:pt>
                <c:pt idx="74">
                  <c:v>0.93240000000000001</c:v>
                </c:pt>
                <c:pt idx="75">
                  <c:v>0.89360000000000006</c:v>
                </c:pt>
                <c:pt idx="76">
                  <c:v>0.90560000000000007</c:v>
                </c:pt>
                <c:pt idx="77">
                  <c:v>0.93559999999999999</c:v>
                </c:pt>
                <c:pt idx="78">
                  <c:v>0.8901</c:v>
                </c:pt>
                <c:pt idx="79">
                  <c:v>0.88960000000000006</c:v>
                </c:pt>
                <c:pt idx="80">
                  <c:v>0.89170000000000005</c:v>
                </c:pt>
                <c:pt idx="81">
                  <c:v>0.86029999999999995</c:v>
                </c:pt>
                <c:pt idx="82">
                  <c:v>0.91039999999999999</c:v>
                </c:pt>
                <c:pt idx="83">
                  <c:v>0.91349999999999998</c:v>
                </c:pt>
                <c:pt idx="84">
                  <c:v>0.89339999999999997</c:v>
                </c:pt>
                <c:pt idx="85">
                  <c:v>0.93879999999999997</c:v>
                </c:pt>
                <c:pt idx="86">
                  <c:v>0.93520000000000003</c:v>
                </c:pt>
                <c:pt idx="87">
                  <c:v>0.95479999999999998</c:v>
                </c:pt>
                <c:pt idx="88">
                  <c:v>0.91800000000000004</c:v>
                </c:pt>
                <c:pt idx="89">
                  <c:v>0.91859999999999997</c:v>
                </c:pt>
                <c:pt idx="90">
                  <c:v>0.97760000000000002</c:v>
                </c:pt>
                <c:pt idx="91">
                  <c:v>0.93740000000000001</c:v>
                </c:pt>
                <c:pt idx="92">
                  <c:v>0.93810000000000004</c:v>
                </c:pt>
                <c:pt idx="93">
                  <c:v>0.97839999999999994</c:v>
                </c:pt>
                <c:pt idx="94">
                  <c:v>0.92670000000000008</c:v>
                </c:pt>
                <c:pt idx="95">
                  <c:v>0.95910000000000006</c:v>
                </c:pt>
                <c:pt idx="96">
                  <c:v>0.95569999999999999</c:v>
                </c:pt>
                <c:pt idx="97">
                  <c:v>0.95650000000000002</c:v>
                </c:pt>
                <c:pt idx="98">
                  <c:v>0.93779999999999997</c:v>
                </c:pt>
                <c:pt idx="99">
                  <c:v>0.95669999999999999</c:v>
                </c:pt>
                <c:pt idx="100">
                  <c:v>0.95950000000000002</c:v>
                </c:pt>
                <c:pt idx="101">
                  <c:v>0.95679999999999998</c:v>
                </c:pt>
                <c:pt idx="102">
                  <c:v>0.97929999999999995</c:v>
                </c:pt>
                <c:pt idx="103">
                  <c:v>0.95760000000000001</c:v>
                </c:pt>
                <c:pt idx="104">
                  <c:v>0.95829999999999993</c:v>
                </c:pt>
                <c:pt idx="105">
                  <c:v>0.99860000000000004</c:v>
                </c:pt>
                <c:pt idx="106">
                  <c:v>0.97909999999999997</c:v>
                </c:pt>
                <c:pt idx="107">
                  <c:v>0.97960000000000003</c:v>
                </c:pt>
                <c:pt idx="108">
                  <c:v>0.97939999999999994</c:v>
                </c:pt>
                <c:pt idx="109">
                  <c:v>0.93840000000000001</c:v>
                </c:pt>
                <c:pt idx="110">
                  <c:v>0.94010000000000005</c:v>
                </c:pt>
                <c:pt idx="111">
                  <c:v>0.96099999999999997</c:v>
                </c:pt>
                <c:pt idx="112">
                  <c:v>0.93679999999999997</c:v>
                </c:pt>
                <c:pt idx="113">
                  <c:v>0.93910000000000005</c:v>
                </c:pt>
                <c:pt idx="114">
                  <c:v>0.97689999999999999</c:v>
                </c:pt>
                <c:pt idx="115">
                  <c:v>0.95699999999999996</c:v>
                </c:pt>
                <c:pt idx="116">
                  <c:v>0.95799999999999996</c:v>
                </c:pt>
                <c:pt idx="117">
                  <c:v>0.93200000000000005</c:v>
                </c:pt>
                <c:pt idx="118">
                  <c:v>0.95099999999999996</c:v>
                </c:pt>
                <c:pt idx="119">
                  <c:v>0.95729999999999993</c:v>
                </c:pt>
                <c:pt idx="120">
                  <c:v>0.95679999999999998</c:v>
                </c:pt>
                <c:pt idx="121">
                  <c:v>0.95740000000000003</c:v>
                </c:pt>
                <c:pt idx="122">
                  <c:v>0.97789999999999999</c:v>
                </c:pt>
                <c:pt idx="123">
                  <c:v>0.97560000000000002</c:v>
                </c:pt>
                <c:pt idx="124">
                  <c:v>0.97860000000000003</c:v>
                </c:pt>
                <c:pt idx="125">
                  <c:v>0.98060000000000003</c:v>
                </c:pt>
                <c:pt idx="126">
                  <c:v>0.97599999999999998</c:v>
                </c:pt>
                <c:pt idx="127">
                  <c:v>0.95569999999999999</c:v>
                </c:pt>
                <c:pt idx="128">
                  <c:v>0.97599999999999998</c:v>
                </c:pt>
                <c:pt idx="129">
                  <c:v>0.97799999999999998</c:v>
                </c:pt>
                <c:pt idx="130">
                  <c:v>0.99929999999999997</c:v>
                </c:pt>
                <c:pt idx="131">
                  <c:v>0.99970000000000003</c:v>
                </c:pt>
                <c:pt idx="132">
                  <c:v>0.99970000000000003</c:v>
                </c:pt>
                <c:pt idx="133">
                  <c:v>0.99970000000000003</c:v>
                </c:pt>
                <c:pt idx="134">
                  <c:v>0.99950000000000006</c:v>
                </c:pt>
                <c:pt idx="135">
                  <c:v>0.97860000000000003</c:v>
                </c:pt>
                <c:pt idx="136">
                  <c:v>0.97889999999999999</c:v>
                </c:pt>
                <c:pt idx="137">
                  <c:v>0.97820000000000007</c:v>
                </c:pt>
                <c:pt idx="138">
                  <c:v>0.97620000000000007</c:v>
                </c:pt>
                <c:pt idx="139">
                  <c:v>0.99920000000000009</c:v>
                </c:pt>
                <c:pt idx="140">
                  <c:v>0.99950000000000006</c:v>
                </c:pt>
                <c:pt idx="141">
                  <c:v>0.99950000000000006</c:v>
                </c:pt>
                <c:pt idx="142">
                  <c:v>0.99960000000000004</c:v>
                </c:pt>
                <c:pt idx="143">
                  <c:v>0.99960000000000004</c:v>
                </c:pt>
                <c:pt idx="144">
                  <c:v>0.97860000000000003</c:v>
                </c:pt>
                <c:pt idx="145">
                  <c:v>0.97929999999999995</c:v>
                </c:pt>
                <c:pt idx="146">
                  <c:v>0.97720000000000007</c:v>
                </c:pt>
                <c:pt idx="147">
                  <c:v>0.95699999999999996</c:v>
                </c:pt>
                <c:pt idx="148">
                  <c:v>0.98050000000000004</c:v>
                </c:pt>
                <c:pt idx="149">
                  <c:v>0.97939999999999994</c:v>
                </c:pt>
                <c:pt idx="150">
                  <c:v>0.95650000000000002</c:v>
                </c:pt>
                <c:pt idx="151">
                  <c:v>0.97620000000000007</c:v>
                </c:pt>
                <c:pt idx="152">
                  <c:v>0.98060000000000003</c:v>
                </c:pt>
                <c:pt idx="153">
                  <c:v>0.99890000000000001</c:v>
                </c:pt>
                <c:pt idx="154">
                  <c:v>0.98009999999999997</c:v>
                </c:pt>
                <c:pt idx="155">
                  <c:v>0.99950000000000006</c:v>
                </c:pt>
                <c:pt idx="156">
                  <c:v>0.97850000000000004</c:v>
                </c:pt>
                <c:pt idx="157">
                  <c:v>0.97839999999999994</c:v>
                </c:pt>
                <c:pt idx="158">
                  <c:v>0.97909999999999997</c:v>
                </c:pt>
                <c:pt idx="159">
                  <c:v>0.99950000000000006</c:v>
                </c:pt>
                <c:pt idx="160">
                  <c:v>0.99960000000000004</c:v>
                </c:pt>
                <c:pt idx="161">
                  <c:v>0.99960000000000004</c:v>
                </c:pt>
                <c:pt idx="162">
                  <c:v>0.99960000000000004</c:v>
                </c:pt>
                <c:pt idx="163">
                  <c:v>0.99970000000000003</c:v>
                </c:pt>
                <c:pt idx="164">
                  <c:v>0.97920000000000007</c:v>
                </c:pt>
                <c:pt idx="165">
                  <c:v>0.99950000000000006</c:v>
                </c:pt>
                <c:pt idx="166">
                  <c:v>0.97829999999999995</c:v>
                </c:pt>
                <c:pt idx="167">
                  <c:v>0.97660000000000002</c:v>
                </c:pt>
                <c:pt idx="168">
                  <c:v>0.97660000000000002</c:v>
                </c:pt>
                <c:pt idx="169">
                  <c:v>0.9748</c:v>
                </c:pt>
                <c:pt idx="170">
                  <c:v>0.97360000000000002</c:v>
                </c:pt>
                <c:pt idx="171">
                  <c:v>0.97989999999999999</c:v>
                </c:pt>
                <c:pt idx="172">
                  <c:v>0.97389999999999999</c:v>
                </c:pt>
                <c:pt idx="173">
                  <c:v>0.97870000000000001</c:v>
                </c:pt>
                <c:pt idx="174">
                  <c:v>0.99939999999999996</c:v>
                </c:pt>
                <c:pt idx="175">
                  <c:v>0.99970000000000003</c:v>
                </c:pt>
                <c:pt idx="176">
                  <c:v>0.99960000000000004</c:v>
                </c:pt>
                <c:pt idx="177">
                  <c:v>0.99990000000000001</c:v>
                </c:pt>
                <c:pt idx="178">
                  <c:v>0.97860000000000003</c:v>
                </c:pt>
                <c:pt idx="179">
                  <c:v>0.97899999999999998</c:v>
                </c:pt>
                <c:pt idx="180">
                  <c:v>0.97939999999999994</c:v>
                </c:pt>
                <c:pt idx="181">
                  <c:v>0.97889999999999999</c:v>
                </c:pt>
                <c:pt idx="182">
                  <c:v>0.99929999999999997</c:v>
                </c:pt>
                <c:pt idx="183">
                  <c:v>0.97829999999999995</c:v>
                </c:pt>
                <c:pt idx="184">
                  <c:v>0.97899999999999998</c:v>
                </c:pt>
                <c:pt idx="185">
                  <c:v>0.99939999999999996</c:v>
                </c:pt>
                <c:pt idx="186">
                  <c:v>0.9788</c:v>
                </c:pt>
                <c:pt idx="187">
                  <c:v>0.97860000000000003</c:v>
                </c:pt>
                <c:pt idx="188">
                  <c:v>0.97789999999999999</c:v>
                </c:pt>
                <c:pt idx="189">
                  <c:v>0.97720000000000007</c:v>
                </c:pt>
                <c:pt idx="190">
                  <c:v>0.97829999999999995</c:v>
                </c:pt>
                <c:pt idx="191">
                  <c:v>0.97809999999999997</c:v>
                </c:pt>
                <c:pt idx="192">
                  <c:v>0.97870000000000001</c:v>
                </c:pt>
                <c:pt idx="193">
                  <c:v>0.97860000000000003</c:v>
                </c:pt>
                <c:pt idx="194">
                  <c:v>0.97960000000000003</c:v>
                </c:pt>
                <c:pt idx="195">
                  <c:v>0.9788</c:v>
                </c:pt>
                <c:pt idx="196">
                  <c:v>0.99939999999999996</c:v>
                </c:pt>
                <c:pt idx="197">
                  <c:v>0.99960000000000004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6BE-487C-A30C-3AE74D9D8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90784"/>
        <c:axId val="1318262624"/>
      </c:scatterChart>
      <c:valAx>
        <c:axId val="1077390784"/>
        <c:scaling>
          <c:orientation val="minMax"/>
          <c:max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62624"/>
        <c:crosses val="autoZero"/>
        <c:crossBetween val="midCat"/>
      </c:valAx>
      <c:valAx>
        <c:axId val="131826262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 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0784"/>
        <c:crosses val="autoZero"/>
        <c:crossBetween val="midCat"/>
        <c:majorUnit val="0.2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'New Infections FF'!$F$3:$F$88</c:f>
              <c:numCache>
                <c:formatCode>General</c:formatCode>
                <c:ptCount val="8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15</c:v>
                </c:pt>
                <c:pt idx="9">
                  <c:v>17</c:v>
                </c:pt>
                <c:pt idx="10">
                  <c:v>34</c:v>
                </c:pt>
                <c:pt idx="11">
                  <c:v>27</c:v>
                </c:pt>
                <c:pt idx="12">
                  <c:v>7</c:v>
                </c:pt>
                <c:pt idx="13">
                  <c:v>8</c:v>
                </c:pt>
                <c:pt idx="14">
                  <c:v>1</c:v>
                </c:pt>
                <c:pt idx="15">
                  <c:v>4</c:v>
                </c:pt>
                <c:pt idx="16">
                  <c:v>2</c:v>
                </c:pt>
                <c:pt idx="17">
                  <c:v>2</c:v>
                </c:pt>
                <c:pt idx="18">
                  <c:v>5</c:v>
                </c:pt>
                <c:pt idx="19">
                  <c:v>9</c:v>
                </c:pt>
                <c:pt idx="20">
                  <c:v>11</c:v>
                </c:pt>
                <c:pt idx="21">
                  <c:v>10</c:v>
                </c:pt>
                <c:pt idx="22">
                  <c:v>5</c:v>
                </c:pt>
                <c:pt idx="23">
                  <c:v>9</c:v>
                </c:pt>
                <c:pt idx="24">
                  <c:v>4</c:v>
                </c:pt>
                <c:pt idx="25">
                  <c:v>13</c:v>
                </c:pt>
                <c:pt idx="26">
                  <c:v>4</c:v>
                </c:pt>
                <c:pt idx="27">
                  <c:v>8</c:v>
                </c:pt>
                <c:pt idx="28">
                  <c:v>3</c:v>
                </c:pt>
                <c:pt idx="29">
                  <c:v>0</c:v>
                </c:pt>
                <c:pt idx="30">
                  <c:v>4</c:v>
                </c:pt>
                <c:pt idx="31">
                  <c:v>1</c:v>
                </c:pt>
                <c:pt idx="32">
                  <c:v>1</c:v>
                </c:pt>
                <c:pt idx="33">
                  <c:v>10</c:v>
                </c:pt>
                <c:pt idx="34">
                  <c:v>4</c:v>
                </c:pt>
                <c:pt idx="35">
                  <c:v>8</c:v>
                </c:pt>
                <c:pt idx="36">
                  <c:v>7</c:v>
                </c:pt>
                <c:pt idx="37">
                  <c:v>9</c:v>
                </c:pt>
                <c:pt idx="38">
                  <c:v>13</c:v>
                </c:pt>
                <c:pt idx="39">
                  <c:v>4</c:v>
                </c:pt>
                <c:pt idx="40">
                  <c:v>12</c:v>
                </c:pt>
                <c:pt idx="41">
                  <c:v>7</c:v>
                </c:pt>
                <c:pt idx="42">
                  <c:v>4</c:v>
                </c:pt>
                <c:pt idx="43">
                  <c:v>4</c:v>
                </c:pt>
                <c:pt idx="44">
                  <c:v>2</c:v>
                </c:pt>
                <c:pt idx="45">
                  <c:v>1</c:v>
                </c:pt>
                <c:pt idx="46">
                  <c:v>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</c:v>
                </c:pt>
                <c:pt idx="53">
                  <c:v>2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3</c:v>
                </c:pt>
                <c:pt idx="58">
                  <c:v>4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5</c:v>
                </c:pt>
                <c:pt idx="64">
                  <c:v>2</c:v>
                </c:pt>
                <c:pt idx="65">
                  <c:v>2</c:v>
                </c:pt>
                <c:pt idx="66">
                  <c:v>7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2</c:v>
                </c:pt>
                <c:pt idx="72">
                  <c:v>0</c:v>
                </c:pt>
                <c:pt idx="73">
                  <c:v>2</c:v>
                </c:pt>
                <c:pt idx="74">
                  <c:v>4</c:v>
                </c:pt>
                <c:pt idx="75">
                  <c:v>2</c:v>
                </c:pt>
                <c:pt idx="76">
                  <c:v>4</c:v>
                </c:pt>
                <c:pt idx="77">
                  <c:v>3</c:v>
                </c:pt>
                <c:pt idx="78">
                  <c:v>1</c:v>
                </c:pt>
                <c:pt idx="79">
                  <c:v>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7A-423A-9AFB-837CA8C7A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314511"/>
        <c:axId val="728482799"/>
      </c:scatterChart>
      <c:valAx>
        <c:axId val="1292314511"/>
        <c:scaling>
          <c:orientation val="minMax"/>
          <c:max val="8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accent3">
                <a:alpha val="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482799"/>
        <c:crosses val="autoZero"/>
        <c:crossBetween val="midCat"/>
      </c:valAx>
      <c:valAx>
        <c:axId val="72848279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New Infections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  <a:alpha val="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1451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10</xdr:row>
      <xdr:rowOff>142875</xdr:rowOff>
    </xdr:from>
    <xdr:to>
      <xdr:col>23</xdr:col>
      <xdr:colOff>590550</xdr:colOff>
      <xdr:row>25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E58F6-C445-462C-BAD2-510E142C8A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504825</xdr:colOff>
      <xdr:row>10</xdr:row>
      <xdr:rowOff>152400</xdr:rowOff>
    </xdr:from>
    <xdr:to>
      <xdr:col>16</xdr:col>
      <xdr:colOff>200025</xdr:colOff>
      <xdr:row>25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82B2C8-4FDA-4A06-AE0D-50A948A2C4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523875</xdr:colOff>
      <xdr:row>25</xdr:row>
      <xdr:rowOff>85725</xdr:rowOff>
    </xdr:from>
    <xdr:to>
      <xdr:col>16</xdr:col>
      <xdr:colOff>219075</xdr:colOff>
      <xdr:row>39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1B31E2-5D4E-482C-9C3A-97932EA3A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333375</xdr:colOff>
      <xdr:row>25</xdr:row>
      <xdr:rowOff>133350</xdr:rowOff>
    </xdr:from>
    <xdr:to>
      <xdr:col>24</xdr:col>
      <xdr:colOff>28575</xdr:colOff>
      <xdr:row>40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F63696-9834-45F2-93BB-B21F00EDD7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457200</xdr:colOff>
      <xdr:row>48</xdr:row>
      <xdr:rowOff>171450</xdr:rowOff>
    </xdr:from>
    <xdr:to>
      <xdr:col>16</xdr:col>
      <xdr:colOff>152400</xdr:colOff>
      <xdr:row>63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D4814C-E212-4D66-824C-D5FEF47D8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180975</xdr:colOff>
      <xdr:row>63</xdr:row>
      <xdr:rowOff>76200</xdr:rowOff>
    </xdr:from>
    <xdr:to>
      <xdr:col>23</xdr:col>
      <xdr:colOff>485775</xdr:colOff>
      <xdr:row>77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BA9696E-0A20-44AF-971D-EB67AA8E5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457200</xdr:colOff>
      <xdr:row>63</xdr:row>
      <xdr:rowOff>47625</xdr:rowOff>
    </xdr:from>
    <xdr:to>
      <xdr:col>16</xdr:col>
      <xdr:colOff>152400</xdr:colOff>
      <xdr:row>77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0483789-ADF4-4CC2-8F46-99C40E06D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190500</xdr:colOff>
      <xdr:row>48</xdr:row>
      <xdr:rowOff>171450</xdr:rowOff>
    </xdr:from>
    <xdr:to>
      <xdr:col>23</xdr:col>
      <xdr:colOff>495300</xdr:colOff>
      <xdr:row>63</xdr:row>
      <xdr:rowOff>57150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16C8673-3634-42C4-B43F-5AA26D547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15</xdr:row>
      <xdr:rowOff>28575</xdr:rowOff>
    </xdr:from>
    <xdr:to>
      <xdr:col>11</xdr:col>
      <xdr:colOff>66675</xdr:colOff>
      <xdr:row>29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F21C64A-F930-4624-80F2-3A7C2828C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457200</xdr:colOff>
      <xdr:row>0</xdr:row>
      <xdr:rowOff>152399</xdr:rowOff>
    </xdr:from>
    <xdr:to>
      <xdr:col>28</xdr:col>
      <xdr:colOff>142875</xdr:colOff>
      <xdr:row>19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CEC3FE1-8F7B-4A40-991D-67026DAFF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361950</xdr:colOff>
      <xdr:row>0</xdr:row>
      <xdr:rowOff>142875</xdr:rowOff>
    </xdr:from>
    <xdr:to>
      <xdr:col>11</xdr:col>
      <xdr:colOff>57150</xdr:colOff>
      <xdr:row>15</xdr:row>
      <xdr:rowOff>28575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27D50EE-B963-473E-AF98-467ED0417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400050</xdr:colOff>
      <xdr:row>29</xdr:row>
      <xdr:rowOff>95250</xdr:rowOff>
    </xdr:from>
    <xdr:to>
      <xdr:col>11</xdr:col>
      <xdr:colOff>95250</xdr:colOff>
      <xdr:row>43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8835953-8ABF-436B-BD7A-AFF733611D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504264</xdr:colOff>
      <xdr:row>49</xdr:row>
      <xdr:rowOff>151840</xdr:rowOff>
    </xdr:from>
    <xdr:to>
      <xdr:col>15</xdr:col>
      <xdr:colOff>203947</xdr:colOff>
      <xdr:row>64</xdr:row>
      <xdr:rowOff>37540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9D621DC-C9D4-4A3B-8FB3-EAAD14F496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95250</xdr:colOff>
      <xdr:row>29</xdr:row>
      <xdr:rowOff>114300</xdr:rowOff>
    </xdr:from>
    <xdr:to>
      <xdr:col>18</xdr:col>
      <xdr:colOff>400050</xdr:colOff>
      <xdr:row>44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2BE8727-0B36-400E-89D0-1A6DB3FF1C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66675</xdr:colOff>
      <xdr:row>15</xdr:row>
      <xdr:rowOff>28575</xdr:rowOff>
    </xdr:from>
    <xdr:to>
      <xdr:col>18</xdr:col>
      <xdr:colOff>371475</xdr:colOff>
      <xdr:row>29</xdr:row>
      <xdr:rowOff>104775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0BE6964-B164-4950-AFB7-4819F1F98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76200</xdr:colOff>
      <xdr:row>0</xdr:row>
      <xdr:rowOff>161925</xdr:rowOff>
    </xdr:from>
    <xdr:to>
      <xdr:col>18</xdr:col>
      <xdr:colOff>381000</xdr:colOff>
      <xdr:row>15</xdr:row>
      <xdr:rowOff>47625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BFE60A8-E7BB-459F-9266-1040A687D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458644</xdr:colOff>
      <xdr:row>19</xdr:row>
      <xdr:rowOff>90516</xdr:rowOff>
    </xdr:from>
    <xdr:to>
      <xdr:col>28</xdr:col>
      <xdr:colOff>149087</xdr:colOff>
      <xdr:row>38</xdr:row>
      <xdr:rowOff>88348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1322A95-C534-FA73-0EF5-44AB6FD03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61912</xdr:colOff>
      <xdr:row>8</xdr:row>
      <xdr:rowOff>109537</xdr:rowOff>
    </xdr:from>
    <xdr:to>
      <xdr:col>8</xdr:col>
      <xdr:colOff>366712</xdr:colOff>
      <xdr:row>22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443372-87C9-A852-2433-2B7BB0BA2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252412</xdr:colOff>
      <xdr:row>9</xdr:row>
      <xdr:rowOff>14287</xdr:rowOff>
    </xdr:from>
    <xdr:to>
      <xdr:col>17</xdr:col>
      <xdr:colOff>557212</xdr:colOff>
      <xdr:row>23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FEDD30-04EF-E28A-09D5-34EA8BC2D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276225</xdr:colOff>
      <xdr:row>8</xdr:row>
      <xdr:rowOff>161925</xdr:rowOff>
    </xdr:from>
    <xdr:to>
      <xdr:col>25</xdr:col>
      <xdr:colOff>19050</xdr:colOff>
      <xdr:row>23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C59522-D631-4570-B8DD-F61D538A0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104775</xdr:colOff>
      <xdr:row>8</xdr:row>
      <xdr:rowOff>38100</xdr:rowOff>
    </xdr:from>
    <xdr:to>
      <xdr:col>35</xdr:col>
      <xdr:colOff>457200</xdr:colOff>
      <xdr:row>22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0885BA6-9F3C-4E5A-A297-FEA75E56E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319087</xdr:colOff>
      <xdr:row>19</xdr:row>
      <xdr:rowOff>119062</xdr:rowOff>
    </xdr:from>
    <xdr:to>
      <xdr:col>29</xdr:col>
      <xdr:colOff>61912</xdr:colOff>
      <xdr:row>34</xdr:row>
      <xdr:rowOff>4762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F6B273E-EEFA-36A2-4F96-F37F8FB43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1024031</xdr:colOff>
      <xdr:row>0</xdr:row>
      <xdr:rowOff>0</xdr:rowOff>
    </xdr:from>
    <xdr:to>
      <xdr:col>46</xdr:col>
      <xdr:colOff>328520</xdr:colOff>
      <xdr:row>24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18A69F-2116-4F4A-873F-77EA81031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192367</xdr:colOff>
      <xdr:row>21</xdr:row>
      <xdr:rowOff>76573</xdr:rowOff>
    </xdr:from>
    <xdr:to>
      <xdr:col>53</xdr:col>
      <xdr:colOff>454585</xdr:colOff>
      <xdr:row>48</xdr:row>
      <xdr:rowOff>124197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7475D2-2739-4F82-AB54-3CAB34FA4E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295602</xdr:colOff>
      <xdr:row>1</xdr:row>
      <xdr:rowOff>83425</xdr:rowOff>
    </xdr:from>
    <xdr:to>
      <xdr:col>19</xdr:col>
      <xdr:colOff>591206</xdr:colOff>
      <xdr:row>15</xdr:row>
      <xdr:rowOff>159625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DD2F6E-F4BB-B316-8C8A-4AADE7CD6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282465</xdr:colOff>
      <xdr:row>16</xdr:row>
      <xdr:rowOff>45983</xdr:rowOff>
    </xdr:from>
    <xdr:to>
      <xdr:col>19</xdr:col>
      <xdr:colOff>578069</xdr:colOff>
      <xdr:row>30</xdr:row>
      <xdr:rowOff>122183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8911DC-3456-4204-BD28-668DB32E0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476250</xdr:colOff>
      <xdr:row>19</xdr:row>
      <xdr:rowOff>161925</xdr:rowOff>
    </xdr:from>
    <xdr:to>
      <xdr:col>21</xdr:col>
      <xdr:colOff>171450</xdr:colOff>
      <xdr:row>34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9D055C-662E-47CA-8D7D-47C37815C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400050</xdr:colOff>
      <xdr:row>19</xdr:row>
      <xdr:rowOff>161925</xdr:rowOff>
    </xdr:from>
    <xdr:to>
      <xdr:col>30</xdr:col>
      <xdr:colOff>95250</xdr:colOff>
      <xdr:row>34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037F72-C1EA-46F9-B85E-5DA4787DD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16</xdr:row>
      <xdr:rowOff>0</xdr:rowOff>
    </xdr:from>
    <xdr:to>
      <xdr:col>21</xdr:col>
      <xdr:colOff>304800</xdr:colOff>
      <xdr:row>30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4BF1DE-FE39-438D-BF14-418DC8F57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36</xdr:row>
      <xdr:rowOff>0</xdr:rowOff>
    </xdr:from>
    <xdr:to>
      <xdr:col>22</xdr:col>
      <xdr:colOff>304800</xdr:colOff>
      <xdr:row>50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27EC80-9A5D-4B43-8315-6696675C6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608018</xdr:colOff>
      <xdr:row>3</xdr:row>
      <xdr:rowOff>53172</xdr:rowOff>
    </xdr:from>
    <xdr:to>
      <xdr:col>12</xdr:col>
      <xdr:colOff>305100</xdr:colOff>
      <xdr:row>19</xdr:row>
      <xdr:rowOff>22288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F58A64-734F-1D9D-B58F-B746BD0CF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269328</xdr:colOff>
      <xdr:row>4</xdr:row>
      <xdr:rowOff>124810</xdr:rowOff>
    </xdr:from>
    <xdr:to>
      <xdr:col>21</xdr:col>
      <xdr:colOff>564931</xdr:colOff>
      <xdr:row>19</xdr:row>
      <xdr:rowOff>10510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044AF1-1192-4DFD-AEEB-619F25EDA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285750</xdr:colOff>
      <xdr:row>1</xdr:row>
      <xdr:rowOff>57150</xdr:rowOff>
    </xdr:from>
    <xdr:to>
      <xdr:col>19</xdr:col>
      <xdr:colOff>590550</xdr:colOff>
      <xdr:row>15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2F8B33-1C78-4B7D-8F46-E4B8E1AC6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561975</xdr:colOff>
      <xdr:row>2</xdr:row>
      <xdr:rowOff>171450</xdr:rowOff>
    </xdr:from>
    <xdr:to>
      <xdr:col>25</xdr:col>
      <xdr:colOff>257175</xdr:colOff>
      <xdr:row>17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C70CD6-07D2-467F-817B-F8B23FCADA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590550</xdr:colOff>
      <xdr:row>3</xdr:row>
      <xdr:rowOff>95250</xdr:rowOff>
    </xdr:from>
    <xdr:to>
      <xdr:col>32</xdr:col>
      <xdr:colOff>285750</xdr:colOff>
      <xdr:row>17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0C2A1F-4969-46DE-8583-6F12F8092D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123825</xdr:colOff>
      <xdr:row>3</xdr:row>
      <xdr:rowOff>85725</xdr:rowOff>
    </xdr:from>
    <xdr:to>
      <xdr:col>32</xdr:col>
      <xdr:colOff>428625</xdr:colOff>
      <xdr:row>17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43A244-1F6A-4B46-9FCB-6C13E7289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323850</xdr:colOff>
      <xdr:row>5</xdr:row>
      <xdr:rowOff>57150</xdr:rowOff>
    </xdr:from>
    <xdr:to>
      <xdr:col>35</xdr:col>
      <xdr:colOff>19050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97451B-65EC-4E49-B197-301369089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176212</xdr:colOff>
      <xdr:row>69</xdr:row>
      <xdr:rowOff>147637</xdr:rowOff>
    </xdr:from>
    <xdr:to>
      <xdr:col>22</xdr:col>
      <xdr:colOff>481012</xdr:colOff>
      <xdr:row>84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65E1C0-AF17-085C-1D5C-3B61BCAE3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No%20Feedback\Run%201\GABM_R03_Terry_no_fb-data.csv" TargetMode="External"/><Relationship Id="rId1" Type="http://schemas.openxmlformats.org/officeDocument/2006/relationships/externalLinkPath" Target="/Users/Ross/Dropbox/GABM%20Epidemic%20Round%20%232/Data%20Raw/No%20Feedback/Run%201/GABM_R03_Terry_no_fb-data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No%20Feedback\Run%202\GABM_R03_MitchellAPI_no_fb-data.csv" TargetMode="External"/><Relationship Id="rId1" Type="http://schemas.openxmlformats.org/officeDocument/2006/relationships/externalLinkPath" Target="/Users/Ross/Dropbox/GABM%20Epidemic%20Round%20%232/Data%20Raw/No%20Feedback/Run%202/GABM_R03_MitchellAPI_no_fb-data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No%20Feedback\Run%203\GABM_R03_NavidAPI_no_fb-data.csv" TargetMode="External"/><Relationship Id="rId1" Type="http://schemas.openxmlformats.org/officeDocument/2006/relationships/externalLinkPath" Target="/Users/Ross/Dropbox/GABM%20Epidemic%20Round%20%232/Data%20Raw/No%20Feedback/Run%203/GABM_R03_NavidAPI_no_fb-data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No%20Feedback\Run%204\GABM_R03_RandiAPI_no_fb_runtwo-data.csv" TargetMode="External"/><Relationship Id="rId1" Type="http://schemas.openxmlformats.org/officeDocument/2006/relationships/externalLinkPath" Target="/Users/Ross/Dropbox/GABM%20Epidemic%20Round%20%232/Data%20Raw/No%20Feedback/Run%204/GABM_R03_RandiAPI_no_fb_runtwo-data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No%20Feedback\Run%205\GABM_R03_SudipaAPI_no_fb-data.csv" TargetMode="External"/><Relationship Id="rId1" Type="http://schemas.openxmlformats.org/officeDocument/2006/relationships/externalLinkPath" Target="/Users/Ross/Dropbox/GABM%20Epidemic%20Round%20%232/Data%20Raw/No%20Feedback/Run%205/GABM_R03_SudipaAPI_no_fb-data.csv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No%20Feedback\Run%206\GABM_R03_NavidAPI_no_fb_runtwo-data.csv" TargetMode="External"/><Relationship Id="rId1" Type="http://schemas.openxmlformats.org/officeDocument/2006/relationships/externalLinkPath" Target="/Users/Ross/Dropbox/GABM%20Epidemic%20Round%20%232/Data%20Raw/No%20Feedback/Run%206/GABM_R03_NavidAPI_no_fb_runtwo-data.csv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No%20Feedback\Run%207\GABM_R03_savannah_no_fb-data.csv" TargetMode="External"/><Relationship Id="rId1" Type="http://schemas.openxmlformats.org/officeDocument/2006/relationships/externalLinkPath" Target="/Users/Ross/Dropbox/GABM%20Epidemic%20Round%20%232/Data%20Raw/No%20Feedback/Run%207/GABM_R03_savannah_no_fb-data.csv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No%20Feedback\Run%208\GABM_R03_Terry_no_fb_run_two-data.csv" TargetMode="External"/><Relationship Id="rId1" Type="http://schemas.openxmlformats.org/officeDocument/2006/relationships/externalLinkPath" Target="/Users/Ross/Dropbox/GABM%20Epidemic%20Round%20%232/Data%20Raw/No%20Feedback/Run%208/GABM_R03_Terry_no_fb_run_two-data.csv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No%20Feedback\Run%209\GABM_R03_MitchellAPI_no_fb_runtwo-data.csv" TargetMode="External"/><Relationship Id="rId1" Type="http://schemas.openxmlformats.org/officeDocument/2006/relationships/externalLinkPath" Target="/Users/Ross/Dropbox/GABM%20Epidemic%20Round%20%232/Data%20Raw/No%20Feedback/Run%209/GABM_R03_MitchellAPI_no_fb_runtwo-data.csv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No%20Feedback\Run%2010\R03_GABM_NiyoushaAPI_no_fb-data.csv" TargetMode="External"/><Relationship Id="rId1" Type="http://schemas.openxmlformats.org/officeDocument/2006/relationships/externalLinkPath" Target="/Users/Ross/Dropbox/GABM%20Epidemic%20Round%20%232/Data%20Raw/No%20Feedback/Run%2010/R03_GABM_NiyoushaAPI_no_fb-data.csv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Health%20Feedback\Run%201\GABM_R03_NavidAPI_sf_fb-data.csv" TargetMode="External"/><Relationship Id="rId1" Type="http://schemas.openxmlformats.org/officeDocument/2006/relationships/externalLinkPath" Target="/Users/Ross/Dropbox/GABM%20Epidemic%20Round%20%232/Data%20Raw/Health%20Feedback/Run%201/GABM_R03_NavidAPI_sf_fb-data.csv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Health%20Feedback\Run%202\GABM_R03_savannah_sf_fb-data.csv" TargetMode="External"/><Relationship Id="rId1" Type="http://schemas.openxmlformats.org/officeDocument/2006/relationships/externalLinkPath" Target="/Users/Ross/Dropbox/GABM%20Epidemic%20Round%20%232/Data%20Raw/Health%20Feedback/Run%202/GABM_R03_savannah_sf_fb-data.csv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Health%20Feedback\Run%203\GABM_R03_MitchellAPI_sf_fb-data.csv" TargetMode="External"/><Relationship Id="rId1" Type="http://schemas.openxmlformats.org/officeDocument/2006/relationships/externalLinkPath" Target="/Users/Ross/Dropbox/GABM%20Epidemic%20Round%20%232/Data%20Raw/Health%20Feedback/Run%203/GABM_R03_MitchellAPI_sf_fb-data.csv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Health%20Feedback\Run%204\GABM_R03_RandiAPI_sf_fb-data.csv" TargetMode="External"/><Relationship Id="rId1" Type="http://schemas.openxmlformats.org/officeDocument/2006/relationships/externalLinkPath" Target="/Users/Ross/Dropbox/GABM%20Epidemic%20Round%20%232/Data%20Raw/Health%20Feedback/Run%204/GABM_R03_RandiAPI_sf_fb-data.csv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Health%20Feedback\Run%205\GABM_R03_Terry_sf_fb-data.csv" TargetMode="External"/><Relationship Id="rId1" Type="http://schemas.openxmlformats.org/officeDocument/2006/relationships/externalLinkPath" Target="/Users/Ross/Dropbox/GABM%20Epidemic%20Round%20%232/Data%20Raw/Health%20Feedback/Run%205/GABM_R03_Terry_sf_fb-data.csv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Health%20Feedback\Run%206\R03_GABM_NiyoushaAPI_sf_fb-data.csv" TargetMode="External"/><Relationship Id="rId1" Type="http://schemas.openxmlformats.org/officeDocument/2006/relationships/externalLinkPath" Target="/Users/Ross/Dropbox/GABM%20Epidemic%20Round%20%232/Data%20Raw/Health%20Feedback/Run%206/R03_GABM_NiyoushaAPI_sf_fb-data.csv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Health%20Feedback\Run%207\GABM_R03_SudipaAPI_sf_fb-data.csv" TargetMode="External"/><Relationship Id="rId1" Type="http://schemas.openxmlformats.org/officeDocument/2006/relationships/externalLinkPath" Target="/Users/Ross/Dropbox/GABM%20Epidemic%20Round%20%232/Data%20Raw/Health%20Feedback/Run%207/GABM_R03_SudipaAPI_sf_fb-data.csv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Health%20Feedback\Run%208\GABM_R03_Terry_sf_fb_2-data.csv" TargetMode="External"/><Relationship Id="rId1" Type="http://schemas.openxmlformats.org/officeDocument/2006/relationships/externalLinkPath" Target="/Users/Ross/Dropbox/GABM%20Epidemic%20Round%20%232/Data%20Raw/Health%20Feedback/Run%208/GABM_R03_Terry_sf_fb_2-data.csv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Health%20Feedback\Run%209\GABM_R03_NavidAPI_sf_fb_2-data.csv" TargetMode="External"/><Relationship Id="rId1" Type="http://schemas.openxmlformats.org/officeDocument/2006/relationships/externalLinkPath" Target="/Users/Ross/Dropbox/GABM%20Epidemic%20Round%20%232/Data%20Raw/Health%20Feedback/Run%209/GABM_R03_NavidAPI_sf_fb_2-data.csv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Health%20Feedback\Run%2010\R03_GABM_NiyoushaAPI_sf_fb_2-data.csv" TargetMode="External"/><Relationship Id="rId1" Type="http://schemas.openxmlformats.org/officeDocument/2006/relationships/externalLinkPath" Target="/Users/Ross/Dropbox/GABM%20Epidemic%20Round%20%232/Data%20Raw/Health%20Feedback/Run%2010/R03_GABM_NiyoushaAPI_sf_fb_2-data.csv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Full%20Feedback\R03\Run%201\output\run-1\R03_GABM-data.csv" TargetMode="External"/><Relationship Id="rId1" Type="http://schemas.openxmlformats.org/officeDocument/2006/relationships/externalLinkPath" Target="/Users/Ross/Dropbox/GABM%20Epidemic%20Round%20%232/Data%20Raw/Full%20Feedback/R03/Run%201/output/run-1/R03_GABM-data.csv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Full%20Feedback\R03\Run%202\GABM_R03_RossAPI-data.csv" TargetMode="External"/><Relationship Id="rId1" Type="http://schemas.openxmlformats.org/officeDocument/2006/relationships/externalLinkPath" Target="/Users/Ross/Dropbox/GABM%20Epidemic%20Round%20%232/Data%20Raw/Full%20Feedback/R03/Run%202/GABM_R03_RossAPI-data.csv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Full%20Feedback\R03\Run%203\GABM_R03_RandiAPI-data.csv" TargetMode="External"/><Relationship Id="rId1" Type="http://schemas.openxmlformats.org/officeDocument/2006/relationships/externalLinkPath" Target="/Users/Ross/Dropbox/GABM%20Epidemic%20Round%20%232/Data%20Raw/Full%20Feedback/R03/Run%203/GABM_R03_RandiAPI-data.csv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Full%20Feedback\R03\Run%204\GABM_R03_NavidAPI-data.csv" TargetMode="External"/><Relationship Id="rId1" Type="http://schemas.openxmlformats.org/officeDocument/2006/relationships/externalLinkPath" Target="/Users/Ross/Dropbox/GABM%20Epidemic%20Round%20%232/Data%20Raw/Full%20Feedback/R03/Run%204/GABM_R03_NavidAPI-data.csv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Full%20Feedback\R03\Run%205\GABM_R03_Terry-data.csv" TargetMode="External"/><Relationship Id="rId1" Type="http://schemas.openxmlformats.org/officeDocument/2006/relationships/externalLinkPath" Target="/Users/Ross/Dropbox/GABM%20Epidemic%20Round%20%232/Data%20Raw/Full%20Feedback/R03/Run%205/GABM_R03_Terry-data.csv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Full%20Feedback\R03\Run%206\GABM_R03_SarahAPI-data.csv" TargetMode="External"/><Relationship Id="rId1" Type="http://schemas.openxmlformats.org/officeDocument/2006/relationships/externalLinkPath" Target="/Users/Ross/Dropbox/GABM%20Epidemic%20Round%20%232/Data%20Raw/Full%20Feedback/R03/Run%206/GABM_R03_SarahAPI-data.csv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Full%20Feedback\R03\Run%207\GABM_R03_savannah-data.csv" TargetMode="External"/><Relationship Id="rId1" Type="http://schemas.openxmlformats.org/officeDocument/2006/relationships/externalLinkPath" Target="/Users/Ross/Dropbox/GABM%20Epidemic%20Round%20%232/Data%20Raw/Full%20Feedback/R03/Run%207/GABM_R03_savannah-data.csv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Full%20Feedback\R03\Run%208\GABM_R03_MitchellAPI-data.csv" TargetMode="External"/><Relationship Id="rId1" Type="http://schemas.openxmlformats.org/officeDocument/2006/relationships/externalLinkPath" Target="/Users/Ross/Dropbox/GABM%20Epidemic%20Round%20%232/Data%20Raw/Full%20Feedback/R03/Run%208/GABM_R03_MitchellAPI-data.csv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Full%20Feedback\R03\Run%209\GABM_R03_SudipaAPI-data.csv" TargetMode="External"/><Relationship Id="rId1" Type="http://schemas.openxmlformats.org/officeDocument/2006/relationships/externalLinkPath" Target="/Users/Ross/Dropbox/GABM%20Epidemic%20Round%20%232/Data%20Raw/Full%20Feedback/R03/Run%209/GABM_R03_SudipaAPI-data.csv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s\Dropbox\GABM%20Epidemic%20Round%20%232\Data%20Raw\Full%20Feedback\R03\Run%2010\R03_GABM_run2-data.csv" TargetMode="External"/><Relationship Id="rId1" Type="http://schemas.openxmlformats.org/officeDocument/2006/relationships/externalLinkPath" Target="/Users/Ross/Dropbox/GABM%20Epidemic%20Round%20%232/Data%20Raw/Full%20Feedback/R03/Run%2010/R03_GABM_run2-data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Terry_no_fb-data"/>
    </sheetNames>
    <sheetDataSet>
      <sheetData sheetId="0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6</v>
          </cell>
          <cell r="G3">
            <v>1000</v>
          </cell>
          <cell r="H3">
            <v>4</v>
          </cell>
          <cell r="J3">
            <v>4998</v>
          </cell>
          <cell r="K3">
            <v>0</v>
          </cell>
          <cell r="L3">
            <v>5000</v>
          </cell>
        </row>
        <row r="4">
          <cell r="D4">
            <v>9</v>
          </cell>
          <cell r="G4">
            <v>1000</v>
          </cell>
          <cell r="H4">
            <v>3</v>
          </cell>
          <cell r="J4">
            <v>5000</v>
          </cell>
          <cell r="K4">
            <v>0</v>
          </cell>
          <cell r="L4">
            <v>5000</v>
          </cell>
        </row>
        <row r="5">
          <cell r="D5">
            <v>15</v>
          </cell>
          <cell r="G5">
            <v>1000</v>
          </cell>
          <cell r="H5">
            <v>6</v>
          </cell>
          <cell r="J5">
            <v>5000</v>
          </cell>
          <cell r="K5">
            <v>2</v>
          </cell>
          <cell r="L5">
            <v>5000</v>
          </cell>
        </row>
        <row r="6">
          <cell r="D6">
            <v>40</v>
          </cell>
          <cell r="G6">
            <v>1000</v>
          </cell>
          <cell r="H6">
            <v>25</v>
          </cell>
          <cell r="J6">
            <v>4998</v>
          </cell>
          <cell r="K6">
            <v>4</v>
          </cell>
          <cell r="L6">
            <v>5000</v>
          </cell>
        </row>
        <row r="7">
          <cell r="D7">
            <v>78</v>
          </cell>
          <cell r="G7">
            <v>1000</v>
          </cell>
          <cell r="H7">
            <v>38</v>
          </cell>
          <cell r="J7">
            <v>4998</v>
          </cell>
          <cell r="K7">
            <v>3</v>
          </cell>
          <cell r="L7">
            <v>5000</v>
          </cell>
        </row>
        <row r="8">
          <cell r="D8">
            <v>146</v>
          </cell>
          <cell r="G8">
            <v>1000</v>
          </cell>
          <cell r="H8">
            <v>70</v>
          </cell>
          <cell r="J8">
            <v>4998</v>
          </cell>
          <cell r="K8">
            <v>6</v>
          </cell>
          <cell r="L8">
            <v>5000</v>
          </cell>
        </row>
        <row r="9">
          <cell r="D9">
            <v>234</v>
          </cell>
          <cell r="G9">
            <v>1000</v>
          </cell>
          <cell r="H9">
            <v>92</v>
          </cell>
          <cell r="J9">
            <v>4996</v>
          </cell>
          <cell r="K9">
            <v>25</v>
          </cell>
          <cell r="L9">
            <v>5000</v>
          </cell>
        </row>
        <row r="10">
          <cell r="D10">
            <v>389</v>
          </cell>
          <cell r="G10">
            <v>1000</v>
          </cell>
          <cell r="H10">
            <v>158</v>
          </cell>
          <cell r="J10">
            <v>4998</v>
          </cell>
          <cell r="K10">
            <v>38</v>
          </cell>
          <cell r="L10">
            <v>5000</v>
          </cell>
        </row>
        <row r="11">
          <cell r="D11">
            <v>581</v>
          </cell>
          <cell r="G11">
            <v>1000</v>
          </cell>
          <cell r="H11">
            <v>198</v>
          </cell>
          <cell r="J11">
            <v>5000</v>
          </cell>
          <cell r="K11">
            <v>70</v>
          </cell>
          <cell r="L11">
            <v>5000</v>
          </cell>
        </row>
        <row r="12">
          <cell r="D12">
            <v>739</v>
          </cell>
          <cell r="G12">
            <v>1000</v>
          </cell>
          <cell r="H12">
            <v>183</v>
          </cell>
          <cell r="J12">
            <v>4998</v>
          </cell>
          <cell r="K12">
            <v>92</v>
          </cell>
          <cell r="L12">
            <v>5000</v>
          </cell>
        </row>
        <row r="13">
          <cell r="D13">
            <v>814</v>
          </cell>
          <cell r="G13">
            <v>1000</v>
          </cell>
          <cell r="H13">
            <v>113</v>
          </cell>
          <cell r="J13">
            <v>4998</v>
          </cell>
          <cell r="K13">
            <v>158</v>
          </cell>
          <cell r="L13">
            <v>5000</v>
          </cell>
        </row>
        <row r="14">
          <cell r="D14">
            <v>805</v>
          </cell>
          <cell r="G14">
            <v>1000</v>
          </cell>
          <cell r="H14">
            <v>61</v>
          </cell>
          <cell r="J14">
            <v>5000</v>
          </cell>
          <cell r="K14">
            <v>198</v>
          </cell>
          <cell r="L14">
            <v>5000</v>
          </cell>
        </row>
        <row r="15">
          <cell r="D15">
            <v>741</v>
          </cell>
          <cell r="G15">
            <v>1000</v>
          </cell>
          <cell r="H15">
            <v>28</v>
          </cell>
          <cell r="J15">
            <v>5000</v>
          </cell>
          <cell r="K15">
            <v>183</v>
          </cell>
          <cell r="L15">
            <v>5000</v>
          </cell>
        </row>
        <row r="16">
          <cell r="D16">
            <v>595</v>
          </cell>
          <cell r="G16">
            <v>1000</v>
          </cell>
          <cell r="H16">
            <v>12</v>
          </cell>
          <cell r="J16">
            <v>5000</v>
          </cell>
          <cell r="K16">
            <v>113</v>
          </cell>
          <cell r="L16">
            <v>5000</v>
          </cell>
        </row>
        <row r="17">
          <cell r="D17">
            <v>400</v>
          </cell>
          <cell r="G17">
            <v>1000</v>
          </cell>
          <cell r="H17">
            <v>3</v>
          </cell>
          <cell r="J17">
            <v>5000</v>
          </cell>
          <cell r="K17">
            <v>61</v>
          </cell>
          <cell r="L17">
            <v>5000</v>
          </cell>
        </row>
        <row r="18">
          <cell r="D18">
            <v>218</v>
          </cell>
          <cell r="G18">
            <v>1000</v>
          </cell>
          <cell r="H18">
            <v>1</v>
          </cell>
          <cell r="J18">
            <v>5000</v>
          </cell>
          <cell r="K18">
            <v>28</v>
          </cell>
          <cell r="L18">
            <v>5000</v>
          </cell>
        </row>
        <row r="19">
          <cell r="D19">
            <v>105</v>
          </cell>
          <cell r="G19">
            <v>1000</v>
          </cell>
          <cell r="H19">
            <v>0</v>
          </cell>
          <cell r="J19">
            <v>4998</v>
          </cell>
          <cell r="K19">
            <v>12</v>
          </cell>
          <cell r="L19">
            <v>5000</v>
          </cell>
        </row>
        <row r="20">
          <cell r="D20">
            <v>44</v>
          </cell>
          <cell r="G20">
            <v>1000</v>
          </cell>
          <cell r="H20">
            <v>0</v>
          </cell>
          <cell r="J20">
            <v>5000</v>
          </cell>
          <cell r="K20">
            <v>3</v>
          </cell>
          <cell r="L20">
            <v>5000</v>
          </cell>
        </row>
        <row r="21">
          <cell r="D21">
            <v>16</v>
          </cell>
          <cell r="G21">
            <v>1000</v>
          </cell>
          <cell r="H21">
            <v>0</v>
          </cell>
          <cell r="J21">
            <v>4998</v>
          </cell>
          <cell r="K21">
            <v>1</v>
          </cell>
          <cell r="L21">
            <v>5000</v>
          </cell>
        </row>
        <row r="22">
          <cell r="D22">
            <v>4</v>
          </cell>
          <cell r="G22">
            <v>1000</v>
          </cell>
          <cell r="H22">
            <v>0</v>
          </cell>
          <cell r="J22">
            <v>4998</v>
          </cell>
          <cell r="K22">
            <v>0</v>
          </cell>
          <cell r="L22">
            <v>5000</v>
          </cell>
        </row>
        <row r="23">
          <cell r="D23">
            <v>1</v>
          </cell>
          <cell r="G23">
            <v>1000</v>
          </cell>
          <cell r="H23">
            <v>0</v>
          </cell>
          <cell r="J23">
            <v>5000</v>
          </cell>
          <cell r="K23">
            <v>0</v>
          </cell>
          <cell r="L23">
            <v>5000</v>
          </cell>
        </row>
        <row r="24">
          <cell r="D24">
            <v>0</v>
          </cell>
          <cell r="G24">
            <v>1000</v>
          </cell>
          <cell r="H24">
            <v>0</v>
          </cell>
          <cell r="J24">
            <v>4996</v>
          </cell>
          <cell r="K24">
            <v>0</v>
          </cell>
          <cell r="L24">
            <v>5000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MitchellAPI_no_fb-data"/>
    </sheetNames>
    <sheetDataSet>
      <sheetData sheetId="0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4</v>
          </cell>
          <cell r="G3">
            <v>1000</v>
          </cell>
          <cell r="H3">
            <v>2</v>
          </cell>
          <cell r="J3">
            <v>5000</v>
          </cell>
          <cell r="K3">
            <v>0</v>
          </cell>
          <cell r="L3">
            <v>5000</v>
          </cell>
        </row>
        <row r="4">
          <cell r="D4">
            <v>8</v>
          </cell>
          <cell r="G4">
            <v>1000</v>
          </cell>
          <cell r="H4">
            <v>4</v>
          </cell>
          <cell r="J4">
            <v>4998</v>
          </cell>
          <cell r="K4">
            <v>0</v>
          </cell>
          <cell r="L4">
            <v>5000</v>
          </cell>
        </row>
        <row r="5">
          <cell r="D5">
            <v>15</v>
          </cell>
          <cell r="G5">
            <v>1000</v>
          </cell>
          <cell r="H5">
            <v>7</v>
          </cell>
          <cell r="J5">
            <v>5000</v>
          </cell>
          <cell r="K5">
            <v>2</v>
          </cell>
          <cell r="L5">
            <v>5000</v>
          </cell>
        </row>
        <row r="6">
          <cell r="D6">
            <v>24</v>
          </cell>
          <cell r="G6">
            <v>1000</v>
          </cell>
          <cell r="H6">
            <v>9</v>
          </cell>
          <cell r="J6">
            <v>5000</v>
          </cell>
          <cell r="K6">
            <v>2</v>
          </cell>
          <cell r="L6">
            <v>5000</v>
          </cell>
        </row>
        <row r="7">
          <cell r="D7">
            <v>58</v>
          </cell>
          <cell r="G7">
            <v>1000</v>
          </cell>
          <cell r="H7">
            <v>34</v>
          </cell>
          <cell r="J7">
            <v>5000</v>
          </cell>
          <cell r="K7">
            <v>4</v>
          </cell>
          <cell r="L7">
            <v>5000</v>
          </cell>
        </row>
        <row r="8">
          <cell r="D8">
            <v>121</v>
          </cell>
          <cell r="G8">
            <v>1000</v>
          </cell>
          <cell r="H8">
            <v>65</v>
          </cell>
          <cell r="J8">
            <v>5000</v>
          </cell>
          <cell r="K8">
            <v>7</v>
          </cell>
          <cell r="L8">
            <v>5000</v>
          </cell>
        </row>
        <row r="9">
          <cell r="D9">
            <v>212</v>
          </cell>
          <cell r="G9">
            <v>1000</v>
          </cell>
          <cell r="H9">
            <v>93</v>
          </cell>
          <cell r="J9">
            <v>5000</v>
          </cell>
          <cell r="K9">
            <v>9</v>
          </cell>
          <cell r="L9">
            <v>5000</v>
          </cell>
        </row>
        <row r="10">
          <cell r="D10">
            <v>372</v>
          </cell>
          <cell r="G10">
            <v>1000</v>
          </cell>
          <cell r="H10">
            <v>164</v>
          </cell>
          <cell r="J10">
            <v>5000</v>
          </cell>
          <cell r="K10">
            <v>34</v>
          </cell>
          <cell r="L10">
            <v>5000</v>
          </cell>
        </row>
        <row r="11">
          <cell r="D11">
            <v>555</v>
          </cell>
          <cell r="G11">
            <v>1000</v>
          </cell>
          <cell r="H11">
            <v>190</v>
          </cell>
          <cell r="J11">
            <v>4998</v>
          </cell>
          <cell r="K11">
            <v>65</v>
          </cell>
          <cell r="L11">
            <v>5000</v>
          </cell>
        </row>
        <row r="12">
          <cell r="D12">
            <v>732</v>
          </cell>
          <cell r="G12">
            <v>1000</v>
          </cell>
          <cell r="H12">
            <v>186</v>
          </cell>
          <cell r="J12">
            <v>5000</v>
          </cell>
          <cell r="K12">
            <v>93</v>
          </cell>
          <cell r="L12">
            <v>5000</v>
          </cell>
        </row>
        <row r="13">
          <cell r="D13">
            <v>829</v>
          </cell>
          <cell r="G13">
            <v>1000</v>
          </cell>
          <cell r="H13">
            <v>131</v>
          </cell>
          <cell r="J13">
            <v>4996</v>
          </cell>
          <cell r="K13">
            <v>164</v>
          </cell>
          <cell r="L13">
            <v>5000</v>
          </cell>
        </row>
        <row r="14">
          <cell r="D14">
            <v>833</v>
          </cell>
          <cell r="G14">
            <v>1000</v>
          </cell>
          <cell r="H14">
            <v>69</v>
          </cell>
          <cell r="J14">
            <v>4998</v>
          </cell>
          <cell r="K14">
            <v>190</v>
          </cell>
          <cell r="L14">
            <v>5000</v>
          </cell>
        </row>
        <row r="15">
          <cell r="D15">
            <v>764</v>
          </cell>
          <cell r="G15">
            <v>1000</v>
          </cell>
          <cell r="H15">
            <v>24</v>
          </cell>
          <cell r="J15">
            <v>4996</v>
          </cell>
          <cell r="K15">
            <v>186</v>
          </cell>
          <cell r="L15">
            <v>5000</v>
          </cell>
        </row>
        <row r="16">
          <cell r="D16">
            <v>611</v>
          </cell>
          <cell r="G16">
            <v>1000</v>
          </cell>
          <cell r="H16">
            <v>11</v>
          </cell>
          <cell r="J16">
            <v>5000</v>
          </cell>
          <cell r="K16">
            <v>131</v>
          </cell>
          <cell r="L16">
            <v>5000</v>
          </cell>
        </row>
        <row r="17">
          <cell r="D17">
            <v>425</v>
          </cell>
          <cell r="G17">
            <v>1000</v>
          </cell>
          <cell r="H17">
            <v>4</v>
          </cell>
          <cell r="J17">
            <v>4998</v>
          </cell>
          <cell r="K17">
            <v>69</v>
          </cell>
          <cell r="L17">
            <v>5000</v>
          </cell>
        </row>
        <row r="18">
          <cell r="D18">
            <v>240</v>
          </cell>
          <cell r="G18">
            <v>1000</v>
          </cell>
          <cell r="H18">
            <v>1</v>
          </cell>
          <cell r="J18">
            <v>5000</v>
          </cell>
          <cell r="K18">
            <v>24</v>
          </cell>
          <cell r="L18">
            <v>5000</v>
          </cell>
        </row>
        <row r="19">
          <cell r="D19">
            <v>109</v>
          </cell>
          <cell r="G19">
            <v>1000</v>
          </cell>
          <cell r="H19">
            <v>0</v>
          </cell>
          <cell r="J19">
            <v>4996</v>
          </cell>
          <cell r="K19">
            <v>11</v>
          </cell>
          <cell r="L19">
            <v>5000</v>
          </cell>
        </row>
        <row r="20">
          <cell r="D20">
            <v>41</v>
          </cell>
          <cell r="G20">
            <v>1000</v>
          </cell>
          <cell r="H20">
            <v>1</v>
          </cell>
          <cell r="J20">
            <v>5000</v>
          </cell>
          <cell r="K20">
            <v>4</v>
          </cell>
          <cell r="L20">
            <v>5000</v>
          </cell>
        </row>
        <row r="21">
          <cell r="D21">
            <v>17</v>
          </cell>
          <cell r="G21">
            <v>1000</v>
          </cell>
          <cell r="H21">
            <v>0</v>
          </cell>
          <cell r="J21">
            <v>5000</v>
          </cell>
          <cell r="K21">
            <v>1</v>
          </cell>
          <cell r="L21">
            <v>5000</v>
          </cell>
        </row>
        <row r="22">
          <cell r="D22">
            <v>6</v>
          </cell>
          <cell r="G22">
            <v>1000</v>
          </cell>
          <cell r="H22">
            <v>0</v>
          </cell>
          <cell r="J22">
            <v>4996</v>
          </cell>
          <cell r="K22">
            <v>0</v>
          </cell>
          <cell r="L22">
            <v>5000</v>
          </cell>
        </row>
        <row r="23">
          <cell r="D23">
            <v>2</v>
          </cell>
          <cell r="G23">
            <v>1000</v>
          </cell>
          <cell r="H23">
            <v>0</v>
          </cell>
          <cell r="J23">
            <v>4998</v>
          </cell>
          <cell r="K23">
            <v>1</v>
          </cell>
          <cell r="L23">
            <v>5000</v>
          </cell>
        </row>
        <row r="24">
          <cell r="D24">
            <v>1</v>
          </cell>
          <cell r="G24">
            <v>1000</v>
          </cell>
          <cell r="H24">
            <v>0</v>
          </cell>
          <cell r="J24">
            <v>4998</v>
          </cell>
          <cell r="K24">
            <v>0</v>
          </cell>
          <cell r="L24">
            <v>5000</v>
          </cell>
        </row>
        <row r="25">
          <cell r="D25">
            <v>1</v>
          </cell>
          <cell r="G25">
            <v>1000</v>
          </cell>
          <cell r="H25">
            <v>0</v>
          </cell>
          <cell r="J25">
            <v>4998</v>
          </cell>
          <cell r="K25">
            <v>0</v>
          </cell>
          <cell r="L25">
            <v>5000</v>
          </cell>
        </row>
        <row r="26">
          <cell r="D26">
            <v>0</v>
          </cell>
          <cell r="G26">
            <v>1000</v>
          </cell>
          <cell r="H26">
            <v>0</v>
          </cell>
          <cell r="J26">
            <v>4998</v>
          </cell>
          <cell r="K26">
            <v>0</v>
          </cell>
          <cell r="L26">
            <v>5000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NavidAPI_no_fb-data"/>
    </sheetNames>
    <sheetDataSet>
      <sheetData sheetId="0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4</v>
          </cell>
          <cell r="G3">
            <v>999</v>
          </cell>
          <cell r="H3">
            <v>2</v>
          </cell>
          <cell r="J3">
            <v>4990</v>
          </cell>
          <cell r="K3">
            <v>0</v>
          </cell>
          <cell r="L3">
            <v>5000</v>
          </cell>
        </row>
        <row r="4">
          <cell r="D4">
            <v>7</v>
          </cell>
          <cell r="G4">
            <v>999</v>
          </cell>
          <cell r="H4">
            <v>3</v>
          </cell>
          <cell r="J4">
            <v>4986</v>
          </cell>
          <cell r="K4">
            <v>0</v>
          </cell>
          <cell r="L4">
            <v>5000</v>
          </cell>
        </row>
        <row r="5">
          <cell r="D5">
            <v>12</v>
          </cell>
          <cell r="G5">
            <v>999</v>
          </cell>
          <cell r="H5">
            <v>5</v>
          </cell>
          <cell r="J5">
            <v>4990</v>
          </cell>
          <cell r="K5">
            <v>2</v>
          </cell>
          <cell r="L5">
            <v>5000</v>
          </cell>
        </row>
        <row r="6">
          <cell r="D6">
            <v>21</v>
          </cell>
          <cell r="G6">
            <v>999</v>
          </cell>
          <cell r="H6">
            <v>9</v>
          </cell>
          <cell r="J6">
            <v>4992</v>
          </cell>
          <cell r="K6">
            <v>2</v>
          </cell>
          <cell r="L6">
            <v>5000</v>
          </cell>
        </row>
        <row r="7">
          <cell r="D7">
            <v>43</v>
          </cell>
          <cell r="G7">
            <v>999</v>
          </cell>
          <cell r="H7">
            <v>22</v>
          </cell>
          <cell r="J7">
            <v>4986</v>
          </cell>
          <cell r="K7">
            <v>3</v>
          </cell>
          <cell r="L7">
            <v>5000</v>
          </cell>
        </row>
        <row r="8">
          <cell r="D8">
            <v>73</v>
          </cell>
          <cell r="G8">
            <v>999</v>
          </cell>
          <cell r="H8">
            <v>32</v>
          </cell>
          <cell r="J8">
            <v>4988</v>
          </cell>
          <cell r="K8">
            <v>5</v>
          </cell>
          <cell r="L8">
            <v>5000</v>
          </cell>
        </row>
        <row r="9">
          <cell r="D9">
            <v>133</v>
          </cell>
          <cell r="G9">
            <v>999</v>
          </cell>
          <cell r="H9">
            <v>62</v>
          </cell>
          <cell r="J9">
            <v>4990</v>
          </cell>
          <cell r="K9">
            <v>9</v>
          </cell>
          <cell r="L9">
            <v>5000</v>
          </cell>
        </row>
        <row r="10">
          <cell r="D10">
            <v>231</v>
          </cell>
          <cell r="G10">
            <v>999</v>
          </cell>
          <cell r="H10">
            <v>101</v>
          </cell>
          <cell r="J10">
            <v>4984</v>
          </cell>
          <cell r="K10">
            <v>22</v>
          </cell>
          <cell r="L10">
            <v>5000</v>
          </cell>
        </row>
        <row r="11">
          <cell r="D11">
            <v>390</v>
          </cell>
          <cell r="G11">
            <v>999</v>
          </cell>
          <cell r="H11">
            <v>164</v>
          </cell>
          <cell r="J11">
            <v>4992</v>
          </cell>
          <cell r="K11">
            <v>32</v>
          </cell>
          <cell r="L11">
            <v>5000</v>
          </cell>
        </row>
        <row r="12">
          <cell r="D12">
            <v>565</v>
          </cell>
          <cell r="G12">
            <v>999</v>
          </cell>
          <cell r="H12">
            <v>184</v>
          </cell>
          <cell r="J12">
            <v>4988</v>
          </cell>
          <cell r="K12">
            <v>62</v>
          </cell>
          <cell r="L12">
            <v>5000</v>
          </cell>
        </row>
        <row r="13">
          <cell r="D13">
            <v>716</v>
          </cell>
          <cell r="G13">
            <v>999</v>
          </cell>
          <cell r="H13">
            <v>173</v>
          </cell>
          <cell r="J13">
            <v>4992</v>
          </cell>
          <cell r="K13">
            <v>101</v>
          </cell>
          <cell r="L13">
            <v>5000</v>
          </cell>
        </row>
        <row r="14">
          <cell r="D14">
            <v>804</v>
          </cell>
          <cell r="G14">
            <v>999</v>
          </cell>
          <cell r="H14">
            <v>120</v>
          </cell>
          <cell r="J14">
            <v>4990</v>
          </cell>
          <cell r="K14">
            <v>164</v>
          </cell>
          <cell r="L14">
            <v>5000</v>
          </cell>
        </row>
        <row r="15">
          <cell r="D15">
            <v>811</v>
          </cell>
          <cell r="G15">
            <v>999</v>
          </cell>
          <cell r="H15">
            <v>69</v>
          </cell>
          <cell r="J15">
            <v>4988</v>
          </cell>
          <cell r="K15">
            <v>184</v>
          </cell>
          <cell r="L15">
            <v>5000</v>
          </cell>
        </row>
        <row r="16">
          <cell r="D16">
            <v>742</v>
          </cell>
          <cell r="G16">
            <v>999</v>
          </cell>
          <cell r="H16">
            <v>32</v>
          </cell>
          <cell r="J16">
            <v>4986</v>
          </cell>
          <cell r="K16">
            <v>173</v>
          </cell>
          <cell r="L16">
            <v>5000</v>
          </cell>
        </row>
        <row r="17">
          <cell r="D17">
            <v>585</v>
          </cell>
          <cell r="G17">
            <v>999</v>
          </cell>
          <cell r="H17">
            <v>7</v>
          </cell>
          <cell r="J17">
            <v>4990</v>
          </cell>
          <cell r="K17">
            <v>120</v>
          </cell>
          <cell r="L17">
            <v>5000</v>
          </cell>
        </row>
        <row r="18">
          <cell r="D18">
            <v>408</v>
          </cell>
          <cell r="G18">
            <v>999</v>
          </cell>
          <cell r="H18">
            <v>7</v>
          </cell>
          <cell r="J18">
            <v>4986</v>
          </cell>
          <cell r="K18">
            <v>69</v>
          </cell>
          <cell r="L18">
            <v>5000</v>
          </cell>
        </row>
        <row r="19">
          <cell r="D19">
            <v>237</v>
          </cell>
          <cell r="G19">
            <v>999</v>
          </cell>
          <cell r="H19">
            <v>2</v>
          </cell>
          <cell r="J19">
            <v>4988</v>
          </cell>
          <cell r="K19">
            <v>32</v>
          </cell>
          <cell r="L19">
            <v>5000</v>
          </cell>
        </row>
        <row r="20">
          <cell r="D20">
            <v>117</v>
          </cell>
          <cell r="G20">
            <v>999</v>
          </cell>
          <cell r="H20">
            <v>0</v>
          </cell>
          <cell r="J20">
            <v>4986</v>
          </cell>
          <cell r="K20">
            <v>7</v>
          </cell>
          <cell r="L20">
            <v>5000</v>
          </cell>
        </row>
        <row r="21">
          <cell r="D21">
            <v>50</v>
          </cell>
          <cell r="G21">
            <v>999</v>
          </cell>
          <cell r="H21">
            <v>2</v>
          </cell>
          <cell r="J21">
            <v>4986</v>
          </cell>
          <cell r="K21">
            <v>7</v>
          </cell>
          <cell r="L21">
            <v>5000</v>
          </cell>
        </row>
        <row r="22">
          <cell r="D22">
            <v>18</v>
          </cell>
          <cell r="G22">
            <v>999</v>
          </cell>
          <cell r="H22">
            <v>0</v>
          </cell>
          <cell r="J22">
            <v>4990</v>
          </cell>
          <cell r="K22">
            <v>2</v>
          </cell>
          <cell r="L22">
            <v>5000</v>
          </cell>
        </row>
        <row r="23">
          <cell r="D23">
            <v>11</v>
          </cell>
          <cell r="G23">
            <v>999</v>
          </cell>
          <cell r="H23">
            <v>0</v>
          </cell>
          <cell r="J23">
            <v>4990</v>
          </cell>
          <cell r="K23">
            <v>0</v>
          </cell>
          <cell r="L23">
            <v>5000</v>
          </cell>
        </row>
        <row r="24">
          <cell r="D24">
            <v>4</v>
          </cell>
          <cell r="G24">
            <v>999</v>
          </cell>
          <cell r="H24">
            <v>0</v>
          </cell>
          <cell r="J24">
            <v>4988</v>
          </cell>
          <cell r="K24">
            <v>2</v>
          </cell>
          <cell r="L24">
            <v>5000</v>
          </cell>
        </row>
        <row r="25">
          <cell r="D25">
            <v>2</v>
          </cell>
          <cell r="G25">
            <v>999</v>
          </cell>
          <cell r="H25">
            <v>0</v>
          </cell>
          <cell r="J25">
            <v>4986</v>
          </cell>
          <cell r="K25">
            <v>0</v>
          </cell>
          <cell r="L25">
            <v>5000</v>
          </cell>
        </row>
        <row r="26">
          <cell r="D26">
            <v>2</v>
          </cell>
          <cell r="G26">
            <v>999</v>
          </cell>
          <cell r="H26">
            <v>0</v>
          </cell>
          <cell r="J26">
            <v>4990</v>
          </cell>
          <cell r="K26">
            <v>0</v>
          </cell>
          <cell r="L26">
            <v>5000</v>
          </cell>
        </row>
        <row r="27">
          <cell r="D27">
            <v>0</v>
          </cell>
          <cell r="G27">
            <v>999</v>
          </cell>
          <cell r="H27">
            <v>0</v>
          </cell>
          <cell r="J27">
            <v>4988</v>
          </cell>
          <cell r="K27">
            <v>0</v>
          </cell>
          <cell r="L27">
            <v>5000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RandiAPI_no_fb_runtwo-"/>
    </sheetNames>
    <sheetDataSet>
      <sheetData sheetId="0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2</v>
          </cell>
          <cell r="G3">
            <v>999</v>
          </cell>
          <cell r="H3">
            <v>0</v>
          </cell>
          <cell r="J3">
            <v>4990</v>
          </cell>
          <cell r="K3">
            <v>0</v>
          </cell>
          <cell r="L3">
            <v>5000</v>
          </cell>
        </row>
        <row r="4">
          <cell r="D4">
            <v>6</v>
          </cell>
          <cell r="G4">
            <v>999</v>
          </cell>
          <cell r="H4">
            <v>4</v>
          </cell>
          <cell r="J4">
            <v>4992</v>
          </cell>
          <cell r="K4">
            <v>0</v>
          </cell>
          <cell r="L4">
            <v>5000</v>
          </cell>
        </row>
        <row r="5">
          <cell r="D5">
            <v>13</v>
          </cell>
          <cell r="G5">
            <v>999</v>
          </cell>
          <cell r="H5">
            <v>7</v>
          </cell>
          <cell r="J5">
            <v>4988</v>
          </cell>
          <cell r="K5">
            <v>2</v>
          </cell>
          <cell r="L5">
            <v>5000</v>
          </cell>
        </row>
        <row r="6">
          <cell r="D6">
            <v>26</v>
          </cell>
          <cell r="G6">
            <v>999</v>
          </cell>
          <cell r="H6">
            <v>13</v>
          </cell>
          <cell r="J6">
            <v>4986</v>
          </cell>
          <cell r="K6">
            <v>0</v>
          </cell>
          <cell r="L6">
            <v>5000</v>
          </cell>
        </row>
        <row r="7">
          <cell r="D7">
            <v>42</v>
          </cell>
          <cell r="G7">
            <v>999</v>
          </cell>
          <cell r="H7">
            <v>16</v>
          </cell>
          <cell r="J7">
            <v>4990</v>
          </cell>
          <cell r="K7">
            <v>4</v>
          </cell>
          <cell r="L7">
            <v>5000</v>
          </cell>
        </row>
        <row r="8">
          <cell r="D8">
            <v>84</v>
          </cell>
          <cell r="G8">
            <v>999</v>
          </cell>
          <cell r="H8">
            <v>44</v>
          </cell>
          <cell r="J8">
            <v>4986</v>
          </cell>
          <cell r="K8">
            <v>7</v>
          </cell>
          <cell r="L8">
            <v>5000</v>
          </cell>
        </row>
        <row r="9">
          <cell r="D9">
            <v>146</v>
          </cell>
          <cell r="G9">
            <v>999</v>
          </cell>
          <cell r="H9">
            <v>62</v>
          </cell>
          <cell r="J9">
            <v>4990</v>
          </cell>
          <cell r="K9">
            <v>13</v>
          </cell>
          <cell r="L9">
            <v>5000</v>
          </cell>
        </row>
        <row r="10">
          <cell r="D10">
            <v>265</v>
          </cell>
          <cell r="G10">
            <v>999</v>
          </cell>
          <cell r="H10">
            <v>123</v>
          </cell>
          <cell r="J10">
            <v>4990</v>
          </cell>
          <cell r="K10">
            <v>16</v>
          </cell>
          <cell r="L10">
            <v>5000</v>
          </cell>
        </row>
        <row r="11">
          <cell r="D11">
            <v>434</v>
          </cell>
          <cell r="G11">
            <v>999</v>
          </cell>
          <cell r="H11">
            <v>176</v>
          </cell>
          <cell r="J11">
            <v>4984</v>
          </cell>
          <cell r="K11">
            <v>44</v>
          </cell>
          <cell r="L11">
            <v>5000</v>
          </cell>
        </row>
        <row r="12">
          <cell r="D12">
            <v>599</v>
          </cell>
          <cell r="G12">
            <v>999</v>
          </cell>
          <cell r="H12">
            <v>178</v>
          </cell>
          <cell r="J12">
            <v>4988</v>
          </cell>
          <cell r="K12">
            <v>62</v>
          </cell>
          <cell r="L12">
            <v>5000</v>
          </cell>
        </row>
        <row r="13">
          <cell r="D13">
            <v>748</v>
          </cell>
          <cell r="G13">
            <v>999</v>
          </cell>
          <cell r="H13">
            <v>165</v>
          </cell>
          <cell r="J13">
            <v>4988</v>
          </cell>
          <cell r="K13">
            <v>123</v>
          </cell>
          <cell r="L13">
            <v>5000</v>
          </cell>
        </row>
        <row r="14">
          <cell r="D14">
            <v>801</v>
          </cell>
          <cell r="G14">
            <v>999</v>
          </cell>
          <cell r="H14">
            <v>97</v>
          </cell>
          <cell r="J14">
            <v>4986</v>
          </cell>
          <cell r="K14">
            <v>176</v>
          </cell>
          <cell r="L14">
            <v>5000</v>
          </cell>
        </row>
        <row r="15">
          <cell r="D15">
            <v>812</v>
          </cell>
          <cell r="G15">
            <v>999</v>
          </cell>
          <cell r="H15">
            <v>73</v>
          </cell>
          <cell r="J15">
            <v>4990</v>
          </cell>
          <cell r="K15">
            <v>178</v>
          </cell>
          <cell r="L15">
            <v>5000</v>
          </cell>
        </row>
        <row r="16">
          <cell r="D16">
            <v>706</v>
          </cell>
          <cell r="G16">
            <v>999</v>
          </cell>
          <cell r="H16">
            <v>17</v>
          </cell>
          <cell r="J16">
            <v>4990</v>
          </cell>
          <cell r="K16">
            <v>165</v>
          </cell>
          <cell r="L16">
            <v>5000</v>
          </cell>
        </row>
        <row r="17">
          <cell r="D17">
            <v>542</v>
          </cell>
          <cell r="G17">
            <v>999</v>
          </cell>
          <cell r="H17">
            <v>12</v>
          </cell>
          <cell r="J17">
            <v>4984</v>
          </cell>
          <cell r="K17">
            <v>97</v>
          </cell>
          <cell r="L17">
            <v>5000</v>
          </cell>
        </row>
        <row r="18">
          <cell r="D18">
            <v>367</v>
          </cell>
          <cell r="G18">
            <v>999</v>
          </cell>
          <cell r="H18">
            <v>3</v>
          </cell>
          <cell r="J18">
            <v>4988</v>
          </cell>
          <cell r="K18">
            <v>73</v>
          </cell>
          <cell r="L18">
            <v>5000</v>
          </cell>
        </row>
        <row r="19">
          <cell r="D19">
            <v>203</v>
          </cell>
          <cell r="G19">
            <v>999</v>
          </cell>
          <cell r="H19">
            <v>1</v>
          </cell>
          <cell r="J19">
            <v>4990</v>
          </cell>
          <cell r="K19">
            <v>17</v>
          </cell>
          <cell r="L19">
            <v>5000</v>
          </cell>
        </row>
        <row r="20">
          <cell r="D20">
            <v>106</v>
          </cell>
          <cell r="G20">
            <v>999</v>
          </cell>
          <cell r="H20">
            <v>0</v>
          </cell>
          <cell r="J20">
            <v>4988</v>
          </cell>
          <cell r="K20">
            <v>12</v>
          </cell>
          <cell r="L20">
            <v>5000</v>
          </cell>
        </row>
        <row r="21">
          <cell r="D21">
            <v>33</v>
          </cell>
          <cell r="G21">
            <v>999</v>
          </cell>
          <cell r="H21">
            <v>0</v>
          </cell>
          <cell r="J21">
            <v>4990</v>
          </cell>
          <cell r="K21">
            <v>3</v>
          </cell>
          <cell r="L21">
            <v>5000</v>
          </cell>
        </row>
        <row r="22">
          <cell r="D22">
            <v>16</v>
          </cell>
          <cell r="G22">
            <v>998</v>
          </cell>
          <cell r="H22">
            <v>0</v>
          </cell>
          <cell r="J22">
            <v>4978</v>
          </cell>
          <cell r="K22">
            <v>1</v>
          </cell>
          <cell r="L22">
            <v>5000</v>
          </cell>
        </row>
        <row r="23">
          <cell r="D23">
            <v>4</v>
          </cell>
          <cell r="G23">
            <v>999</v>
          </cell>
          <cell r="H23">
            <v>0</v>
          </cell>
          <cell r="J23">
            <v>4986</v>
          </cell>
          <cell r="K23">
            <v>0</v>
          </cell>
          <cell r="L23">
            <v>5000</v>
          </cell>
        </row>
        <row r="24">
          <cell r="D24">
            <v>1</v>
          </cell>
          <cell r="G24">
            <v>999</v>
          </cell>
          <cell r="H24">
            <v>0</v>
          </cell>
          <cell r="J24">
            <v>4990</v>
          </cell>
          <cell r="K24">
            <v>0</v>
          </cell>
          <cell r="L24">
            <v>5000</v>
          </cell>
        </row>
        <row r="25">
          <cell r="D25">
            <v>0</v>
          </cell>
          <cell r="G25">
            <v>999</v>
          </cell>
          <cell r="H25">
            <v>0</v>
          </cell>
          <cell r="J25">
            <v>4990</v>
          </cell>
          <cell r="K25">
            <v>0</v>
          </cell>
          <cell r="L25">
            <v>5000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SudipaAPI_no_fb-data"/>
    </sheetNames>
    <sheetDataSet>
      <sheetData sheetId="0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4</v>
          </cell>
          <cell r="G3">
            <v>999</v>
          </cell>
          <cell r="H3">
            <v>2</v>
          </cell>
          <cell r="J3">
            <v>4986</v>
          </cell>
          <cell r="K3">
            <v>0</v>
          </cell>
          <cell r="L3">
            <v>5000</v>
          </cell>
        </row>
        <row r="4">
          <cell r="D4">
            <v>7</v>
          </cell>
          <cell r="G4">
            <v>999</v>
          </cell>
          <cell r="H4">
            <v>3</v>
          </cell>
          <cell r="J4">
            <v>4986</v>
          </cell>
          <cell r="K4">
            <v>0</v>
          </cell>
          <cell r="L4">
            <v>5000</v>
          </cell>
        </row>
        <row r="5">
          <cell r="D5">
            <v>15</v>
          </cell>
          <cell r="G5">
            <v>999</v>
          </cell>
          <cell r="H5">
            <v>8</v>
          </cell>
          <cell r="J5">
            <v>4988</v>
          </cell>
          <cell r="K5">
            <v>2</v>
          </cell>
          <cell r="L5">
            <v>5000</v>
          </cell>
        </row>
        <row r="6">
          <cell r="D6">
            <v>33</v>
          </cell>
          <cell r="G6">
            <v>999</v>
          </cell>
          <cell r="H6">
            <v>18</v>
          </cell>
          <cell r="J6">
            <v>4990</v>
          </cell>
          <cell r="K6">
            <v>2</v>
          </cell>
          <cell r="L6">
            <v>5000</v>
          </cell>
        </row>
        <row r="7">
          <cell r="D7">
            <v>60</v>
          </cell>
          <cell r="G7">
            <v>999</v>
          </cell>
          <cell r="H7">
            <v>27</v>
          </cell>
          <cell r="J7">
            <v>4990</v>
          </cell>
          <cell r="K7">
            <v>3</v>
          </cell>
          <cell r="L7">
            <v>5000</v>
          </cell>
        </row>
        <row r="8">
          <cell r="D8">
            <v>121</v>
          </cell>
          <cell r="G8">
            <v>999</v>
          </cell>
          <cell r="H8">
            <v>63</v>
          </cell>
          <cell r="J8">
            <v>4990</v>
          </cell>
          <cell r="K8">
            <v>8</v>
          </cell>
          <cell r="L8">
            <v>5000</v>
          </cell>
        </row>
        <row r="9">
          <cell r="D9">
            <v>210</v>
          </cell>
          <cell r="G9">
            <v>999</v>
          </cell>
          <cell r="H9">
            <v>91</v>
          </cell>
          <cell r="J9">
            <v>4990</v>
          </cell>
          <cell r="K9">
            <v>18</v>
          </cell>
          <cell r="L9">
            <v>5000</v>
          </cell>
        </row>
        <row r="10">
          <cell r="D10">
            <v>363</v>
          </cell>
          <cell r="G10">
            <v>999</v>
          </cell>
          <cell r="H10">
            <v>156</v>
          </cell>
          <cell r="J10">
            <v>4986</v>
          </cell>
          <cell r="K10">
            <v>27</v>
          </cell>
          <cell r="L10">
            <v>5000</v>
          </cell>
        </row>
        <row r="11">
          <cell r="D11">
            <v>531</v>
          </cell>
          <cell r="G11">
            <v>999</v>
          </cell>
          <cell r="H11">
            <v>176</v>
          </cell>
          <cell r="J11">
            <v>4990</v>
          </cell>
          <cell r="K11">
            <v>63</v>
          </cell>
          <cell r="L11">
            <v>5000</v>
          </cell>
        </row>
        <row r="12">
          <cell r="D12">
            <v>702</v>
          </cell>
          <cell r="G12">
            <v>998</v>
          </cell>
          <cell r="H12">
            <v>189</v>
          </cell>
          <cell r="J12">
            <v>4972</v>
          </cell>
          <cell r="K12">
            <v>91</v>
          </cell>
          <cell r="L12">
            <v>5000</v>
          </cell>
        </row>
        <row r="13">
          <cell r="D13">
            <v>815</v>
          </cell>
          <cell r="G13">
            <v>999</v>
          </cell>
          <cell r="H13">
            <v>140</v>
          </cell>
          <cell r="J13">
            <v>4988</v>
          </cell>
          <cell r="K13">
            <v>156</v>
          </cell>
          <cell r="L13">
            <v>5000</v>
          </cell>
        </row>
        <row r="14">
          <cell r="D14">
            <v>824</v>
          </cell>
          <cell r="G14">
            <v>998</v>
          </cell>
          <cell r="H14">
            <v>72</v>
          </cell>
          <cell r="J14">
            <v>4980</v>
          </cell>
          <cell r="K14">
            <v>176</v>
          </cell>
          <cell r="L14">
            <v>5000</v>
          </cell>
        </row>
        <row r="15">
          <cell r="D15">
            <v>760</v>
          </cell>
          <cell r="G15">
            <v>999</v>
          </cell>
          <cell r="H15">
            <v>27</v>
          </cell>
          <cell r="J15">
            <v>4992</v>
          </cell>
          <cell r="K15">
            <v>189</v>
          </cell>
          <cell r="L15">
            <v>5000</v>
          </cell>
        </row>
        <row r="16">
          <cell r="D16">
            <v>617</v>
          </cell>
          <cell r="G16">
            <v>999</v>
          </cell>
          <cell r="H16">
            <v>13</v>
          </cell>
          <cell r="J16">
            <v>4988</v>
          </cell>
          <cell r="K16">
            <v>140</v>
          </cell>
          <cell r="L16">
            <v>5000</v>
          </cell>
        </row>
        <row r="17">
          <cell r="D17">
            <v>446</v>
          </cell>
          <cell r="G17">
            <v>999</v>
          </cell>
          <cell r="H17">
            <v>5</v>
          </cell>
          <cell r="J17">
            <v>4990</v>
          </cell>
          <cell r="K17">
            <v>72</v>
          </cell>
          <cell r="L17">
            <v>5000</v>
          </cell>
        </row>
        <row r="18">
          <cell r="D18">
            <v>262</v>
          </cell>
          <cell r="G18">
            <v>999</v>
          </cell>
          <cell r="H18">
            <v>5</v>
          </cell>
          <cell r="J18">
            <v>4992</v>
          </cell>
          <cell r="K18">
            <v>27</v>
          </cell>
          <cell r="L18">
            <v>5000</v>
          </cell>
        </row>
        <row r="19">
          <cell r="D19">
            <v>123</v>
          </cell>
          <cell r="G19">
            <v>999</v>
          </cell>
          <cell r="H19">
            <v>1</v>
          </cell>
          <cell r="J19">
            <v>4988</v>
          </cell>
          <cell r="K19">
            <v>13</v>
          </cell>
          <cell r="L19">
            <v>5000</v>
          </cell>
        </row>
        <row r="20">
          <cell r="D20">
            <v>51</v>
          </cell>
          <cell r="G20">
            <v>999</v>
          </cell>
          <cell r="H20">
            <v>0</v>
          </cell>
          <cell r="J20">
            <v>4990</v>
          </cell>
          <cell r="K20">
            <v>5</v>
          </cell>
          <cell r="L20">
            <v>5000</v>
          </cell>
        </row>
        <row r="21">
          <cell r="D21">
            <v>24</v>
          </cell>
          <cell r="G21">
            <v>999</v>
          </cell>
          <cell r="H21">
            <v>0</v>
          </cell>
          <cell r="J21">
            <v>4988</v>
          </cell>
          <cell r="K21">
            <v>5</v>
          </cell>
          <cell r="L21">
            <v>5000</v>
          </cell>
        </row>
        <row r="22">
          <cell r="D22">
            <v>12</v>
          </cell>
          <cell r="G22">
            <v>998</v>
          </cell>
          <cell r="H22">
            <v>1</v>
          </cell>
          <cell r="J22">
            <v>4972</v>
          </cell>
          <cell r="K22">
            <v>1</v>
          </cell>
          <cell r="L22">
            <v>5000</v>
          </cell>
        </row>
        <row r="23">
          <cell r="D23">
            <v>7</v>
          </cell>
          <cell r="G23">
            <v>999</v>
          </cell>
          <cell r="H23">
            <v>0</v>
          </cell>
          <cell r="J23">
            <v>4990</v>
          </cell>
          <cell r="K23">
            <v>0</v>
          </cell>
          <cell r="L23">
            <v>5000</v>
          </cell>
        </row>
        <row r="24">
          <cell r="D24">
            <v>2</v>
          </cell>
          <cell r="G24">
            <v>998</v>
          </cell>
          <cell r="H24">
            <v>0</v>
          </cell>
          <cell r="J24">
            <v>4980</v>
          </cell>
          <cell r="K24">
            <v>0</v>
          </cell>
          <cell r="L24">
            <v>5000</v>
          </cell>
        </row>
        <row r="25">
          <cell r="D25">
            <v>1</v>
          </cell>
          <cell r="G25">
            <v>998</v>
          </cell>
          <cell r="H25">
            <v>0</v>
          </cell>
          <cell r="J25">
            <v>4976</v>
          </cell>
          <cell r="K25">
            <v>1</v>
          </cell>
          <cell r="L25">
            <v>5000</v>
          </cell>
        </row>
        <row r="26">
          <cell r="D26">
            <v>1</v>
          </cell>
          <cell r="G26">
            <v>998</v>
          </cell>
          <cell r="H26">
            <v>0</v>
          </cell>
          <cell r="J26">
            <v>4980</v>
          </cell>
          <cell r="K26">
            <v>0</v>
          </cell>
          <cell r="L26">
            <v>5000</v>
          </cell>
        </row>
        <row r="27">
          <cell r="D27">
            <v>1</v>
          </cell>
          <cell r="G27">
            <v>998</v>
          </cell>
          <cell r="H27">
            <v>0</v>
          </cell>
          <cell r="J27">
            <v>4976</v>
          </cell>
          <cell r="K27">
            <v>0</v>
          </cell>
          <cell r="L27">
            <v>5000</v>
          </cell>
        </row>
        <row r="28">
          <cell r="D28">
            <v>0</v>
          </cell>
          <cell r="G28">
            <v>1000</v>
          </cell>
          <cell r="H28">
            <v>0</v>
          </cell>
          <cell r="J28">
            <v>4996</v>
          </cell>
          <cell r="K28">
            <v>0</v>
          </cell>
          <cell r="L28">
            <v>5000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NavidAPI_no_fb_runtwo-"/>
    </sheetNames>
    <sheetDataSet>
      <sheetData sheetId="0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7</v>
          </cell>
          <cell r="G3">
            <v>1000</v>
          </cell>
          <cell r="H3">
            <v>5</v>
          </cell>
          <cell r="J3">
            <v>5000</v>
          </cell>
          <cell r="K3">
            <v>0</v>
          </cell>
          <cell r="L3">
            <v>5000</v>
          </cell>
        </row>
        <row r="4">
          <cell r="D4">
            <v>13</v>
          </cell>
          <cell r="G4">
            <v>1000</v>
          </cell>
          <cell r="H4">
            <v>6</v>
          </cell>
          <cell r="J4">
            <v>4998</v>
          </cell>
          <cell r="K4">
            <v>0</v>
          </cell>
          <cell r="L4">
            <v>5000</v>
          </cell>
        </row>
        <row r="5">
          <cell r="D5">
            <v>25</v>
          </cell>
          <cell r="G5">
            <v>1000</v>
          </cell>
          <cell r="H5">
            <v>12</v>
          </cell>
          <cell r="J5">
            <v>5000</v>
          </cell>
          <cell r="K5">
            <v>2</v>
          </cell>
          <cell r="L5">
            <v>5000</v>
          </cell>
        </row>
        <row r="6">
          <cell r="D6">
            <v>47</v>
          </cell>
          <cell r="G6">
            <v>1000</v>
          </cell>
          <cell r="H6">
            <v>22</v>
          </cell>
          <cell r="J6">
            <v>4998</v>
          </cell>
          <cell r="K6">
            <v>5</v>
          </cell>
          <cell r="L6">
            <v>5000</v>
          </cell>
        </row>
        <row r="7">
          <cell r="D7">
            <v>92</v>
          </cell>
          <cell r="G7">
            <v>1000</v>
          </cell>
          <cell r="H7">
            <v>45</v>
          </cell>
          <cell r="J7">
            <v>5000</v>
          </cell>
          <cell r="K7">
            <v>6</v>
          </cell>
          <cell r="L7">
            <v>5000</v>
          </cell>
        </row>
        <row r="8">
          <cell r="D8">
            <v>166</v>
          </cell>
          <cell r="G8">
            <v>1000</v>
          </cell>
          <cell r="H8">
            <v>76</v>
          </cell>
          <cell r="J8">
            <v>5000</v>
          </cell>
          <cell r="K8">
            <v>12</v>
          </cell>
          <cell r="L8">
            <v>5000</v>
          </cell>
        </row>
        <row r="9">
          <cell r="D9">
            <v>293</v>
          </cell>
          <cell r="G9">
            <v>1000</v>
          </cell>
          <cell r="H9">
            <v>132</v>
          </cell>
          <cell r="J9">
            <v>4998</v>
          </cell>
          <cell r="K9">
            <v>22</v>
          </cell>
          <cell r="L9">
            <v>5000</v>
          </cell>
        </row>
        <row r="10">
          <cell r="D10">
            <v>449</v>
          </cell>
          <cell r="G10">
            <v>1000</v>
          </cell>
          <cell r="H10">
            <v>162</v>
          </cell>
          <cell r="J10">
            <v>5000</v>
          </cell>
          <cell r="K10">
            <v>45</v>
          </cell>
          <cell r="L10">
            <v>5000</v>
          </cell>
        </row>
        <row r="11">
          <cell r="D11">
            <v>615</v>
          </cell>
          <cell r="G11">
            <v>1000</v>
          </cell>
          <cell r="H11">
            <v>178</v>
          </cell>
          <cell r="J11">
            <v>5000</v>
          </cell>
          <cell r="K11">
            <v>76</v>
          </cell>
          <cell r="L11">
            <v>5000</v>
          </cell>
        </row>
        <row r="12">
          <cell r="D12">
            <v>757</v>
          </cell>
          <cell r="G12">
            <v>1000</v>
          </cell>
          <cell r="H12">
            <v>164</v>
          </cell>
          <cell r="J12">
            <v>4998</v>
          </cell>
          <cell r="K12">
            <v>132</v>
          </cell>
          <cell r="L12">
            <v>5000</v>
          </cell>
        </row>
        <row r="13">
          <cell r="D13">
            <v>825</v>
          </cell>
          <cell r="G13">
            <v>1000</v>
          </cell>
          <cell r="H13">
            <v>113</v>
          </cell>
          <cell r="J13">
            <v>4998</v>
          </cell>
          <cell r="K13">
            <v>162</v>
          </cell>
          <cell r="L13">
            <v>5000</v>
          </cell>
        </row>
        <row r="14">
          <cell r="D14">
            <v>802</v>
          </cell>
          <cell r="G14">
            <v>1000</v>
          </cell>
          <cell r="H14">
            <v>53</v>
          </cell>
          <cell r="J14">
            <v>5000</v>
          </cell>
          <cell r="K14">
            <v>178</v>
          </cell>
          <cell r="L14">
            <v>5000</v>
          </cell>
        </row>
        <row r="15">
          <cell r="D15">
            <v>688</v>
          </cell>
          <cell r="G15">
            <v>1000</v>
          </cell>
          <cell r="H15">
            <v>18</v>
          </cell>
          <cell r="J15">
            <v>4998</v>
          </cell>
          <cell r="K15">
            <v>164</v>
          </cell>
          <cell r="L15">
            <v>5000</v>
          </cell>
        </row>
        <row r="16">
          <cell r="D16">
            <v>531</v>
          </cell>
          <cell r="G16">
            <v>1000</v>
          </cell>
          <cell r="H16">
            <v>5</v>
          </cell>
          <cell r="J16">
            <v>4998</v>
          </cell>
          <cell r="K16">
            <v>113</v>
          </cell>
          <cell r="L16">
            <v>5000</v>
          </cell>
        </row>
        <row r="17">
          <cell r="D17">
            <v>355</v>
          </cell>
          <cell r="G17">
            <v>1000</v>
          </cell>
          <cell r="H17">
            <v>2</v>
          </cell>
          <cell r="J17">
            <v>5000</v>
          </cell>
          <cell r="K17">
            <v>53</v>
          </cell>
          <cell r="L17">
            <v>5000</v>
          </cell>
        </row>
        <row r="18">
          <cell r="D18">
            <v>193</v>
          </cell>
          <cell r="G18">
            <v>1000</v>
          </cell>
          <cell r="H18">
            <v>2</v>
          </cell>
          <cell r="J18">
            <v>5000</v>
          </cell>
          <cell r="K18">
            <v>18</v>
          </cell>
          <cell r="L18">
            <v>5000</v>
          </cell>
        </row>
        <row r="19">
          <cell r="D19">
            <v>81</v>
          </cell>
          <cell r="G19">
            <v>1000</v>
          </cell>
          <cell r="H19">
            <v>1</v>
          </cell>
          <cell r="J19">
            <v>4998</v>
          </cell>
          <cell r="K19">
            <v>5</v>
          </cell>
          <cell r="L19">
            <v>5000</v>
          </cell>
        </row>
        <row r="20">
          <cell r="D20">
            <v>28</v>
          </cell>
          <cell r="G20">
            <v>1000</v>
          </cell>
          <cell r="H20">
            <v>0</v>
          </cell>
          <cell r="J20">
            <v>5000</v>
          </cell>
          <cell r="K20">
            <v>2</v>
          </cell>
          <cell r="L20">
            <v>5000</v>
          </cell>
        </row>
        <row r="21">
          <cell r="D21">
            <v>10</v>
          </cell>
          <cell r="G21">
            <v>1000</v>
          </cell>
          <cell r="H21">
            <v>0</v>
          </cell>
          <cell r="J21">
            <v>4998</v>
          </cell>
          <cell r="K21">
            <v>2</v>
          </cell>
          <cell r="L21">
            <v>5000</v>
          </cell>
        </row>
        <row r="22">
          <cell r="D22">
            <v>5</v>
          </cell>
          <cell r="G22">
            <v>1000</v>
          </cell>
          <cell r="H22">
            <v>0</v>
          </cell>
          <cell r="J22">
            <v>5000</v>
          </cell>
          <cell r="K22">
            <v>1</v>
          </cell>
          <cell r="L22">
            <v>5000</v>
          </cell>
        </row>
        <row r="23">
          <cell r="D23">
            <v>3</v>
          </cell>
          <cell r="G23">
            <v>1000</v>
          </cell>
          <cell r="H23">
            <v>0</v>
          </cell>
          <cell r="J23">
            <v>5000</v>
          </cell>
          <cell r="K23">
            <v>0</v>
          </cell>
          <cell r="L23">
            <v>5000</v>
          </cell>
        </row>
        <row r="24">
          <cell r="D24">
            <v>1</v>
          </cell>
          <cell r="G24">
            <v>1000</v>
          </cell>
          <cell r="H24">
            <v>0</v>
          </cell>
          <cell r="J24">
            <v>5000</v>
          </cell>
          <cell r="K24">
            <v>0</v>
          </cell>
          <cell r="L24">
            <v>5000</v>
          </cell>
        </row>
        <row r="25">
          <cell r="D25">
            <v>0</v>
          </cell>
          <cell r="G25">
            <v>1000</v>
          </cell>
          <cell r="H25">
            <v>0</v>
          </cell>
          <cell r="J25">
            <v>4998</v>
          </cell>
          <cell r="K25">
            <v>0</v>
          </cell>
          <cell r="L25">
            <v>5000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savannah_no_fb-data"/>
    </sheetNames>
    <sheetDataSet>
      <sheetData sheetId="0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2</v>
          </cell>
          <cell r="G3">
            <v>1000</v>
          </cell>
          <cell r="H3">
            <v>0</v>
          </cell>
          <cell r="J3">
            <v>4998</v>
          </cell>
          <cell r="K3">
            <v>0</v>
          </cell>
          <cell r="L3">
            <v>5000</v>
          </cell>
        </row>
        <row r="4">
          <cell r="D4">
            <v>6</v>
          </cell>
          <cell r="G4">
            <v>1000</v>
          </cell>
          <cell r="H4">
            <v>4</v>
          </cell>
          <cell r="J4">
            <v>5000</v>
          </cell>
          <cell r="K4">
            <v>0</v>
          </cell>
          <cell r="L4">
            <v>5000</v>
          </cell>
        </row>
        <row r="5">
          <cell r="D5">
            <v>14</v>
          </cell>
          <cell r="G5">
            <v>1000</v>
          </cell>
          <cell r="H5">
            <v>8</v>
          </cell>
          <cell r="J5">
            <v>5000</v>
          </cell>
          <cell r="K5">
            <v>2</v>
          </cell>
          <cell r="L5">
            <v>5000</v>
          </cell>
        </row>
        <row r="6">
          <cell r="D6">
            <v>27</v>
          </cell>
          <cell r="G6">
            <v>1000</v>
          </cell>
          <cell r="H6">
            <v>13</v>
          </cell>
          <cell r="J6">
            <v>5000</v>
          </cell>
          <cell r="K6">
            <v>0</v>
          </cell>
          <cell r="L6">
            <v>5000</v>
          </cell>
        </row>
        <row r="7">
          <cell r="D7">
            <v>52</v>
          </cell>
          <cell r="G7">
            <v>1000</v>
          </cell>
          <cell r="H7">
            <v>25</v>
          </cell>
          <cell r="J7">
            <v>5000</v>
          </cell>
          <cell r="K7">
            <v>4</v>
          </cell>
          <cell r="L7">
            <v>5000</v>
          </cell>
        </row>
        <row r="8">
          <cell r="D8">
            <v>87</v>
          </cell>
          <cell r="G8">
            <v>1000</v>
          </cell>
          <cell r="H8">
            <v>37</v>
          </cell>
          <cell r="J8">
            <v>4998</v>
          </cell>
          <cell r="K8">
            <v>8</v>
          </cell>
          <cell r="L8">
            <v>5000</v>
          </cell>
        </row>
        <row r="9">
          <cell r="D9">
            <v>160</v>
          </cell>
          <cell r="G9">
            <v>1000</v>
          </cell>
          <cell r="H9">
            <v>73</v>
          </cell>
          <cell r="J9">
            <v>5000</v>
          </cell>
          <cell r="K9">
            <v>13</v>
          </cell>
          <cell r="L9">
            <v>5000</v>
          </cell>
        </row>
        <row r="10">
          <cell r="D10">
            <v>275</v>
          </cell>
          <cell r="G10">
            <v>1000</v>
          </cell>
          <cell r="H10">
            <v>119</v>
          </cell>
          <cell r="J10">
            <v>5000</v>
          </cell>
          <cell r="K10">
            <v>25</v>
          </cell>
          <cell r="L10">
            <v>5000</v>
          </cell>
        </row>
        <row r="11">
          <cell r="D11">
            <v>443</v>
          </cell>
          <cell r="G11">
            <v>1000</v>
          </cell>
          <cell r="H11">
            <v>176</v>
          </cell>
          <cell r="J11">
            <v>4998</v>
          </cell>
          <cell r="K11">
            <v>37</v>
          </cell>
          <cell r="L11">
            <v>5000</v>
          </cell>
        </row>
        <row r="12">
          <cell r="D12">
            <v>625</v>
          </cell>
          <cell r="G12">
            <v>1000</v>
          </cell>
          <cell r="H12">
            <v>195</v>
          </cell>
          <cell r="J12">
            <v>5000</v>
          </cell>
          <cell r="K12">
            <v>73</v>
          </cell>
          <cell r="L12">
            <v>5000</v>
          </cell>
        </row>
        <row r="13">
          <cell r="D13">
            <v>757</v>
          </cell>
          <cell r="G13">
            <v>1000</v>
          </cell>
          <cell r="H13">
            <v>157</v>
          </cell>
          <cell r="J13">
            <v>4998</v>
          </cell>
          <cell r="K13">
            <v>119</v>
          </cell>
          <cell r="L13">
            <v>5000</v>
          </cell>
        </row>
        <row r="14">
          <cell r="D14">
            <v>821</v>
          </cell>
          <cell r="G14">
            <v>1000</v>
          </cell>
          <cell r="H14">
            <v>101</v>
          </cell>
          <cell r="J14">
            <v>4998</v>
          </cell>
          <cell r="K14">
            <v>176</v>
          </cell>
          <cell r="L14">
            <v>5000</v>
          </cell>
        </row>
        <row r="15">
          <cell r="D15">
            <v>790</v>
          </cell>
          <cell r="G15">
            <v>1000</v>
          </cell>
          <cell r="H15">
            <v>42</v>
          </cell>
          <cell r="J15">
            <v>4998</v>
          </cell>
          <cell r="K15">
            <v>195</v>
          </cell>
          <cell r="L15">
            <v>5000</v>
          </cell>
        </row>
        <row r="16">
          <cell r="D16">
            <v>702</v>
          </cell>
          <cell r="G16">
            <v>1000</v>
          </cell>
          <cell r="H16">
            <v>31</v>
          </cell>
          <cell r="J16">
            <v>4998</v>
          </cell>
          <cell r="K16">
            <v>157</v>
          </cell>
          <cell r="L16">
            <v>5000</v>
          </cell>
        </row>
        <row r="17">
          <cell r="D17">
            <v>535</v>
          </cell>
          <cell r="G17">
            <v>1000</v>
          </cell>
          <cell r="H17">
            <v>9</v>
          </cell>
          <cell r="J17">
            <v>4998</v>
          </cell>
          <cell r="K17">
            <v>101</v>
          </cell>
          <cell r="L17">
            <v>5000</v>
          </cell>
        </row>
        <row r="18">
          <cell r="D18">
            <v>342</v>
          </cell>
          <cell r="G18">
            <v>1000</v>
          </cell>
          <cell r="H18">
            <v>2</v>
          </cell>
          <cell r="J18">
            <v>5000</v>
          </cell>
          <cell r="K18">
            <v>42</v>
          </cell>
          <cell r="L18">
            <v>5000</v>
          </cell>
        </row>
        <row r="19">
          <cell r="D19">
            <v>189</v>
          </cell>
          <cell r="G19">
            <v>1000</v>
          </cell>
          <cell r="H19">
            <v>4</v>
          </cell>
          <cell r="J19">
            <v>4998</v>
          </cell>
          <cell r="K19">
            <v>31</v>
          </cell>
          <cell r="L19">
            <v>5000</v>
          </cell>
        </row>
        <row r="20">
          <cell r="D20">
            <v>88</v>
          </cell>
          <cell r="G20">
            <v>1000</v>
          </cell>
          <cell r="H20">
            <v>0</v>
          </cell>
          <cell r="J20">
            <v>4998</v>
          </cell>
          <cell r="K20">
            <v>9</v>
          </cell>
          <cell r="L20">
            <v>5000</v>
          </cell>
        </row>
        <row r="21">
          <cell r="D21">
            <v>47</v>
          </cell>
          <cell r="G21">
            <v>1000</v>
          </cell>
          <cell r="H21">
            <v>1</v>
          </cell>
          <cell r="J21">
            <v>5000</v>
          </cell>
          <cell r="K21">
            <v>2</v>
          </cell>
          <cell r="L21">
            <v>5000</v>
          </cell>
        </row>
        <row r="22">
          <cell r="D22">
            <v>16</v>
          </cell>
          <cell r="G22">
            <v>1000</v>
          </cell>
          <cell r="H22">
            <v>0</v>
          </cell>
          <cell r="J22">
            <v>4998</v>
          </cell>
          <cell r="K22">
            <v>4</v>
          </cell>
          <cell r="L22">
            <v>5000</v>
          </cell>
        </row>
        <row r="23">
          <cell r="D23">
            <v>7</v>
          </cell>
          <cell r="G23">
            <v>1000</v>
          </cell>
          <cell r="H23">
            <v>0</v>
          </cell>
          <cell r="J23">
            <v>4998</v>
          </cell>
          <cell r="K23">
            <v>0</v>
          </cell>
          <cell r="L23">
            <v>5000</v>
          </cell>
        </row>
        <row r="24">
          <cell r="D24">
            <v>5</v>
          </cell>
          <cell r="G24">
            <v>1000</v>
          </cell>
          <cell r="H24">
            <v>0</v>
          </cell>
          <cell r="J24">
            <v>5000</v>
          </cell>
          <cell r="K24">
            <v>1</v>
          </cell>
          <cell r="L24">
            <v>5000</v>
          </cell>
        </row>
        <row r="25">
          <cell r="D25">
            <v>1</v>
          </cell>
          <cell r="G25">
            <v>1000</v>
          </cell>
          <cell r="H25">
            <v>0</v>
          </cell>
          <cell r="J25">
            <v>4998</v>
          </cell>
          <cell r="K25">
            <v>0</v>
          </cell>
          <cell r="L25">
            <v>5000</v>
          </cell>
        </row>
        <row r="26">
          <cell r="D26">
            <v>1</v>
          </cell>
          <cell r="G26">
            <v>1000</v>
          </cell>
          <cell r="H26">
            <v>0</v>
          </cell>
          <cell r="J26">
            <v>5000</v>
          </cell>
          <cell r="K26">
            <v>0</v>
          </cell>
          <cell r="L26">
            <v>5000</v>
          </cell>
        </row>
        <row r="27">
          <cell r="D27">
            <v>0</v>
          </cell>
          <cell r="G27">
            <v>1000</v>
          </cell>
          <cell r="H27">
            <v>0</v>
          </cell>
          <cell r="J27">
            <v>5000</v>
          </cell>
          <cell r="K27">
            <v>0</v>
          </cell>
          <cell r="L27">
            <v>5000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Terry_no_fb_run_two-da"/>
    </sheetNames>
    <sheetDataSet>
      <sheetData sheetId="0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4</v>
          </cell>
          <cell r="G3">
            <v>998</v>
          </cell>
          <cell r="H3">
            <v>2</v>
          </cell>
          <cell r="J3">
            <v>4978</v>
          </cell>
          <cell r="K3">
            <v>0</v>
          </cell>
          <cell r="L3">
            <v>5000</v>
          </cell>
        </row>
        <row r="4">
          <cell r="D4">
            <v>6</v>
          </cell>
          <cell r="G4">
            <v>998</v>
          </cell>
          <cell r="H4">
            <v>2</v>
          </cell>
          <cell r="J4">
            <v>4974</v>
          </cell>
          <cell r="K4">
            <v>0</v>
          </cell>
          <cell r="L4">
            <v>5000</v>
          </cell>
        </row>
        <row r="5">
          <cell r="D5">
            <v>12</v>
          </cell>
          <cell r="G5">
            <v>997</v>
          </cell>
          <cell r="H5">
            <v>6</v>
          </cell>
          <cell r="J5">
            <v>4976</v>
          </cell>
          <cell r="K5">
            <v>2</v>
          </cell>
          <cell r="L5">
            <v>5000</v>
          </cell>
        </row>
        <row r="6">
          <cell r="D6">
            <v>24</v>
          </cell>
          <cell r="G6">
            <v>998</v>
          </cell>
          <cell r="H6">
            <v>12</v>
          </cell>
          <cell r="J6">
            <v>4980</v>
          </cell>
          <cell r="K6">
            <v>2</v>
          </cell>
          <cell r="L6">
            <v>5000</v>
          </cell>
        </row>
        <row r="7">
          <cell r="D7">
            <v>38</v>
          </cell>
          <cell r="G7">
            <v>997</v>
          </cell>
          <cell r="H7">
            <v>14</v>
          </cell>
          <cell r="J7">
            <v>4970</v>
          </cell>
          <cell r="K7">
            <v>2</v>
          </cell>
          <cell r="L7">
            <v>5000</v>
          </cell>
        </row>
        <row r="8">
          <cell r="D8">
            <v>80</v>
          </cell>
          <cell r="G8">
            <v>998</v>
          </cell>
          <cell r="H8">
            <v>44</v>
          </cell>
          <cell r="J8">
            <v>4980</v>
          </cell>
          <cell r="K8">
            <v>6</v>
          </cell>
          <cell r="L8">
            <v>5000</v>
          </cell>
        </row>
        <row r="9">
          <cell r="D9">
            <v>137</v>
          </cell>
          <cell r="G9">
            <v>998</v>
          </cell>
          <cell r="H9">
            <v>59</v>
          </cell>
          <cell r="J9">
            <v>4986</v>
          </cell>
          <cell r="K9">
            <v>12</v>
          </cell>
          <cell r="L9">
            <v>5000</v>
          </cell>
        </row>
        <row r="10">
          <cell r="D10">
            <v>235</v>
          </cell>
          <cell r="G10">
            <v>998</v>
          </cell>
          <cell r="H10">
            <v>100</v>
          </cell>
          <cell r="J10">
            <v>4980</v>
          </cell>
          <cell r="K10">
            <v>14</v>
          </cell>
          <cell r="L10">
            <v>5000</v>
          </cell>
        </row>
        <row r="11">
          <cell r="D11">
            <v>384</v>
          </cell>
          <cell r="G11">
            <v>998</v>
          </cell>
          <cell r="H11">
            <v>155</v>
          </cell>
          <cell r="J11">
            <v>4984</v>
          </cell>
          <cell r="K11">
            <v>44</v>
          </cell>
          <cell r="L11">
            <v>5000</v>
          </cell>
        </row>
        <row r="12">
          <cell r="D12">
            <v>556</v>
          </cell>
          <cell r="G12">
            <v>998</v>
          </cell>
          <cell r="H12">
            <v>184</v>
          </cell>
          <cell r="J12">
            <v>4976</v>
          </cell>
          <cell r="K12">
            <v>59</v>
          </cell>
          <cell r="L12">
            <v>5000</v>
          </cell>
        </row>
        <row r="13">
          <cell r="D13">
            <v>720</v>
          </cell>
          <cell r="G13">
            <v>998</v>
          </cell>
          <cell r="H13">
            <v>178</v>
          </cell>
          <cell r="J13">
            <v>4984</v>
          </cell>
          <cell r="K13">
            <v>100</v>
          </cell>
          <cell r="L13">
            <v>5000</v>
          </cell>
        </row>
        <row r="14">
          <cell r="D14">
            <v>810</v>
          </cell>
          <cell r="G14">
            <v>998</v>
          </cell>
          <cell r="H14">
            <v>134</v>
          </cell>
          <cell r="J14">
            <v>4980</v>
          </cell>
          <cell r="K14">
            <v>155</v>
          </cell>
          <cell r="L14">
            <v>5000</v>
          </cell>
        </row>
        <row r="15">
          <cell r="D15">
            <v>802</v>
          </cell>
          <cell r="G15">
            <v>998</v>
          </cell>
          <cell r="H15">
            <v>51</v>
          </cell>
          <cell r="J15">
            <v>4978</v>
          </cell>
          <cell r="K15">
            <v>184</v>
          </cell>
          <cell r="L15">
            <v>5000</v>
          </cell>
        </row>
        <row r="16">
          <cell r="D16">
            <v>740</v>
          </cell>
          <cell r="G16">
            <v>998</v>
          </cell>
          <cell r="H16">
            <v>38</v>
          </cell>
          <cell r="J16">
            <v>4978</v>
          </cell>
          <cell r="K16">
            <v>178</v>
          </cell>
          <cell r="L16">
            <v>5000</v>
          </cell>
        </row>
        <row r="17">
          <cell r="D17">
            <v>594</v>
          </cell>
          <cell r="G17">
            <v>998</v>
          </cell>
          <cell r="H17">
            <v>9</v>
          </cell>
          <cell r="J17">
            <v>4978</v>
          </cell>
          <cell r="K17">
            <v>134</v>
          </cell>
          <cell r="L17">
            <v>5000</v>
          </cell>
        </row>
        <row r="18">
          <cell r="D18">
            <v>411</v>
          </cell>
          <cell r="G18">
            <v>998</v>
          </cell>
          <cell r="H18">
            <v>1</v>
          </cell>
          <cell r="J18">
            <v>4976</v>
          </cell>
          <cell r="K18">
            <v>51</v>
          </cell>
          <cell r="L18">
            <v>5000</v>
          </cell>
        </row>
        <row r="19">
          <cell r="D19">
            <v>238</v>
          </cell>
          <cell r="G19">
            <v>998</v>
          </cell>
          <cell r="H19">
            <v>5</v>
          </cell>
          <cell r="J19">
            <v>4980</v>
          </cell>
          <cell r="K19">
            <v>38</v>
          </cell>
          <cell r="L19">
            <v>5000</v>
          </cell>
        </row>
        <row r="20">
          <cell r="D20">
            <v>104</v>
          </cell>
          <cell r="G20">
            <v>998</v>
          </cell>
          <cell r="H20">
            <v>0</v>
          </cell>
          <cell r="J20">
            <v>4972</v>
          </cell>
          <cell r="K20">
            <v>9</v>
          </cell>
          <cell r="L20">
            <v>5000</v>
          </cell>
        </row>
        <row r="21">
          <cell r="D21">
            <v>54</v>
          </cell>
          <cell r="G21">
            <v>999</v>
          </cell>
          <cell r="H21">
            <v>1</v>
          </cell>
          <cell r="J21">
            <v>4988</v>
          </cell>
          <cell r="K21">
            <v>1</v>
          </cell>
          <cell r="L21">
            <v>5000</v>
          </cell>
        </row>
        <row r="22">
          <cell r="D22">
            <v>16</v>
          </cell>
          <cell r="G22">
            <v>998</v>
          </cell>
          <cell r="H22">
            <v>0</v>
          </cell>
          <cell r="J22">
            <v>4984</v>
          </cell>
          <cell r="K22">
            <v>5</v>
          </cell>
          <cell r="L22">
            <v>5000</v>
          </cell>
        </row>
        <row r="23">
          <cell r="D23">
            <v>7</v>
          </cell>
          <cell r="G23">
            <v>998</v>
          </cell>
          <cell r="H23">
            <v>0</v>
          </cell>
          <cell r="J23">
            <v>4980</v>
          </cell>
          <cell r="K23">
            <v>0</v>
          </cell>
          <cell r="L23">
            <v>5000</v>
          </cell>
        </row>
        <row r="24">
          <cell r="D24">
            <v>6</v>
          </cell>
          <cell r="G24">
            <v>998</v>
          </cell>
          <cell r="H24">
            <v>0</v>
          </cell>
          <cell r="J24">
            <v>4976</v>
          </cell>
          <cell r="K24">
            <v>1</v>
          </cell>
          <cell r="L24">
            <v>5000</v>
          </cell>
        </row>
        <row r="25">
          <cell r="D25">
            <v>1</v>
          </cell>
          <cell r="G25">
            <v>998</v>
          </cell>
          <cell r="H25">
            <v>0</v>
          </cell>
          <cell r="J25">
            <v>4978</v>
          </cell>
          <cell r="K25">
            <v>0</v>
          </cell>
          <cell r="L25">
            <v>5000</v>
          </cell>
        </row>
        <row r="26">
          <cell r="D26">
            <v>1</v>
          </cell>
          <cell r="G26">
            <v>998</v>
          </cell>
          <cell r="H26">
            <v>0</v>
          </cell>
          <cell r="J26">
            <v>4978</v>
          </cell>
          <cell r="K26">
            <v>0</v>
          </cell>
          <cell r="L26">
            <v>5000</v>
          </cell>
        </row>
        <row r="27">
          <cell r="D27">
            <v>0</v>
          </cell>
          <cell r="G27">
            <v>998</v>
          </cell>
          <cell r="H27">
            <v>0</v>
          </cell>
          <cell r="J27">
            <v>4976</v>
          </cell>
          <cell r="K27">
            <v>0</v>
          </cell>
          <cell r="L27">
            <v>5000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MitchellAPI_no_fb_runt"/>
    </sheetNames>
    <sheetDataSet>
      <sheetData sheetId="0" refreshError="1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3</v>
          </cell>
          <cell r="G3">
            <v>1000</v>
          </cell>
          <cell r="H3">
            <v>1</v>
          </cell>
          <cell r="J3">
            <v>5000</v>
          </cell>
          <cell r="K3">
            <v>0</v>
          </cell>
          <cell r="L3">
            <v>5000</v>
          </cell>
        </row>
        <row r="4">
          <cell r="D4">
            <v>4</v>
          </cell>
          <cell r="G4">
            <v>1000</v>
          </cell>
          <cell r="H4">
            <v>1</v>
          </cell>
          <cell r="J4">
            <v>4998</v>
          </cell>
          <cell r="K4">
            <v>0</v>
          </cell>
          <cell r="L4">
            <v>5000</v>
          </cell>
        </row>
        <row r="5">
          <cell r="D5">
            <v>10</v>
          </cell>
          <cell r="G5">
            <v>1000</v>
          </cell>
          <cell r="H5">
            <v>6</v>
          </cell>
          <cell r="J5">
            <v>4998</v>
          </cell>
          <cell r="K5">
            <v>2</v>
          </cell>
          <cell r="L5">
            <v>5000</v>
          </cell>
        </row>
        <row r="6">
          <cell r="D6">
            <v>17</v>
          </cell>
          <cell r="G6">
            <v>1000</v>
          </cell>
          <cell r="H6">
            <v>7</v>
          </cell>
          <cell r="J6">
            <v>4998</v>
          </cell>
          <cell r="K6">
            <v>1</v>
          </cell>
          <cell r="L6">
            <v>5000</v>
          </cell>
        </row>
        <row r="7">
          <cell r="D7">
            <v>30</v>
          </cell>
          <cell r="G7">
            <v>1000</v>
          </cell>
          <cell r="H7">
            <v>13</v>
          </cell>
          <cell r="J7">
            <v>4998</v>
          </cell>
          <cell r="K7">
            <v>1</v>
          </cell>
          <cell r="L7">
            <v>5000</v>
          </cell>
        </row>
        <row r="8">
          <cell r="D8">
            <v>60</v>
          </cell>
          <cell r="G8">
            <v>1000</v>
          </cell>
          <cell r="H8">
            <v>32</v>
          </cell>
          <cell r="J8">
            <v>5000</v>
          </cell>
          <cell r="K8">
            <v>6</v>
          </cell>
          <cell r="L8">
            <v>5000</v>
          </cell>
        </row>
        <row r="9">
          <cell r="D9">
            <v>110</v>
          </cell>
          <cell r="G9">
            <v>1000</v>
          </cell>
          <cell r="H9">
            <v>51</v>
          </cell>
          <cell r="J9">
            <v>4998</v>
          </cell>
          <cell r="K9">
            <v>7</v>
          </cell>
          <cell r="L9">
            <v>5000</v>
          </cell>
        </row>
        <row r="10">
          <cell r="D10">
            <v>185</v>
          </cell>
          <cell r="G10">
            <v>1000</v>
          </cell>
          <cell r="H10">
            <v>76</v>
          </cell>
          <cell r="J10">
            <v>4998</v>
          </cell>
          <cell r="K10">
            <v>13</v>
          </cell>
          <cell r="L10">
            <v>5000</v>
          </cell>
        </row>
        <row r="11">
          <cell r="D11">
            <v>318</v>
          </cell>
          <cell r="G11">
            <v>1000</v>
          </cell>
          <cell r="H11">
            <v>139</v>
          </cell>
          <cell r="J11">
            <v>4998</v>
          </cell>
          <cell r="K11">
            <v>32</v>
          </cell>
          <cell r="L11">
            <v>5000</v>
          </cell>
        </row>
        <row r="12">
          <cell r="D12">
            <v>489</v>
          </cell>
          <cell r="G12">
            <v>1000</v>
          </cell>
          <cell r="H12">
            <v>178</v>
          </cell>
          <cell r="J12">
            <v>5000</v>
          </cell>
          <cell r="K12">
            <v>51</v>
          </cell>
          <cell r="L12">
            <v>5000</v>
          </cell>
        </row>
        <row r="13">
          <cell r="D13">
            <v>670</v>
          </cell>
          <cell r="G13">
            <v>1000</v>
          </cell>
          <cell r="H13">
            <v>194</v>
          </cell>
          <cell r="J13">
            <v>4998</v>
          </cell>
          <cell r="K13">
            <v>76</v>
          </cell>
          <cell r="L13">
            <v>5000</v>
          </cell>
        </row>
        <row r="14">
          <cell r="D14">
            <v>784</v>
          </cell>
          <cell r="G14">
            <v>1000</v>
          </cell>
          <cell r="H14">
            <v>146</v>
          </cell>
          <cell r="J14">
            <v>5000</v>
          </cell>
          <cell r="K14">
            <v>139</v>
          </cell>
          <cell r="L14">
            <v>5000</v>
          </cell>
        </row>
        <row r="15">
          <cell r="D15">
            <v>826</v>
          </cell>
          <cell r="G15">
            <v>1000</v>
          </cell>
          <cell r="H15">
            <v>93</v>
          </cell>
          <cell r="J15">
            <v>5000</v>
          </cell>
          <cell r="K15">
            <v>178</v>
          </cell>
          <cell r="L15">
            <v>5000</v>
          </cell>
        </row>
        <row r="16">
          <cell r="D16">
            <v>788</v>
          </cell>
          <cell r="G16">
            <v>1000</v>
          </cell>
          <cell r="H16">
            <v>38</v>
          </cell>
          <cell r="J16">
            <v>5000</v>
          </cell>
          <cell r="K16">
            <v>194</v>
          </cell>
          <cell r="L16">
            <v>5000</v>
          </cell>
        </row>
        <row r="17">
          <cell r="D17">
            <v>665</v>
          </cell>
          <cell r="G17">
            <v>1000</v>
          </cell>
          <cell r="H17">
            <v>16</v>
          </cell>
          <cell r="J17">
            <v>4998</v>
          </cell>
          <cell r="K17">
            <v>146</v>
          </cell>
          <cell r="L17">
            <v>5000</v>
          </cell>
        </row>
        <row r="18">
          <cell r="D18">
            <v>490</v>
          </cell>
          <cell r="G18">
            <v>1000</v>
          </cell>
          <cell r="H18">
            <v>3</v>
          </cell>
          <cell r="J18">
            <v>5000</v>
          </cell>
          <cell r="K18">
            <v>93</v>
          </cell>
          <cell r="L18">
            <v>5000</v>
          </cell>
        </row>
        <row r="19">
          <cell r="D19">
            <v>298</v>
          </cell>
          <cell r="G19">
            <v>1000</v>
          </cell>
          <cell r="H19">
            <v>2</v>
          </cell>
          <cell r="J19">
            <v>5000</v>
          </cell>
          <cell r="K19">
            <v>38</v>
          </cell>
          <cell r="L19">
            <v>5000</v>
          </cell>
        </row>
        <row r="20">
          <cell r="D20">
            <v>154</v>
          </cell>
          <cell r="G20">
            <v>1000</v>
          </cell>
          <cell r="H20">
            <v>2</v>
          </cell>
          <cell r="J20">
            <v>4998</v>
          </cell>
          <cell r="K20">
            <v>16</v>
          </cell>
          <cell r="L20">
            <v>5000</v>
          </cell>
        </row>
        <row r="21">
          <cell r="D21">
            <v>61</v>
          </cell>
          <cell r="G21">
            <v>1000</v>
          </cell>
          <cell r="H21">
            <v>0</v>
          </cell>
          <cell r="J21">
            <v>4998</v>
          </cell>
          <cell r="K21">
            <v>3</v>
          </cell>
          <cell r="L21">
            <v>5000</v>
          </cell>
        </row>
        <row r="22">
          <cell r="D22">
            <v>23</v>
          </cell>
          <cell r="G22">
            <v>1000</v>
          </cell>
          <cell r="H22">
            <v>0</v>
          </cell>
          <cell r="J22">
            <v>5000</v>
          </cell>
          <cell r="K22">
            <v>2</v>
          </cell>
          <cell r="L22">
            <v>5000</v>
          </cell>
        </row>
        <row r="23">
          <cell r="D23">
            <v>7</v>
          </cell>
          <cell r="G23">
            <v>1000</v>
          </cell>
          <cell r="H23">
            <v>0</v>
          </cell>
          <cell r="J23">
            <v>5000</v>
          </cell>
          <cell r="K23">
            <v>2</v>
          </cell>
          <cell r="L23">
            <v>5000</v>
          </cell>
        </row>
        <row r="24">
          <cell r="D24">
            <v>4</v>
          </cell>
          <cell r="G24">
            <v>1000</v>
          </cell>
          <cell r="H24">
            <v>0</v>
          </cell>
          <cell r="J24">
            <v>5000</v>
          </cell>
          <cell r="K24">
            <v>0</v>
          </cell>
          <cell r="L24">
            <v>5000</v>
          </cell>
        </row>
        <row r="25">
          <cell r="D25">
            <v>2</v>
          </cell>
          <cell r="G25">
            <v>1000</v>
          </cell>
          <cell r="H25">
            <v>0</v>
          </cell>
          <cell r="J25">
            <v>4998</v>
          </cell>
          <cell r="K25">
            <v>0</v>
          </cell>
          <cell r="L25">
            <v>5000</v>
          </cell>
        </row>
        <row r="26">
          <cell r="D26">
            <v>0</v>
          </cell>
          <cell r="G26">
            <v>1000</v>
          </cell>
          <cell r="H26">
            <v>0</v>
          </cell>
          <cell r="J26">
            <v>5000</v>
          </cell>
          <cell r="K26">
            <v>0</v>
          </cell>
          <cell r="L26">
            <v>5000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03_GABM_NiyoushaAPI_no_fb-data"/>
    </sheetNames>
    <sheetDataSet>
      <sheetData sheetId="0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5</v>
          </cell>
          <cell r="G3">
            <v>1000</v>
          </cell>
          <cell r="H3">
            <v>3</v>
          </cell>
          <cell r="J3">
            <v>4996</v>
          </cell>
          <cell r="K3">
            <v>0</v>
          </cell>
          <cell r="L3">
            <v>5000</v>
          </cell>
        </row>
        <row r="4">
          <cell r="D4">
            <v>12</v>
          </cell>
          <cell r="G4">
            <v>1000</v>
          </cell>
          <cell r="H4">
            <v>7</v>
          </cell>
          <cell r="J4">
            <v>4998</v>
          </cell>
          <cell r="K4">
            <v>0</v>
          </cell>
          <cell r="L4">
            <v>5000</v>
          </cell>
        </row>
        <row r="5">
          <cell r="D5">
            <v>19</v>
          </cell>
          <cell r="G5">
            <v>1000</v>
          </cell>
          <cell r="H5">
            <v>7</v>
          </cell>
          <cell r="J5">
            <v>5000</v>
          </cell>
          <cell r="K5">
            <v>2</v>
          </cell>
          <cell r="L5">
            <v>5000</v>
          </cell>
        </row>
        <row r="6">
          <cell r="D6">
            <v>44</v>
          </cell>
          <cell r="G6">
            <v>999</v>
          </cell>
          <cell r="H6">
            <v>25</v>
          </cell>
          <cell r="J6">
            <v>4982</v>
          </cell>
          <cell r="K6">
            <v>3</v>
          </cell>
          <cell r="L6">
            <v>5000</v>
          </cell>
        </row>
        <row r="7">
          <cell r="D7">
            <v>83</v>
          </cell>
          <cell r="G7">
            <v>1000</v>
          </cell>
          <cell r="H7">
            <v>39</v>
          </cell>
          <cell r="J7">
            <v>5000</v>
          </cell>
          <cell r="K7">
            <v>7</v>
          </cell>
          <cell r="L7">
            <v>5000</v>
          </cell>
        </row>
        <row r="8">
          <cell r="D8">
            <v>164</v>
          </cell>
          <cell r="G8">
            <v>1000</v>
          </cell>
          <cell r="H8">
            <v>83</v>
          </cell>
          <cell r="J8">
            <v>5000</v>
          </cell>
          <cell r="K8">
            <v>7</v>
          </cell>
          <cell r="L8">
            <v>5000</v>
          </cell>
        </row>
        <row r="9">
          <cell r="D9">
            <v>289</v>
          </cell>
          <cell r="G9">
            <v>1000</v>
          </cell>
          <cell r="H9">
            <v>128</v>
          </cell>
          <cell r="J9">
            <v>5000</v>
          </cell>
          <cell r="K9">
            <v>25</v>
          </cell>
          <cell r="L9">
            <v>5000</v>
          </cell>
        </row>
        <row r="10">
          <cell r="D10">
            <v>448</v>
          </cell>
          <cell r="G10">
            <v>1000</v>
          </cell>
          <cell r="H10">
            <v>166</v>
          </cell>
          <cell r="J10">
            <v>5000</v>
          </cell>
          <cell r="K10">
            <v>39</v>
          </cell>
          <cell r="L10">
            <v>5000</v>
          </cell>
        </row>
        <row r="11">
          <cell r="D11">
            <v>643</v>
          </cell>
          <cell r="G11">
            <v>999</v>
          </cell>
          <cell r="H11">
            <v>202</v>
          </cell>
          <cell r="J11">
            <v>4990</v>
          </cell>
          <cell r="K11">
            <v>83</v>
          </cell>
          <cell r="L11">
            <v>5000</v>
          </cell>
        </row>
        <row r="12">
          <cell r="D12">
            <v>793</v>
          </cell>
          <cell r="G12">
            <v>1000</v>
          </cell>
          <cell r="H12">
            <v>175</v>
          </cell>
          <cell r="J12">
            <v>4998</v>
          </cell>
          <cell r="K12">
            <v>128</v>
          </cell>
          <cell r="L12">
            <v>5000</v>
          </cell>
        </row>
        <row r="13">
          <cell r="D13">
            <v>856</v>
          </cell>
          <cell r="G13">
            <v>1000</v>
          </cell>
          <cell r="H13">
            <v>102</v>
          </cell>
          <cell r="J13">
            <v>5000</v>
          </cell>
          <cell r="K13">
            <v>166</v>
          </cell>
          <cell r="L13">
            <v>5000</v>
          </cell>
        </row>
        <row r="14">
          <cell r="D14">
            <v>813</v>
          </cell>
          <cell r="G14">
            <v>999</v>
          </cell>
          <cell r="H14">
            <v>40</v>
          </cell>
          <cell r="J14">
            <v>4990</v>
          </cell>
          <cell r="K14">
            <v>202</v>
          </cell>
          <cell r="L14">
            <v>5000</v>
          </cell>
        </row>
        <row r="15">
          <cell r="D15">
            <v>699</v>
          </cell>
          <cell r="G15">
            <v>1000</v>
          </cell>
          <cell r="H15">
            <v>14</v>
          </cell>
          <cell r="J15">
            <v>4998</v>
          </cell>
          <cell r="K15">
            <v>175</v>
          </cell>
          <cell r="L15">
            <v>5000</v>
          </cell>
        </row>
        <row r="16">
          <cell r="D16">
            <v>536</v>
          </cell>
          <cell r="G16">
            <v>1000</v>
          </cell>
          <cell r="H16">
            <v>3</v>
          </cell>
          <cell r="J16">
            <v>5000</v>
          </cell>
          <cell r="K16">
            <v>102</v>
          </cell>
          <cell r="L16">
            <v>5000</v>
          </cell>
        </row>
        <row r="17">
          <cell r="D17">
            <v>335</v>
          </cell>
          <cell r="G17">
            <v>1000</v>
          </cell>
          <cell r="H17">
            <v>1</v>
          </cell>
          <cell r="J17">
            <v>4998</v>
          </cell>
          <cell r="K17">
            <v>40</v>
          </cell>
          <cell r="L17">
            <v>5000</v>
          </cell>
        </row>
        <row r="18">
          <cell r="D18">
            <v>161</v>
          </cell>
          <cell r="G18">
            <v>999</v>
          </cell>
          <cell r="H18">
            <v>1</v>
          </cell>
          <cell r="J18">
            <v>4986</v>
          </cell>
          <cell r="K18">
            <v>14</v>
          </cell>
          <cell r="L18">
            <v>5000</v>
          </cell>
        </row>
        <row r="19">
          <cell r="D19">
            <v>59</v>
          </cell>
          <cell r="G19">
            <v>1000</v>
          </cell>
          <cell r="H19">
            <v>0</v>
          </cell>
          <cell r="J19">
            <v>5000</v>
          </cell>
          <cell r="K19">
            <v>3</v>
          </cell>
          <cell r="L19">
            <v>5000</v>
          </cell>
        </row>
        <row r="20">
          <cell r="D20">
            <v>19</v>
          </cell>
          <cell r="G20">
            <v>1000</v>
          </cell>
          <cell r="H20">
            <v>0</v>
          </cell>
          <cell r="J20">
            <v>5000</v>
          </cell>
          <cell r="K20">
            <v>1</v>
          </cell>
          <cell r="L20">
            <v>5000</v>
          </cell>
        </row>
        <row r="21">
          <cell r="D21">
            <v>5</v>
          </cell>
          <cell r="G21">
            <v>1000</v>
          </cell>
          <cell r="H21">
            <v>0</v>
          </cell>
          <cell r="J21">
            <v>5000</v>
          </cell>
          <cell r="K21">
            <v>1</v>
          </cell>
          <cell r="L21">
            <v>5000</v>
          </cell>
        </row>
        <row r="22">
          <cell r="D22">
            <v>2</v>
          </cell>
          <cell r="G22">
            <v>1000</v>
          </cell>
          <cell r="H22">
            <v>0</v>
          </cell>
          <cell r="J22">
            <v>5000</v>
          </cell>
          <cell r="K22">
            <v>0</v>
          </cell>
          <cell r="L22">
            <v>5000</v>
          </cell>
        </row>
        <row r="23">
          <cell r="D23">
            <v>1</v>
          </cell>
          <cell r="G23">
            <v>1000</v>
          </cell>
          <cell r="H23">
            <v>0</v>
          </cell>
          <cell r="J23">
            <v>5000</v>
          </cell>
          <cell r="K23">
            <v>0</v>
          </cell>
          <cell r="L23">
            <v>5000</v>
          </cell>
        </row>
        <row r="24">
          <cell r="D24">
            <v>0</v>
          </cell>
          <cell r="G24">
            <v>1000</v>
          </cell>
          <cell r="H24">
            <v>0</v>
          </cell>
          <cell r="J24">
            <v>5000</v>
          </cell>
          <cell r="K24">
            <v>0</v>
          </cell>
          <cell r="L24">
            <v>5000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NavidAPI_sf_fb-data"/>
    </sheetNames>
    <sheetDataSet>
      <sheetData sheetId="0" refreshError="1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6</v>
          </cell>
          <cell r="G3">
            <v>1000</v>
          </cell>
          <cell r="H3">
            <v>4</v>
          </cell>
          <cell r="J3">
            <v>4998</v>
          </cell>
          <cell r="K3">
            <v>0</v>
          </cell>
          <cell r="L3">
            <v>5000</v>
          </cell>
        </row>
        <row r="4">
          <cell r="D4">
            <v>10</v>
          </cell>
          <cell r="G4">
            <v>1000</v>
          </cell>
          <cell r="H4">
            <v>4</v>
          </cell>
          <cell r="J4">
            <v>5000</v>
          </cell>
          <cell r="K4">
            <v>0</v>
          </cell>
          <cell r="L4">
            <v>5000</v>
          </cell>
        </row>
        <row r="5">
          <cell r="D5">
            <v>21</v>
          </cell>
          <cell r="G5">
            <v>998</v>
          </cell>
          <cell r="H5">
            <v>11</v>
          </cell>
          <cell r="J5">
            <v>4982</v>
          </cell>
          <cell r="K5">
            <v>2</v>
          </cell>
          <cell r="L5">
            <v>5000</v>
          </cell>
        </row>
        <row r="6">
          <cell r="D6">
            <v>37</v>
          </cell>
          <cell r="G6">
            <v>994</v>
          </cell>
          <cell r="H6">
            <v>16</v>
          </cell>
          <cell r="J6">
            <v>4940</v>
          </cell>
          <cell r="K6">
            <v>4</v>
          </cell>
          <cell r="L6">
            <v>5000</v>
          </cell>
        </row>
        <row r="7">
          <cell r="D7">
            <v>66</v>
          </cell>
          <cell r="G7">
            <v>990</v>
          </cell>
          <cell r="H7">
            <v>29</v>
          </cell>
          <cell r="J7">
            <v>4886</v>
          </cell>
          <cell r="K7">
            <v>4</v>
          </cell>
          <cell r="L7">
            <v>5000</v>
          </cell>
        </row>
        <row r="8">
          <cell r="D8">
            <v>101</v>
          </cell>
          <cell r="G8">
            <v>979</v>
          </cell>
          <cell r="H8">
            <v>37</v>
          </cell>
          <cell r="J8">
            <v>4776</v>
          </cell>
          <cell r="K8">
            <v>11</v>
          </cell>
          <cell r="L8">
            <v>5000</v>
          </cell>
        </row>
        <row r="9">
          <cell r="D9">
            <v>154</v>
          </cell>
          <cell r="G9">
            <v>965</v>
          </cell>
          <cell r="H9">
            <v>57</v>
          </cell>
          <cell r="J9">
            <v>4652</v>
          </cell>
          <cell r="K9">
            <v>16</v>
          </cell>
          <cell r="L9">
            <v>5000</v>
          </cell>
        </row>
        <row r="10">
          <cell r="D10">
            <v>212</v>
          </cell>
          <cell r="G10">
            <v>940</v>
          </cell>
          <cell r="H10">
            <v>62</v>
          </cell>
          <cell r="J10">
            <v>4406</v>
          </cell>
          <cell r="K10">
            <v>29</v>
          </cell>
          <cell r="L10">
            <v>5000</v>
          </cell>
        </row>
        <row r="11">
          <cell r="D11">
            <v>273</v>
          </cell>
          <cell r="G11">
            <v>907</v>
          </cell>
          <cell r="H11">
            <v>72</v>
          </cell>
          <cell r="J11">
            <v>4100</v>
          </cell>
          <cell r="K11">
            <v>37</v>
          </cell>
          <cell r="L11">
            <v>5000</v>
          </cell>
        </row>
        <row r="12">
          <cell r="D12">
            <v>344</v>
          </cell>
          <cell r="G12">
            <v>861</v>
          </cell>
          <cell r="H12">
            <v>87</v>
          </cell>
          <cell r="J12">
            <v>3710</v>
          </cell>
          <cell r="K12">
            <v>57</v>
          </cell>
          <cell r="L12">
            <v>5000</v>
          </cell>
        </row>
        <row r="13">
          <cell r="D13">
            <v>397</v>
          </cell>
          <cell r="G13">
            <v>815</v>
          </cell>
          <cell r="H13">
            <v>82</v>
          </cell>
          <cell r="J13">
            <v>3332</v>
          </cell>
          <cell r="K13">
            <v>62</v>
          </cell>
          <cell r="L13">
            <v>5000</v>
          </cell>
        </row>
        <row r="14">
          <cell r="D14">
            <v>449</v>
          </cell>
          <cell r="G14">
            <v>772</v>
          </cell>
          <cell r="H14">
            <v>89</v>
          </cell>
          <cell r="J14">
            <v>2990</v>
          </cell>
          <cell r="K14">
            <v>72</v>
          </cell>
          <cell r="L14">
            <v>5000</v>
          </cell>
        </row>
        <row r="15">
          <cell r="D15">
            <v>466</v>
          </cell>
          <cell r="G15">
            <v>723</v>
          </cell>
          <cell r="H15">
            <v>74</v>
          </cell>
          <cell r="J15">
            <v>2600</v>
          </cell>
          <cell r="K15">
            <v>87</v>
          </cell>
          <cell r="L15">
            <v>5000</v>
          </cell>
        </row>
        <row r="16">
          <cell r="D16">
            <v>456</v>
          </cell>
          <cell r="G16">
            <v>697</v>
          </cell>
          <cell r="H16">
            <v>52</v>
          </cell>
          <cell r="J16">
            <v>2410</v>
          </cell>
          <cell r="K16">
            <v>82</v>
          </cell>
          <cell r="L16">
            <v>5000</v>
          </cell>
        </row>
        <row r="17">
          <cell r="D17">
            <v>427</v>
          </cell>
          <cell r="G17">
            <v>670</v>
          </cell>
          <cell r="H17">
            <v>43</v>
          </cell>
          <cell r="J17">
            <v>2240</v>
          </cell>
          <cell r="K17">
            <v>89</v>
          </cell>
          <cell r="L17">
            <v>5000</v>
          </cell>
        </row>
        <row r="18">
          <cell r="D18">
            <v>362</v>
          </cell>
          <cell r="G18">
            <v>668</v>
          </cell>
          <cell r="H18">
            <v>22</v>
          </cell>
          <cell r="J18">
            <v>2232</v>
          </cell>
          <cell r="K18">
            <v>74</v>
          </cell>
          <cell r="L18">
            <v>5000</v>
          </cell>
        </row>
        <row r="19">
          <cell r="D19">
            <v>298</v>
          </cell>
          <cell r="G19">
            <v>703</v>
          </cell>
          <cell r="H19">
            <v>18</v>
          </cell>
          <cell r="J19">
            <v>2464</v>
          </cell>
          <cell r="K19">
            <v>52</v>
          </cell>
          <cell r="L19">
            <v>5000</v>
          </cell>
        </row>
        <row r="20">
          <cell r="D20">
            <v>216</v>
          </cell>
          <cell r="G20">
            <v>742</v>
          </cell>
          <cell r="H20">
            <v>7</v>
          </cell>
          <cell r="J20">
            <v>2752</v>
          </cell>
          <cell r="K20">
            <v>43</v>
          </cell>
          <cell r="L20">
            <v>5000</v>
          </cell>
        </row>
        <row r="21">
          <cell r="D21">
            <v>148</v>
          </cell>
          <cell r="G21">
            <v>809</v>
          </cell>
          <cell r="H21">
            <v>6</v>
          </cell>
          <cell r="J21">
            <v>3272</v>
          </cell>
          <cell r="K21">
            <v>22</v>
          </cell>
          <cell r="L21">
            <v>5000</v>
          </cell>
        </row>
        <row r="22">
          <cell r="D22">
            <v>100</v>
          </cell>
          <cell r="G22">
            <v>865</v>
          </cell>
          <cell r="H22">
            <v>4</v>
          </cell>
          <cell r="J22">
            <v>3716</v>
          </cell>
          <cell r="K22">
            <v>18</v>
          </cell>
          <cell r="L22">
            <v>5000</v>
          </cell>
        </row>
        <row r="23">
          <cell r="D23">
            <v>58</v>
          </cell>
          <cell r="G23">
            <v>910</v>
          </cell>
          <cell r="H23">
            <v>1</v>
          </cell>
          <cell r="J23">
            <v>4124</v>
          </cell>
          <cell r="K23">
            <v>7</v>
          </cell>
          <cell r="L23">
            <v>5000</v>
          </cell>
        </row>
        <row r="24">
          <cell r="D24">
            <v>36</v>
          </cell>
          <cell r="G24">
            <v>947</v>
          </cell>
          <cell r="H24">
            <v>0</v>
          </cell>
          <cell r="J24">
            <v>4484</v>
          </cell>
          <cell r="K24">
            <v>6</v>
          </cell>
          <cell r="L24">
            <v>5000</v>
          </cell>
        </row>
        <row r="25">
          <cell r="D25">
            <v>19</v>
          </cell>
          <cell r="G25">
            <v>965</v>
          </cell>
          <cell r="H25">
            <v>1</v>
          </cell>
          <cell r="J25">
            <v>4666</v>
          </cell>
          <cell r="K25">
            <v>4</v>
          </cell>
          <cell r="L25">
            <v>5000</v>
          </cell>
        </row>
        <row r="26">
          <cell r="D26">
            <v>13</v>
          </cell>
          <cell r="G26">
            <v>982</v>
          </cell>
          <cell r="H26">
            <v>1</v>
          </cell>
          <cell r="J26">
            <v>4808</v>
          </cell>
          <cell r="K26">
            <v>1</v>
          </cell>
          <cell r="L26">
            <v>5000</v>
          </cell>
        </row>
        <row r="27">
          <cell r="D27">
            <v>9</v>
          </cell>
          <cell r="G27">
            <v>989</v>
          </cell>
          <cell r="H27">
            <v>2</v>
          </cell>
          <cell r="J27">
            <v>4894</v>
          </cell>
          <cell r="K27">
            <v>0</v>
          </cell>
          <cell r="L27">
            <v>5000</v>
          </cell>
        </row>
        <row r="28">
          <cell r="D28">
            <v>5</v>
          </cell>
          <cell r="G28">
            <v>994</v>
          </cell>
          <cell r="H28">
            <v>0</v>
          </cell>
          <cell r="J28">
            <v>4946</v>
          </cell>
          <cell r="K28">
            <v>1</v>
          </cell>
          <cell r="L28">
            <v>5000</v>
          </cell>
        </row>
        <row r="29">
          <cell r="D29">
            <v>4</v>
          </cell>
          <cell r="G29">
            <v>997</v>
          </cell>
          <cell r="H29">
            <v>0</v>
          </cell>
          <cell r="J29">
            <v>4968</v>
          </cell>
          <cell r="K29">
            <v>1</v>
          </cell>
          <cell r="L29">
            <v>5000</v>
          </cell>
        </row>
        <row r="30">
          <cell r="D30">
            <v>4</v>
          </cell>
          <cell r="G30">
            <v>997</v>
          </cell>
          <cell r="H30">
            <v>0</v>
          </cell>
          <cell r="J30">
            <v>4968</v>
          </cell>
          <cell r="K30">
            <v>2</v>
          </cell>
          <cell r="L30">
            <v>5000</v>
          </cell>
        </row>
        <row r="31">
          <cell r="D31">
            <v>3</v>
          </cell>
          <cell r="G31">
            <v>996</v>
          </cell>
          <cell r="H31">
            <v>0</v>
          </cell>
          <cell r="J31">
            <v>4962</v>
          </cell>
          <cell r="K31">
            <v>0</v>
          </cell>
          <cell r="L31">
            <v>5000</v>
          </cell>
        </row>
        <row r="32">
          <cell r="D32">
            <v>2</v>
          </cell>
          <cell r="G32">
            <v>997</v>
          </cell>
          <cell r="H32">
            <v>0</v>
          </cell>
          <cell r="J32">
            <v>4964</v>
          </cell>
          <cell r="K32">
            <v>0</v>
          </cell>
          <cell r="L32">
            <v>5000</v>
          </cell>
        </row>
        <row r="33">
          <cell r="D33">
            <v>0</v>
          </cell>
          <cell r="G33">
            <v>999</v>
          </cell>
          <cell r="H33">
            <v>0</v>
          </cell>
          <cell r="J33">
            <v>4994</v>
          </cell>
          <cell r="K33">
            <v>0</v>
          </cell>
          <cell r="L33">
            <v>5000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savannah_sf_fb-data"/>
    </sheetNames>
    <sheetDataSet>
      <sheetData sheetId="0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4</v>
          </cell>
          <cell r="G3">
            <v>1000</v>
          </cell>
          <cell r="H3">
            <v>2</v>
          </cell>
          <cell r="J3">
            <v>4996</v>
          </cell>
          <cell r="K3">
            <v>0</v>
          </cell>
          <cell r="L3">
            <v>5000</v>
          </cell>
        </row>
        <row r="4">
          <cell r="D4">
            <v>12</v>
          </cell>
          <cell r="G4">
            <v>1000</v>
          </cell>
          <cell r="H4">
            <v>8</v>
          </cell>
          <cell r="J4">
            <v>5000</v>
          </cell>
          <cell r="K4">
            <v>0</v>
          </cell>
          <cell r="L4">
            <v>5000</v>
          </cell>
        </row>
        <row r="5">
          <cell r="D5">
            <v>17</v>
          </cell>
          <cell r="G5">
            <v>998</v>
          </cell>
          <cell r="H5">
            <v>5</v>
          </cell>
          <cell r="J5">
            <v>4984</v>
          </cell>
          <cell r="K5">
            <v>2</v>
          </cell>
          <cell r="L5">
            <v>5000</v>
          </cell>
        </row>
        <row r="6">
          <cell r="D6">
            <v>26</v>
          </cell>
          <cell r="G6">
            <v>996</v>
          </cell>
          <cell r="H6">
            <v>9</v>
          </cell>
          <cell r="J6">
            <v>4954</v>
          </cell>
          <cell r="K6">
            <v>2</v>
          </cell>
          <cell r="L6">
            <v>5000</v>
          </cell>
        </row>
        <row r="7">
          <cell r="D7">
            <v>40</v>
          </cell>
          <cell r="G7">
            <v>988</v>
          </cell>
          <cell r="H7">
            <v>14</v>
          </cell>
          <cell r="J7">
            <v>4882</v>
          </cell>
          <cell r="K7">
            <v>8</v>
          </cell>
          <cell r="L7">
            <v>5000</v>
          </cell>
        </row>
        <row r="8">
          <cell r="D8">
            <v>53</v>
          </cell>
          <cell r="G8">
            <v>983</v>
          </cell>
          <cell r="H8">
            <v>15</v>
          </cell>
          <cell r="J8">
            <v>4840</v>
          </cell>
          <cell r="K8">
            <v>5</v>
          </cell>
          <cell r="L8">
            <v>5000</v>
          </cell>
        </row>
        <row r="9">
          <cell r="D9">
            <v>79</v>
          </cell>
          <cell r="G9">
            <v>976</v>
          </cell>
          <cell r="H9">
            <v>28</v>
          </cell>
          <cell r="J9">
            <v>4752</v>
          </cell>
          <cell r="K9">
            <v>9</v>
          </cell>
          <cell r="L9">
            <v>5000</v>
          </cell>
        </row>
        <row r="10">
          <cell r="D10">
            <v>107</v>
          </cell>
          <cell r="G10">
            <v>964</v>
          </cell>
          <cell r="H10">
            <v>36</v>
          </cell>
          <cell r="J10">
            <v>4636</v>
          </cell>
          <cell r="K10">
            <v>14</v>
          </cell>
          <cell r="L10">
            <v>5000</v>
          </cell>
        </row>
        <row r="11">
          <cell r="D11">
            <v>152</v>
          </cell>
          <cell r="G11">
            <v>957</v>
          </cell>
          <cell r="H11">
            <v>50</v>
          </cell>
          <cell r="J11">
            <v>4584</v>
          </cell>
          <cell r="K11">
            <v>15</v>
          </cell>
          <cell r="L11">
            <v>5000</v>
          </cell>
        </row>
        <row r="12">
          <cell r="D12">
            <v>208</v>
          </cell>
          <cell r="G12">
            <v>934</v>
          </cell>
          <cell r="H12">
            <v>65</v>
          </cell>
          <cell r="J12">
            <v>4358</v>
          </cell>
          <cell r="K12">
            <v>28</v>
          </cell>
          <cell r="L12">
            <v>5000</v>
          </cell>
        </row>
        <row r="13">
          <cell r="D13">
            <v>269</v>
          </cell>
          <cell r="G13">
            <v>907</v>
          </cell>
          <cell r="H13">
            <v>75</v>
          </cell>
          <cell r="J13">
            <v>4116</v>
          </cell>
          <cell r="K13">
            <v>36</v>
          </cell>
          <cell r="L13">
            <v>5000</v>
          </cell>
        </row>
        <row r="14">
          <cell r="D14">
            <v>343</v>
          </cell>
          <cell r="G14">
            <v>871</v>
          </cell>
          <cell r="H14">
            <v>89</v>
          </cell>
          <cell r="J14">
            <v>3792</v>
          </cell>
          <cell r="K14">
            <v>50</v>
          </cell>
          <cell r="L14">
            <v>5000</v>
          </cell>
        </row>
        <row r="15">
          <cell r="D15">
            <v>410</v>
          </cell>
          <cell r="G15">
            <v>821</v>
          </cell>
          <cell r="H15">
            <v>95</v>
          </cell>
          <cell r="J15">
            <v>3372</v>
          </cell>
          <cell r="K15">
            <v>65</v>
          </cell>
          <cell r="L15">
            <v>5000</v>
          </cell>
        </row>
        <row r="16">
          <cell r="D16">
            <v>455</v>
          </cell>
          <cell r="G16">
            <v>774</v>
          </cell>
          <cell r="H16">
            <v>81</v>
          </cell>
          <cell r="J16">
            <v>3014</v>
          </cell>
          <cell r="K16">
            <v>75</v>
          </cell>
          <cell r="L16">
            <v>5000</v>
          </cell>
        </row>
        <row r="17">
          <cell r="D17">
            <v>472</v>
          </cell>
          <cell r="G17">
            <v>721</v>
          </cell>
          <cell r="H17">
            <v>67</v>
          </cell>
          <cell r="J17">
            <v>2608</v>
          </cell>
          <cell r="K17">
            <v>89</v>
          </cell>
          <cell r="L17">
            <v>5000</v>
          </cell>
        </row>
        <row r="18">
          <cell r="D18">
            <v>460</v>
          </cell>
          <cell r="G18">
            <v>676</v>
          </cell>
          <cell r="H18">
            <v>53</v>
          </cell>
          <cell r="J18">
            <v>2280</v>
          </cell>
          <cell r="K18">
            <v>95</v>
          </cell>
          <cell r="L18">
            <v>5000</v>
          </cell>
        </row>
        <row r="19">
          <cell r="D19">
            <v>419</v>
          </cell>
          <cell r="G19">
            <v>660</v>
          </cell>
          <cell r="H19">
            <v>34</v>
          </cell>
          <cell r="J19">
            <v>2182</v>
          </cell>
          <cell r="K19">
            <v>81</v>
          </cell>
          <cell r="L19">
            <v>5000</v>
          </cell>
        </row>
        <row r="20">
          <cell r="D20">
            <v>354</v>
          </cell>
          <cell r="G20">
            <v>668</v>
          </cell>
          <cell r="H20">
            <v>24</v>
          </cell>
          <cell r="J20">
            <v>2228</v>
          </cell>
          <cell r="K20">
            <v>67</v>
          </cell>
          <cell r="L20">
            <v>5000</v>
          </cell>
        </row>
        <row r="21">
          <cell r="D21">
            <v>274</v>
          </cell>
          <cell r="G21">
            <v>704</v>
          </cell>
          <cell r="H21">
            <v>15</v>
          </cell>
          <cell r="J21">
            <v>2494</v>
          </cell>
          <cell r="K21">
            <v>53</v>
          </cell>
          <cell r="L21">
            <v>5000</v>
          </cell>
        </row>
        <row r="22">
          <cell r="D22">
            <v>198</v>
          </cell>
          <cell r="G22">
            <v>765</v>
          </cell>
          <cell r="H22">
            <v>5</v>
          </cell>
          <cell r="J22">
            <v>2926</v>
          </cell>
          <cell r="K22">
            <v>34</v>
          </cell>
          <cell r="L22">
            <v>5000</v>
          </cell>
        </row>
        <row r="23">
          <cell r="D23">
            <v>135</v>
          </cell>
          <cell r="G23">
            <v>822</v>
          </cell>
          <cell r="H23">
            <v>4</v>
          </cell>
          <cell r="J23">
            <v>3374</v>
          </cell>
          <cell r="K23">
            <v>24</v>
          </cell>
          <cell r="L23">
            <v>5000</v>
          </cell>
        </row>
        <row r="24">
          <cell r="D24">
            <v>86</v>
          </cell>
          <cell r="G24">
            <v>874</v>
          </cell>
          <cell r="H24">
            <v>4</v>
          </cell>
          <cell r="J24">
            <v>3806</v>
          </cell>
          <cell r="K24">
            <v>15</v>
          </cell>
          <cell r="L24">
            <v>5000</v>
          </cell>
        </row>
        <row r="25">
          <cell r="D25">
            <v>53</v>
          </cell>
          <cell r="G25">
            <v>922</v>
          </cell>
          <cell r="H25">
            <v>1</v>
          </cell>
          <cell r="J25">
            <v>4286</v>
          </cell>
          <cell r="K25">
            <v>5</v>
          </cell>
          <cell r="L25">
            <v>5000</v>
          </cell>
        </row>
        <row r="26">
          <cell r="D26">
            <v>29</v>
          </cell>
          <cell r="G26">
            <v>952</v>
          </cell>
          <cell r="H26">
            <v>0</v>
          </cell>
          <cell r="J26">
            <v>4564</v>
          </cell>
          <cell r="K26">
            <v>4</v>
          </cell>
          <cell r="L26">
            <v>5000</v>
          </cell>
        </row>
        <row r="27">
          <cell r="D27">
            <v>14</v>
          </cell>
          <cell r="G27">
            <v>972</v>
          </cell>
          <cell r="H27">
            <v>0</v>
          </cell>
          <cell r="J27">
            <v>4726</v>
          </cell>
          <cell r="K27">
            <v>4</v>
          </cell>
          <cell r="L27">
            <v>5000</v>
          </cell>
        </row>
        <row r="28">
          <cell r="D28">
            <v>9</v>
          </cell>
          <cell r="G28">
            <v>986</v>
          </cell>
          <cell r="H28">
            <v>0</v>
          </cell>
          <cell r="J28">
            <v>4848</v>
          </cell>
          <cell r="K28">
            <v>1</v>
          </cell>
          <cell r="L28">
            <v>5000</v>
          </cell>
        </row>
        <row r="29">
          <cell r="D29">
            <v>5</v>
          </cell>
          <cell r="G29">
            <v>991</v>
          </cell>
          <cell r="H29">
            <v>0</v>
          </cell>
          <cell r="J29">
            <v>4914</v>
          </cell>
          <cell r="K29">
            <v>0</v>
          </cell>
          <cell r="L29">
            <v>5000</v>
          </cell>
        </row>
        <row r="30">
          <cell r="D30">
            <v>1</v>
          </cell>
          <cell r="G30">
            <v>995</v>
          </cell>
          <cell r="H30">
            <v>0</v>
          </cell>
          <cell r="J30">
            <v>4928</v>
          </cell>
          <cell r="K30">
            <v>0</v>
          </cell>
          <cell r="L30">
            <v>5000</v>
          </cell>
        </row>
        <row r="31">
          <cell r="D31">
            <v>0</v>
          </cell>
          <cell r="G31">
            <v>999</v>
          </cell>
          <cell r="H31">
            <v>0</v>
          </cell>
          <cell r="J31">
            <v>4988</v>
          </cell>
          <cell r="K31">
            <v>0</v>
          </cell>
          <cell r="L31">
            <v>5000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MitchellAPI_sf_fb-data"/>
    </sheetNames>
    <sheetDataSet>
      <sheetData sheetId="0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4</v>
          </cell>
          <cell r="G3">
            <v>1000</v>
          </cell>
          <cell r="H3">
            <v>2</v>
          </cell>
          <cell r="J3">
            <v>4996</v>
          </cell>
          <cell r="K3">
            <v>0</v>
          </cell>
          <cell r="L3">
            <v>5000</v>
          </cell>
        </row>
        <row r="4">
          <cell r="D4">
            <v>7</v>
          </cell>
          <cell r="G4">
            <v>1000</v>
          </cell>
          <cell r="H4">
            <v>3</v>
          </cell>
          <cell r="J4">
            <v>4998</v>
          </cell>
          <cell r="K4">
            <v>0</v>
          </cell>
          <cell r="L4">
            <v>5000</v>
          </cell>
        </row>
        <row r="5">
          <cell r="D5">
            <v>11</v>
          </cell>
          <cell r="G5">
            <v>998</v>
          </cell>
          <cell r="H5">
            <v>4</v>
          </cell>
          <cell r="J5">
            <v>4976</v>
          </cell>
          <cell r="K5">
            <v>2</v>
          </cell>
          <cell r="L5">
            <v>5000</v>
          </cell>
        </row>
        <row r="6">
          <cell r="D6">
            <v>19</v>
          </cell>
          <cell r="G6">
            <v>996</v>
          </cell>
          <cell r="H6">
            <v>8</v>
          </cell>
          <cell r="J6">
            <v>4948</v>
          </cell>
          <cell r="K6">
            <v>2</v>
          </cell>
          <cell r="L6">
            <v>5000</v>
          </cell>
        </row>
        <row r="7">
          <cell r="D7">
            <v>30</v>
          </cell>
          <cell r="G7">
            <v>993</v>
          </cell>
          <cell r="H7">
            <v>11</v>
          </cell>
          <cell r="J7">
            <v>4938</v>
          </cell>
          <cell r="K7">
            <v>3</v>
          </cell>
          <cell r="L7">
            <v>5000</v>
          </cell>
        </row>
        <row r="8">
          <cell r="D8">
            <v>47</v>
          </cell>
          <cell r="G8">
            <v>989</v>
          </cell>
          <cell r="H8">
            <v>19</v>
          </cell>
          <cell r="J8">
            <v>4872</v>
          </cell>
          <cell r="K8">
            <v>4</v>
          </cell>
          <cell r="L8">
            <v>5000</v>
          </cell>
        </row>
        <row r="9">
          <cell r="D9">
            <v>64</v>
          </cell>
          <cell r="G9">
            <v>983</v>
          </cell>
          <cell r="H9">
            <v>19</v>
          </cell>
          <cell r="J9">
            <v>4838</v>
          </cell>
          <cell r="K9">
            <v>8</v>
          </cell>
          <cell r="L9">
            <v>5000</v>
          </cell>
        </row>
        <row r="10">
          <cell r="D10">
            <v>94</v>
          </cell>
          <cell r="G10">
            <v>975</v>
          </cell>
          <cell r="H10">
            <v>33</v>
          </cell>
          <cell r="J10">
            <v>4750</v>
          </cell>
          <cell r="K10">
            <v>11</v>
          </cell>
          <cell r="L10">
            <v>5000</v>
          </cell>
        </row>
        <row r="11">
          <cell r="D11">
            <v>132</v>
          </cell>
          <cell r="G11">
            <v>958</v>
          </cell>
          <cell r="H11">
            <v>42</v>
          </cell>
          <cell r="J11">
            <v>4572</v>
          </cell>
          <cell r="K11">
            <v>19</v>
          </cell>
          <cell r="L11">
            <v>5000</v>
          </cell>
        </row>
        <row r="12">
          <cell r="D12">
            <v>183</v>
          </cell>
          <cell r="G12">
            <v>943</v>
          </cell>
          <cell r="H12">
            <v>59</v>
          </cell>
          <cell r="J12">
            <v>4432</v>
          </cell>
          <cell r="K12">
            <v>19</v>
          </cell>
          <cell r="L12">
            <v>5000</v>
          </cell>
        </row>
        <row r="13">
          <cell r="D13">
            <v>231</v>
          </cell>
          <cell r="G13">
            <v>919</v>
          </cell>
          <cell r="H13">
            <v>59</v>
          </cell>
          <cell r="J13">
            <v>4216</v>
          </cell>
          <cell r="K13">
            <v>33</v>
          </cell>
          <cell r="L13">
            <v>5000</v>
          </cell>
        </row>
        <row r="14">
          <cell r="D14">
            <v>296</v>
          </cell>
          <cell r="G14">
            <v>887</v>
          </cell>
          <cell r="H14">
            <v>84</v>
          </cell>
          <cell r="J14">
            <v>3916</v>
          </cell>
          <cell r="K14">
            <v>42</v>
          </cell>
          <cell r="L14">
            <v>5000</v>
          </cell>
        </row>
        <row r="15">
          <cell r="D15">
            <v>363</v>
          </cell>
          <cell r="G15">
            <v>847</v>
          </cell>
          <cell r="H15">
            <v>86</v>
          </cell>
          <cell r="J15">
            <v>3580</v>
          </cell>
          <cell r="K15">
            <v>59</v>
          </cell>
          <cell r="L15">
            <v>5000</v>
          </cell>
        </row>
        <row r="16">
          <cell r="D16">
            <v>417</v>
          </cell>
          <cell r="G16">
            <v>807</v>
          </cell>
          <cell r="H16">
            <v>87</v>
          </cell>
          <cell r="J16">
            <v>3256</v>
          </cell>
          <cell r="K16">
            <v>59</v>
          </cell>
          <cell r="L16">
            <v>5000</v>
          </cell>
        </row>
        <row r="17">
          <cell r="D17">
            <v>451</v>
          </cell>
          <cell r="G17">
            <v>756</v>
          </cell>
          <cell r="H17">
            <v>76</v>
          </cell>
          <cell r="J17">
            <v>2850</v>
          </cell>
          <cell r="K17">
            <v>84</v>
          </cell>
          <cell r="L17">
            <v>5000</v>
          </cell>
        </row>
        <row r="18">
          <cell r="D18">
            <v>450</v>
          </cell>
          <cell r="G18">
            <v>712</v>
          </cell>
          <cell r="H18">
            <v>58</v>
          </cell>
          <cell r="J18">
            <v>2536</v>
          </cell>
          <cell r="K18">
            <v>86</v>
          </cell>
          <cell r="L18">
            <v>5000</v>
          </cell>
        </row>
        <row r="19">
          <cell r="D19">
            <v>434</v>
          </cell>
          <cell r="G19">
            <v>684</v>
          </cell>
          <cell r="H19">
            <v>43</v>
          </cell>
          <cell r="J19">
            <v>2322</v>
          </cell>
          <cell r="K19">
            <v>87</v>
          </cell>
          <cell r="L19">
            <v>5000</v>
          </cell>
        </row>
        <row r="20">
          <cell r="D20">
            <v>378</v>
          </cell>
          <cell r="G20">
            <v>667</v>
          </cell>
          <cell r="H20">
            <v>28</v>
          </cell>
          <cell r="J20">
            <v>2210</v>
          </cell>
          <cell r="K20">
            <v>76</v>
          </cell>
          <cell r="L20">
            <v>5000</v>
          </cell>
        </row>
        <row r="21">
          <cell r="D21">
            <v>311</v>
          </cell>
          <cell r="G21">
            <v>693</v>
          </cell>
          <cell r="H21">
            <v>19</v>
          </cell>
          <cell r="J21">
            <v>2386</v>
          </cell>
          <cell r="K21">
            <v>58</v>
          </cell>
          <cell r="L21">
            <v>5000</v>
          </cell>
        </row>
        <row r="22">
          <cell r="D22">
            <v>234</v>
          </cell>
          <cell r="G22">
            <v>738</v>
          </cell>
          <cell r="H22">
            <v>10</v>
          </cell>
          <cell r="J22">
            <v>2724</v>
          </cell>
          <cell r="K22">
            <v>43</v>
          </cell>
          <cell r="L22">
            <v>5000</v>
          </cell>
        </row>
        <row r="23">
          <cell r="D23">
            <v>169</v>
          </cell>
          <cell r="G23">
            <v>796</v>
          </cell>
          <cell r="H23">
            <v>11</v>
          </cell>
          <cell r="J23">
            <v>3170</v>
          </cell>
          <cell r="K23">
            <v>28</v>
          </cell>
          <cell r="L23">
            <v>5000</v>
          </cell>
        </row>
        <row r="24">
          <cell r="D24">
            <v>115</v>
          </cell>
          <cell r="G24">
            <v>852</v>
          </cell>
          <cell r="H24">
            <v>4</v>
          </cell>
          <cell r="J24">
            <v>3636</v>
          </cell>
          <cell r="K24">
            <v>19</v>
          </cell>
          <cell r="L24">
            <v>5000</v>
          </cell>
        </row>
        <row r="25">
          <cell r="D25">
            <v>75</v>
          </cell>
          <cell r="G25">
            <v>901</v>
          </cell>
          <cell r="H25">
            <v>3</v>
          </cell>
          <cell r="J25">
            <v>4040</v>
          </cell>
          <cell r="K25">
            <v>10</v>
          </cell>
          <cell r="L25">
            <v>5000</v>
          </cell>
        </row>
        <row r="26">
          <cell r="D26">
            <v>49</v>
          </cell>
          <cell r="G26">
            <v>932</v>
          </cell>
          <cell r="H26">
            <v>2</v>
          </cell>
          <cell r="J26">
            <v>4324</v>
          </cell>
          <cell r="K26">
            <v>11</v>
          </cell>
          <cell r="L26">
            <v>5000</v>
          </cell>
        </row>
        <row r="27">
          <cell r="D27">
            <v>31</v>
          </cell>
          <cell r="G27">
            <v>956</v>
          </cell>
          <cell r="H27">
            <v>1</v>
          </cell>
          <cell r="J27">
            <v>4580</v>
          </cell>
          <cell r="K27">
            <v>4</v>
          </cell>
          <cell r="L27">
            <v>5000</v>
          </cell>
        </row>
        <row r="28">
          <cell r="D28">
            <v>21</v>
          </cell>
          <cell r="G28">
            <v>972</v>
          </cell>
          <cell r="H28">
            <v>0</v>
          </cell>
          <cell r="J28">
            <v>4712</v>
          </cell>
          <cell r="K28">
            <v>3</v>
          </cell>
          <cell r="L28">
            <v>5000</v>
          </cell>
        </row>
        <row r="29">
          <cell r="D29">
            <v>10</v>
          </cell>
          <cell r="G29">
            <v>980</v>
          </cell>
          <cell r="H29">
            <v>0</v>
          </cell>
          <cell r="J29">
            <v>4790</v>
          </cell>
          <cell r="K29">
            <v>2</v>
          </cell>
          <cell r="L29">
            <v>5000</v>
          </cell>
        </row>
        <row r="30">
          <cell r="D30">
            <v>6</v>
          </cell>
          <cell r="G30">
            <v>990</v>
          </cell>
          <cell r="H30">
            <v>0</v>
          </cell>
          <cell r="J30">
            <v>4898</v>
          </cell>
          <cell r="K30">
            <v>1</v>
          </cell>
          <cell r="L30">
            <v>5000</v>
          </cell>
        </row>
        <row r="31">
          <cell r="D31">
            <v>3</v>
          </cell>
          <cell r="G31">
            <v>994</v>
          </cell>
          <cell r="H31">
            <v>0</v>
          </cell>
          <cell r="J31">
            <v>4938</v>
          </cell>
          <cell r="K31">
            <v>0</v>
          </cell>
          <cell r="L31">
            <v>5000</v>
          </cell>
        </row>
        <row r="32">
          <cell r="D32">
            <v>1</v>
          </cell>
          <cell r="G32">
            <v>997</v>
          </cell>
          <cell r="H32">
            <v>0</v>
          </cell>
          <cell r="J32">
            <v>4968</v>
          </cell>
          <cell r="K32">
            <v>0</v>
          </cell>
          <cell r="L32">
            <v>5000</v>
          </cell>
        </row>
        <row r="33">
          <cell r="D33">
            <v>0</v>
          </cell>
          <cell r="G33">
            <v>999</v>
          </cell>
          <cell r="H33">
            <v>0</v>
          </cell>
          <cell r="J33">
            <v>4982</v>
          </cell>
          <cell r="K33">
            <v>0</v>
          </cell>
          <cell r="L33">
            <v>5000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RandiAPI_sf_fb-data"/>
    </sheetNames>
    <sheetDataSet>
      <sheetData sheetId="0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2</v>
          </cell>
          <cell r="G3">
            <v>1000</v>
          </cell>
          <cell r="H3">
            <v>0</v>
          </cell>
          <cell r="J3">
            <v>5000</v>
          </cell>
          <cell r="K3">
            <v>0</v>
          </cell>
          <cell r="L3">
            <v>5000</v>
          </cell>
        </row>
        <row r="4">
          <cell r="D4">
            <v>2</v>
          </cell>
          <cell r="G4">
            <v>1000</v>
          </cell>
          <cell r="H4">
            <v>0</v>
          </cell>
          <cell r="J4">
            <v>4998</v>
          </cell>
          <cell r="K4">
            <v>0</v>
          </cell>
          <cell r="L4">
            <v>5000</v>
          </cell>
        </row>
        <row r="5">
          <cell r="D5">
            <v>2</v>
          </cell>
          <cell r="G5">
            <v>998</v>
          </cell>
          <cell r="H5">
            <v>0</v>
          </cell>
          <cell r="J5">
            <v>4982</v>
          </cell>
          <cell r="K5">
            <v>2</v>
          </cell>
          <cell r="L5">
            <v>5000</v>
          </cell>
        </row>
        <row r="6">
          <cell r="D6">
            <v>2</v>
          </cell>
          <cell r="G6">
            <v>998</v>
          </cell>
          <cell r="H6">
            <v>0</v>
          </cell>
          <cell r="J6">
            <v>4984</v>
          </cell>
          <cell r="K6">
            <v>0</v>
          </cell>
          <cell r="L6">
            <v>5000</v>
          </cell>
        </row>
        <row r="7">
          <cell r="D7">
            <v>2</v>
          </cell>
          <cell r="G7">
            <v>998</v>
          </cell>
          <cell r="H7">
            <v>0</v>
          </cell>
          <cell r="J7">
            <v>4980</v>
          </cell>
          <cell r="K7">
            <v>0</v>
          </cell>
          <cell r="L7">
            <v>5000</v>
          </cell>
        </row>
        <row r="8">
          <cell r="D8">
            <v>0</v>
          </cell>
          <cell r="G8">
            <v>998</v>
          </cell>
          <cell r="H8">
            <v>0</v>
          </cell>
          <cell r="J8">
            <v>4978</v>
          </cell>
          <cell r="K8">
            <v>0</v>
          </cell>
          <cell r="L8">
            <v>5000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Terry_sf_fb-data"/>
    </sheetNames>
    <sheetDataSet>
      <sheetData sheetId="0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5</v>
          </cell>
          <cell r="G3">
            <v>1000</v>
          </cell>
          <cell r="H3">
            <v>3</v>
          </cell>
          <cell r="J3">
            <v>5000</v>
          </cell>
          <cell r="K3">
            <v>0</v>
          </cell>
          <cell r="L3">
            <v>5000</v>
          </cell>
        </row>
        <row r="4">
          <cell r="D4">
            <v>11</v>
          </cell>
          <cell r="G4">
            <v>1000</v>
          </cell>
          <cell r="H4">
            <v>6</v>
          </cell>
          <cell r="J4">
            <v>4998</v>
          </cell>
          <cell r="K4">
            <v>0</v>
          </cell>
          <cell r="L4">
            <v>5000</v>
          </cell>
        </row>
        <row r="5">
          <cell r="D5">
            <v>18</v>
          </cell>
          <cell r="G5">
            <v>998</v>
          </cell>
          <cell r="H5">
            <v>7</v>
          </cell>
          <cell r="J5">
            <v>4978</v>
          </cell>
          <cell r="K5">
            <v>2</v>
          </cell>
          <cell r="L5">
            <v>5000</v>
          </cell>
        </row>
        <row r="6">
          <cell r="D6">
            <v>25</v>
          </cell>
          <cell r="G6">
            <v>995</v>
          </cell>
          <cell r="H6">
            <v>7</v>
          </cell>
          <cell r="J6">
            <v>4954</v>
          </cell>
          <cell r="K6">
            <v>3</v>
          </cell>
          <cell r="L6">
            <v>5000</v>
          </cell>
        </row>
        <row r="7">
          <cell r="D7">
            <v>41</v>
          </cell>
          <cell r="G7">
            <v>989</v>
          </cell>
          <cell r="H7">
            <v>16</v>
          </cell>
          <cell r="J7">
            <v>4912</v>
          </cell>
          <cell r="K7">
            <v>6</v>
          </cell>
          <cell r="L7">
            <v>5000</v>
          </cell>
        </row>
        <row r="8">
          <cell r="D8">
            <v>64</v>
          </cell>
          <cell r="G8">
            <v>982</v>
          </cell>
          <cell r="H8">
            <v>25</v>
          </cell>
          <cell r="J8">
            <v>4818</v>
          </cell>
          <cell r="K8">
            <v>7</v>
          </cell>
          <cell r="L8">
            <v>5000</v>
          </cell>
        </row>
        <row r="9">
          <cell r="D9">
            <v>101</v>
          </cell>
          <cell r="G9">
            <v>977</v>
          </cell>
          <cell r="H9">
            <v>40</v>
          </cell>
          <cell r="J9">
            <v>4770</v>
          </cell>
          <cell r="K9">
            <v>7</v>
          </cell>
          <cell r="L9">
            <v>5000</v>
          </cell>
        </row>
        <row r="10">
          <cell r="D10">
            <v>155</v>
          </cell>
          <cell r="G10">
            <v>964</v>
          </cell>
          <cell r="H10">
            <v>60</v>
          </cell>
          <cell r="J10">
            <v>4642</v>
          </cell>
          <cell r="K10">
            <v>16</v>
          </cell>
          <cell r="L10">
            <v>5000</v>
          </cell>
        </row>
        <row r="11">
          <cell r="D11">
            <v>219</v>
          </cell>
          <cell r="G11">
            <v>945</v>
          </cell>
          <cell r="H11">
            <v>71</v>
          </cell>
          <cell r="J11">
            <v>4464</v>
          </cell>
          <cell r="K11">
            <v>25</v>
          </cell>
          <cell r="L11">
            <v>5000</v>
          </cell>
        </row>
        <row r="12">
          <cell r="D12">
            <v>316</v>
          </cell>
          <cell r="G12">
            <v>912</v>
          </cell>
          <cell r="H12">
            <v>104</v>
          </cell>
          <cell r="J12">
            <v>4192</v>
          </cell>
          <cell r="K12">
            <v>40</v>
          </cell>
          <cell r="L12">
            <v>5000</v>
          </cell>
        </row>
        <row r="13">
          <cell r="D13">
            <v>399</v>
          </cell>
          <cell r="G13">
            <v>860</v>
          </cell>
          <cell r="H13">
            <v>99</v>
          </cell>
          <cell r="J13">
            <v>3698</v>
          </cell>
          <cell r="K13">
            <v>60</v>
          </cell>
          <cell r="L13">
            <v>5000</v>
          </cell>
        </row>
        <row r="14">
          <cell r="D14">
            <v>466</v>
          </cell>
          <cell r="G14">
            <v>804</v>
          </cell>
          <cell r="H14">
            <v>92</v>
          </cell>
          <cell r="J14">
            <v>3238</v>
          </cell>
          <cell r="K14">
            <v>71</v>
          </cell>
          <cell r="L14">
            <v>5000</v>
          </cell>
        </row>
        <row r="15">
          <cell r="D15">
            <v>505</v>
          </cell>
          <cell r="G15">
            <v>725</v>
          </cell>
          <cell r="H15">
            <v>79</v>
          </cell>
          <cell r="J15">
            <v>2628</v>
          </cell>
          <cell r="K15">
            <v>104</v>
          </cell>
          <cell r="L15">
            <v>5000</v>
          </cell>
        </row>
        <row r="16">
          <cell r="D16">
            <v>490</v>
          </cell>
          <cell r="G16">
            <v>667</v>
          </cell>
          <cell r="H16">
            <v>45</v>
          </cell>
          <cell r="J16">
            <v>2218</v>
          </cell>
          <cell r="K16">
            <v>99</v>
          </cell>
          <cell r="L16">
            <v>5000</v>
          </cell>
        </row>
        <row r="17">
          <cell r="D17">
            <v>458</v>
          </cell>
          <cell r="G17">
            <v>634</v>
          </cell>
          <cell r="H17">
            <v>39</v>
          </cell>
          <cell r="J17">
            <v>2014</v>
          </cell>
          <cell r="K17">
            <v>92</v>
          </cell>
          <cell r="L17">
            <v>5000</v>
          </cell>
        </row>
        <row r="18">
          <cell r="D18">
            <v>373</v>
          </cell>
          <cell r="G18">
            <v>626</v>
          </cell>
          <cell r="H18">
            <v>19</v>
          </cell>
          <cell r="J18">
            <v>1962</v>
          </cell>
          <cell r="K18">
            <v>79</v>
          </cell>
          <cell r="L18">
            <v>5000</v>
          </cell>
        </row>
        <row r="19">
          <cell r="D19">
            <v>289</v>
          </cell>
          <cell r="G19">
            <v>685</v>
          </cell>
          <cell r="H19">
            <v>15</v>
          </cell>
          <cell r="J19">
            <v>2356</v>
          </cell>
          <cell r="K19">
            <v>45</v>
          </cell>
          <cell r="L19">
            <v>5000</v>
          </cell>
        </row>
        <row r="20">
          <cell r="D20">
            <v>211</v>
          </cell>
          <cell r="G20">
            <v>745</v>
          </cell>
          <cell r="H20">
            <v>14</v>
          </cell>
          <cell r="J20">
            <v>2776</v>
          </cell>
          <cell r="K20">
            <v>39</v>
          </cell>
          <cell r="L20">
            <v>5000</v>
          </cell>
        </row>
        <row r="21">
          <cell r="D21">
            <v>138</v>
          </cell>
          <cell r="G21">
            <v>818</v>
          </cell>
          <cell r="H21">
            <v>6</v>
          </cell>
          <cell r="J21">
            <v>3346</v>
          </cell>
          <cell r="K21">
            <v>19</v>
          </cell>
          <cell r="L21">
            <v>5000</v>
          </cell>
        </row>
        <row r="22">
          <cell r="D22">
            <v>99</v>
          </cell>
          <cell r="G22">
            <v>882</v>
          </cell>
          <cell r="H22">
            <v>6</v>
          </cell>
          <cell r="J22">
            <v>3910</v>
          </cell>
          <cell r="K22">
            <v>15</v>
          </cell>
          <cell r="L22">
            <v>5000</v>
          </cell>
        </row>
        <row r="23">
          <cell r="D23">
            <v>63</v>
          </cell>
          <cell r="G23">
            <v>913</v>
          </cell>
          <cell r="H23">
            <v>3</v>
          </cell>
          <cell r="J23">
            <v>4154</v>
          </cell>
          <cell r="K23">
            <v>14</v>
          </cell>
          <cell r="L23">
            <v>5000</v>
          </cell>
        </row>
        <row r="24">
          <cell r="D24">
            <v>46</v>
          </cell>
          <cell r="G24">
            <v>946</v>
          </cell>
          <cell r="H24">
            <v>2</v>
          </cell>
          <cell r="J24">
            <v>4474</v>
          </cell>
          <cell r="K24">
            <v>6</v>
          </cell>
          <cell r="L24">
            <v>5000</v>
          </cell>
        </row>
        <row r="25">
          <cell r="D25">
            <v>32</v>
          </cell>
          <cell r="G25">
            <v>959</v>
          </cell>
          <cell r="H25">
            <v>1</v>
          </cell>
          <cell r="J25">
            <v>4606</v>
          </cell>
          <cell r="K25">
            <v>6</v>
          </cell>
          <cell r="L25">
            <v>5000</v>
          </cell>
        </row>
        <row r="26">
          <cell r="D26">
            <v>19</v>
          </cell>
          <cell r="G26">
            <v>971</v>
          </cell>
          <cell r="H26">
            <v>1</v>
          </cell>
          <cell r="J26">
            <v>4724</v>
          </cell>
          <cell r="K26">
            <v>3</v>
          </cell>
          <cell r="L26">
            <v>5000</v>
          </cell>
        </row>
        <row r="27">
          <cell r="D27">
            <v>13</v>
          </cell>
          <cell r="G27">
            <v>983</v>
          </cell>
          <cell r="H27">
            <v>0</v>
          </cell>
          <cell r="J27">
            <v>4820</v>
          </cell>
          <cell r="K27">
            <v>2</v>
          </cell>
          <cell r="L27">
            <v>5000</v>
          </cell>
        </row>
        <row r="28">
          <cell r="D28">
            <v>7</v>
          </cell>
          <cell r="G28">
            <v>988</v>
          </cell>
          <cell r="H28">
            <v>0</v>
          </cell>
          <cell r="J28">
            <v>4882</v>
          </cell>
          <cell r="K28">
            <v>1</v>
          </cell>
          <cell r="L28">
            <v>5000</v>
          </cell>
        </row>
        <row r="29">
          <cell r="D29">
            <v>4</v>
          </cell>
          <cell r="G29">
            <v>993</v>
          </cell>
          <cell r="H29">
            <v>0</v>
          </cell>
          <cell r="J29">
            <v>4930</v>
          </cell>
          <cell r="K29">
            <v>1</v>
          </cell>
          <cell r="L29">
            <v>5000</v>
          </cell>
        </row>
        <row r="30">
          <cell r="D30">
            <v>2</v>
          </cell>
          <cell r="G30">
            <v>996</v>
          </cell>
          <cell r="H30">
            <v>0</v>
          </cell>
          <cell r="J30">
            <v>4966</v>
          </cell>
          <cell r="K30">
            <v>0</v>
          </cell>
          <cell r="L30">
            <v>5000</v>
          </cell>
        </row>
        <row r="31">
          <cell r="D31">
            <v>1</v>
          </cell>
          <cell r="G31">
            <v>998</v>
          </cell>
          <cell r="H31">
            <v>0</v>
          </cell>
          <cell r="J31">
            <v>4986</v>
          </cell>
          <cell r="K31">
            <v>0</v>
          </cell>
          <cell r="L31">
            <v>5000</v>
          </cell>
        </row>
        <row r="32">
          <cell r="D32">
            <v>0</v>
          </cell>
          <cell r="G32">
            <v>999</v>
          </cell>
          <cell r="H32">
            <v>0</v>
          </cell>
          <cell r="J32">
            <v>4992</v>
          </cell>
          <cell r="K32">
            <v>0</v>
          </cell>
          <cell r="L32">
            <v>5000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03_GABM_NiyoushaAPI_sf_fb-data"/>
    </sheetNames>
    <sheetDataSet>
      <sheetData sheetId="0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4</v>
          </cell>
          <cell r="G3">
            <v>1000</v>
          </cell>
          <cell r="H3">
            <v>2</v>
          </cell>
          <cell r="J3">
            <v>5000</v>
          </cell>
          <cell r="K3">
            <v>0</v>
          </cell>
          <cell r="L3">
            <v>5000</v>
          </cell>
        </row>
        <row r="4">
          <cell r="D4">
            <v>9</v>
          </cell>
          <cell r="G4">
            <v>1000</v>
          </cell>
          <cell r="H4">
            <v>5</v>
          </cell>
          <cell r="J4">
            <v>5000</v>
          </cell>
          <cell r="K4">
            <v>0</v>
          </cell>
          <cell r="L4">
            <v>5000</v>
          </cell>
        </row>
        <row r="5">
          <cell r="D5">
            <v>20</v>
          </cell>
          <cell r="G5">
            <v>998</v>
          </cell>
          <cell r="H5">
            <v>11</v>
          </cell>
          <cell r="J5">
            <v>4982</v>
          </cell>
          <cell r="K5">
            <v>2</v>
          </cell>
          <cell r="L5">
            <v>5000</v>
          </cell>
        </row>
        <row r="6">
          <cell r="D6">
            <v>30</v>
          </cell>
          <cell r="G6">
            <v>996</v>
          </cell>
          <cell r="H6">
            <v>10</v>
          </cell>
          <cell r="J6">
            <v>4964</v>
          </cell>
          <cell r="K6">
            <v>2</v>
          </cell>
          <cell r="L6">
            <v>5000</v>
          </cell>
        </row>
        <row r="7">
          <cell r="D7">
            <v>47</v>
          </cell>
          <cell r="G7">
            <v>991</v>
          </cell>
          <cell r="H7">
            <v>17</v>
          </cell>
          <cell r="J7">
            <v>4920</v>
          </cell>
          <cell r="K7">
            <v>5</v>
          </cell>
          <cell r="L7">
            <v>5000</v>
          </cell>
        </row>
        <row r="8">
          <cell r="D8">
            <v>71</v>
          </cell>
          <cell r="G8">
            <v>980</v>
          </cell>
          <cell r="H8">
            <v>26</v>
          </cell>
          <cell r="J8">
            <v>4800</v>
          </cell>
          <cell r="K8">
            <v>11</v>
          </cell>
          <cell r="L8">
            <v>5000</v>
          </cell>
        </row>
        <row r="9">
          <cell r="D9">
            <v>118</v>
          </cell>
          <cell r="G9">
            <v>972</v>
          </cell>
          <cell r="H9">
            <v>49</v>
          </cell>
          <cell r="J9">
            <v>4722</v>
          </cell>
          <cell r="K9">
            <v>10</v>
          </cell>
          <cell r="L9">
            <v>5000</v>
          </cell>
        </row>
        <row r="10">
          <cell r="D10">
            <v>169</v>
          </cell>
          <cell r="G10">
            <v>957</v>
          </cell>
          <cell r="H10">
            <v>56</v>
          </cell>
          <cell r="J10">
            <v>4580</v>
          </cell>
          <cell r="K10">
            <v>17</v>
          </cell>
          <cell r="L10">
            <v>5000</v>
          </cell>
        </row>
        <row r="11">
          <cell r="D11">
            <v>241</v>
          </cell>
          <cell r="G11">
            <v>936</v>
          </cell>
          <cell r="H11">
            <v>83</v>
          </cell>
          <cell r="J11">
            <v>4368</v>
          </cell>
          <cell r="K11">
            <v>26</v>
          </cell>
          <cell r="L11">
            <v>5000</v>
          </cell>
        </row>
        <row r="12">
          <cell r="D12">
            <v>316</v>
          </cell>
          <cell r="G12">
            <v>898</v>
          </cell>
          <cell r="H12">
            <v>85</v>
          </cell>
          <cell r="J12">
            <v>4038</v>
          </cell>
          <cell r="K12">
            <v>49</v>
          </cell>
          <cell r="L12">
            <v>5000</v>
          </cell>
        </row>
        <row r="13">
          <cell r="D13">
            <v>413</v>
          </cell>
          <cell r="G13">
            <v>853</v>
          </cell>
          <cell r="H13">
            <v>114</v>
          </cell>
          <cell r="J13">
            <v>3626</v>
          </cell>
          <cell r="K13">
            <v>56</v>
          </cell>
          <cell r="L13">
            <v>5000</v>
          </cell>
        </row>
        <row r="14">
          <cell r="D14">
            <v>498</v>
          </cell>
          <cell r="G14">
            <v>786</v>
          </cell>
          <cell r="H14">
            <v>111</v>
          </cell>
          <cell r="J14">
            <v>3088</v>
          </cell>
          <cell r="K14">
            <v>83</v>
          </cell>
          <cell r="L14">
            <v>5000</v>
          </cell>
        </row>
        <row r="15">
          <cell r="D15">
            <v>532</v>
          </cell>
          <cell r="G15">
            <v>727</v>
          </cell>
          <cell r="H15">
            <v>83</v>
          </cell>
          <cell r="J15">
            <v>2646</v>
          </cell>
          <cell r="K15">
            <v>85</v>
          </cell>
          <cell r="L15">
            <v>5000</v>
          </cell>
        </row>
        <row r="16">
          <cell r="D16">
            <v>543</v>
          </cell>
          <cell r="G16">
            <v>665</v>
          </cell>
          <cell r="H16">
            <v>67</v>
          </cell>
          <cell r="J16">
            <v>2220</v>
          </cell>
          <cell r="K16">
            <v>114</v>
          </cell>
          <cell r="L16">
            <v>5000</v>
          </cell>
        </row>
        <row r="17">
          <cell r="D17">
            <v>500</v>
          </cell>
          <cell r="G17">
            <v>608</v>
          </cell>
          <cell r="H17">
            <v>40</v>
          </cell>
          <cell r="J17">
            <v>1838</v>
          </cell>
          <cell r="K17">
            <v>111</v>
          </cell>
          <cell r="L17">
            <v>5000</v>
          </cell>
        </row>
        <row r="18">
          <cell r="D18">
            <v>438</v>
          </cell>
          <cell r="G18">
            <v>607</v>
          </cell>
          <cell r="H18">
            <v>23</v>
          </cell>
          <cell r="J18">
            <v>1840</v>
          </cell>
          <cell r="K18">
            <v>83</v>
          </cell>
          <cell r="L18">
            <v>5000</v>
          </cell>
        </row>
        <row r="19">
          <cell r="D19">
            <v>341</v>
          </cell>
          <cell r="G19">
            <v>625</v>
          </cell>
          <cell r="H19">
            <v>17</v>
          </cell>
          <cell r="J19">
            <v>1952</v>
          </cell>
          <cell r="K19">
            <v>67</v>
          </cell>
          <cell r="L19">
            <v>5000</v>
          </cell>
        </row>
        <row r="20">
          <cell r="D20">
            <v>237</v>
          </cell>
          <cell r="G20">
            <v>699</v>
          </cell>
          <cell r="H20">
            <v>7</v>
          </cell>
          <cell r="J20">
            <v>2444</v>
          </cell>
          <cell r="K20">
            <v>40</v>
          </cell>
          <cell r="L20">
            <v>5000</v>
          </cell>
        </row>
        <row r="21">
          <cell r="D21">
            <v>156</v>
          </cell>
          <cell r="G21">
            <v>788</v>
          </cell>
          <cell r="H21">
            <v>2</v>
          </cell>
          <cell r="J21">
            <v>3104</v>
          </cell>
          <cell r="K21">
            <v>23</v>
          </cell>
          <cell r="L21">
            <v>5000</v>
          </cell>
        </row>
        <row r="22">
          <cell r="D22">
            <v>91</v>
          </cell>
          <cell r="G22">
            <v>853</v>
          </cell>
          <cell r="H22">
            <v>2</v>
          </cell>
          <cell r="J22">
            <v>3634</v>
          </cell>
          <cell r="K22">
            <v>17</v>
          </cell>
          <cell r="L22">
            <v>5000</v>
          </cell>
        </row>
        <row r="23">
          <cell r="D23">
            <v>51</v>
          </cell>
          <cell r="G23">
            <v>913</v>
          </cell>
          <cell r="H23">
            <v>0</v>
          </cell>
          <cell r="J23">
            <v>4134</v>
          </cell>
          <cell r="K23">
            <v>7</v>
          </cell>
          <cell r="L23">
            <v>5000</v>
          </cell>
        </row>
        <row r="24">
          <cell r="D24">
            <v>28</v>
          </cell>
          <cell r="G24">
            <v>952</v>
          </cell>
          <cell r="H24">
            <v>0</v>
          </cell>
          <cell r="J24">
            <v>4526</v>
          </cell>
          <cell r="K24">
            <v>2</v>
          </cell>
          <cell r="L24">
            <v>5000</v>
          </cell>
        </row>
        <row r="25">
          <cell r="D25">
            <v>11</v>
          </cell>
          <cell r="G25">
            <v>972</v>
          </cell>
          <cell r="H25">
            <v>0</v>
          </cell>
          <cell r="J25">
            <v>4736</v>
          </cell>
          <cell r="K25">
            <v>2</v>
          </cell>
          <cell r="L25">
            <v>5000</v>
          </cell>
        </row>
        <row r="26">
          <cell r="D26">
            <v>4</v>
          </cell>
          <cell r="G26">
            <v>989</v>
          </cell>
          <cell r="H26">
            <v>0</v>
          </cell>
          <cell r="J26">
            <v>4878</v>
          </cell>
          <cell r="K26">
            <v>0</v>
          </cell>
          <cell r="L26">
            <v>5000</v>
          </cell>
        </row>
        <row r="27">
          <cell r="D27">
            <v>2</v>
          </cell>
          <cell r="G27">
            <v>996</v>
          </cell>
          <cell r="H27">
            <v>0</v>
          </cell>
          <cell r="J27">
            <v>4954</v>
          </cell>
          <cell r="K27">
            <v>0</v>
          </cell>
          <cell r="L27">
            <v>5000</v>
          </cell>
        </row>
        <row r="28">
          <cell r="D28">
            <v>0</v>
          </cell>
          <cell r="G28">
            <v>998</v>
          </cell>
          <cell r="H28">
            <v>0</v>
          </cell>
          <cell r="J28">
            <v>4980</v>
          </cell>
          <cell r="K28">
            <v>0</v>
          </cell>
          <cell r="L28">
            <v>5000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SudipaAPI_sf_fb-data"/>
    </sheetNames>
    <sheetDataSet>
      <sheetData sheetId="0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3</v>
          </cell>
          <cell r="G3">
            <v>1000</v>
          </cell>
          <cell r="H3">
            <v>1</v>
          </cell>
          <cell r="J3">
            <v>4998</v>
          </cell>
          <cell r="K3">
            <v>0</v>
          </cell>
          <cell r="L3">
            <v>5000</v>
          </cell>
        </row>
        <row r="4">
          <cell r="D4">
            <v>6</v>
          </cell>
          <cell r="G4">
            <v>1000</v>
          </cell>
          <cell r="H4">
            <v>3</v>
          </cell>
          <cell r="J4">
            <v>5000</v>
          </cell>
          <cell r="K4">
            <v>0</v>
          </cell>
          <cell r="L4">
            <v>5000</v>
          </cell>
        </row>
        <row r="5">
          <cell r="D5">
            <v>13</v>
          </cell>
          <cell r="G5">
            <v>998</v>
          </cell>
          <cell r="H5">
            <v>7</v>
          </cell>
          <cell r="J5">
            <v>4974</v>
          </cell>
          <cell r="K5">
            <v>2</v>
          </cell>
          <cell r="L5">
            <v>5000</v>
          </cell>
        </row>
        <row r="6">
          <cell r="D6">
            <v>20</v>
          </cell>
          <cell r="G6">
            <v>997</v>
          </cell>
          <cell r="H6">
            <v>7</v>
          </cell>
          <cell r="J6">
            <v>4968</v>
          </cell>
          <cell r="K6">
            <v>1</v>
          </cell>
          <cell r="L6">
            <v>5000</v>
          </cell>
        </row>
        <row r="7">
          <cell r="D7">
            <v>34</v>
          </cell>
          <cell r="G7">
            <v>994</v>
          </cell>
          <cell r="H7">
            <v>14</v>
          </cell>
          <cell r="J7">
            <v>4928</v>
          </cell>
          <cell r="K7">
            <v>3</v>
          </cell>
          <cell r="L7">
            <v>5000</v>
          </cell>
        </row>
        <row r="8">
          <cell r="D8">
            <v>56</v>
          </cell>
          <cell r="G8">
            <v>987</v>
          </cell>
          <cell r="H8">
            <v>24</v>
          </cell>
          <cell r="J8">
            <v>4872</v>
          </cell>
          <cell r="K8">
            <v>7</v>
          </cell>
          <cell r="L8">
            <v>5000</v>
          </cell>
        </row>
        <row r="9">
          <cell r="D9">
            <v>93</v>
          </cell>
          <cell r="G9">
            <v>982</v>
          </cell>
          <cell r="H9">
            <v>38</v>
          </cell>
          <cell r="J9">
            <v>4824</v>
          </cell>
          <cell r="K9">
            <v>7</v>
          </cell>
          <cell r="L9">
            <v>5000</v>
          </cell>
        </row>
        <row r="10">
          <cell r="D10">
            <v>136</v>
          </cell>
          <cell r="G10">
            <v>969</v>
          </cell>
          <cell r="H10">
            <v>46</v>
          </cell>
          <cell r="J10">
            <v>4718</v>
          </cell>
          <cell r="K10">
            <v>14</v>
          </cell>
          <cell r="L10">
            <v>5000</v>
          </cell>
        </row>
        <row r="11">
          <cell r="D11">
            <v>200</v>
          </cell>
          <cell r="G11">
            <v>949</v>
          </cell>
          <cell r="H11">
            <v>71</v>
          </cell>
          <cell r="J11">
            <v>4504</v>
          </cell>
          <cell r="K11">
            <v>24</v>
          </cell>
          <cell r="L11">
            <v>5000</v>
          </cell>
        </row>
        <row r="12">
          <cell r="D12">
            <v>269</v>
          </cell>
          <cell r="G12">
            <v>917</v>
          </cell>
          <cell r="H12">
            <v>76</v>
          </cell>
          <cell r="J12">
            <v>4194</v>
          </cell>
          <cell r="K12">
            <v>38</v>
          </cell>
          <cell r="L12">
            <v>5000</v>
          </cell>
        </row>
        <row r="13">
          <cell r="D13">
            <v>348</v>
          </cell>
          <cell r="G13">
            <v>878</v>
          </cell>
          <cell r="H13">
            <v>93</v>
          </cell>
          <cell r="J13">
            <v>3864</v>
          </cell>
          <cell r="K13">
            <v>46</v>
          </cell>
          <cell r="L13">
            <v>5000</v>
          </cell>
        </row>
        <row r="14">
          <cell r="D14">
            <v>411</v>
          </cell>
          <cell r="G14">
            <v>822</v>
          </cell>
          <cell r="H14">
            <v>87</v>
          </cell>
          <cell r="J14">
            <v>3376</v>
          </cell>
          <cell r="K14">
            <v>71</v>
          </cell>
          <cell r="L14">
            <v>5000</v>
          </cell>
        </row>
        <row r="15">
          <cell r="D15">
            <v>463</v>
          </cell>
          <cell r="G15">
            <v>769</v>
          </cell>
          <cell r="H15">
            <v>90</v>
          </cell>
          <cell r="J15">
            <v>2954</v>
          </cell>
          <cell r="K15">
            <v>76</v>
          </cell>
          <cell r="L15">
            <v>5000</v>
          </cell>
        </row>
        <row r="16">
          <cell r="D16">
            <v>488</v>
          </cell>
          <cell r="G16">
            <v>714</v>
          </cell>
          <cell r="H16">
            <v>71</v>
          </cell>
          <cell r="J16">
            <v>2514</v>
          </cell>
          <cell r="K16">
            <v>93</v>
          </cell>
          <cell r="L16">
            <v>5000</v>
          </cell>
        </row>
        <row r="17">
          <cell r="D17">
            <v>473</v>
          </cell>
          <cell r="G17">
            <v>674</v>
          </cell>
          <cell r="H17">
            <v>56</v>
          </cell>
          <cell r="J17">
            <v>2270</v>
          </cell>
          <cell r="K17">
            <v>87</v>
          </cell>
          <cell r="L17">
            <v>5000</v>
          </cell>
        </row>
        <row r="18">
          <cell r="D18">
            <v>434</v>
          </cell>
          <cell r="G18">
            <v>654</v>
          </cell>
          <cell r="H18">
            <v>37</v>
          </cell>
          <cell r="J18">
            <v>2148</v>
          </cell>
          <cell r="K18">
            <v>90</v>
          </cell>
          <cell r="L18">
            <v>5000</v>
          </cell>
        </row>
        <row r="19">
          <cell r="D19">
            <v>358</v>
          </cell>
          <cell r="G19">
            <v>659</v>
          </cell>
          <cell r="H19">
            <v>17</v>
          </cell>
          <cell r="J19">
            <v>2180</v>
          </cell>
          <cell r="K19">
            <v>71</v>
          </cell>
          <cell r="L19">
            <v>5000</v>
          </cell>
        </row>
        <row r="20">
          <cell r="D20">
            <v>281</v>
          </cell>
          <cell r="G20">
            <v>697</v>
          </cell>
          <cell r="H20">
            <v>10</v>
          </cell>
          <cell r="J20">
            <v>2448</v>
          </cell>
          <cell r="K20">
            <v>56</v>
          </cell>
          <cell r="L20">
            <v>5000</v>
          </cell>
        </row>
        <row r="21">
          <cell r="D21">
            <v>203</v>
          </cell>
          <cell r="G21">
            <v>747</v>
          </cell>
          <cell r="H21">
            <v>12</v>
          </cell>
          <cell r="J21">
            <v>2794</v>
          </cell>
          <cell r="K21">
            <v>37</v>
          </cell>
          <cell r="L21">
            <v>5000</v>
          </cell>
        </row>
        <row r="22">
          <cell r="D22">
            <v>136</v>
          </cell>
          <cell r="G22">
            <v>819</v>
          </cell>
          <cell r="H22">
            <v>4</v>
          </cell>
          <cell r="J22">
            <v>3350</v>
          </cell>
          <cell r="K22">
            <v>17</v>
          </cell>
          <cell r="L22">
            <v>5000</v>
          </cell>
        </row>
        <row r="23">
          <cell r="D23">
            <v>83</v>
          </cell>
          <cell r="G23">
            <v>880</v>
          </cell>
          <cell r="H23">
            <v>3</v>
          </cell>
          <cell r="J23">
            <v>3878</v>
          </cell>
          <cell r="K23">
            <v>10</v>
          </cell>
          <cell r="L23">
            <v>5000</v>
          </cell>
        </row>
        <row r="24">
          <cell r="D24">
            <v>49</v>
          </cell>
          <cell r="G24">
            <v>925</v>
          </cell>
          <cell r="H24">
            <v>3</v>
          </cell>
          <cell r="J24">
            <v>4268</v>
          </cell>
          <cell r="K24">
            <v>12</v>
          </cell>
          <cell r="L24">
            <v>5000</v>
          </cell>
        </row>
        <row r="25">
          <cell r="D25">
            <v>34</v>
          </cell>
          <cell r="G25">
            <v>957</v>
          </cell>
          <cell r="H25">
            <v>2</v>
          </cell>
          <cell r="J25">
            <v>4572</v>
          </cell>
          <cell r="K25">
            <v>4</v>
          </cell>
          <cell r="L25">
            <v>5000</v>
          </cell>
        </row>
        <row r="26">
          <cell r="D26">
            <v>25</v>
          </cell>
          <cell r="G26">
            <v>971</v>
          </cell>
          <cell r="H26">
            <v>1</v>
          </cell>
          <cell r="J26">
            <v>4708</v>
          </cell>
          <cell r="K26">
            <v>3</v>
          </cell>
          <cell r="L26">
            <v>5000</v>
          </cell>
        </row>
        <row r="27">
          <cell r="D27">
            <v>14</v>
          </cell>
          <cell r="G27">
            <v>978</v>
          </cell>
          <cell r="H27">
            <v>1</v>
          </cell>
          <cell r="J27">
            <v>4788</v>
          </cell>
          <cell r="K27">
            <v>3</v>
          </cell>
          <cell r="L27">
            <v>5000</v>
          </cell>
        </row>
        <row r="28">
          <cell r="D28">
            <v>10</v>
          </cell>
          <cell r="G28">
            <v>988</v>
          </cell>
          <cell r="H28">
            <v>0</v>
          </cell>
          <cell r="J28">
            <v>4872</v>
          </cell>
          <cell r="K28">
            <v>2</v>
          </cell>
          <cell r="L28">
            <v>5000</v>
          </cell>
        </row>
        <row r="29">
          <cell r="D29">
            <v>8</v>
          </cell>
          <cell r="G29">
            <v>991</v>
          </cell>
          <cell r="H29">
            <v>1</v>
          </cell>
          <cell r="J29">
            <v>4916</v>
          </cell>
          <cell r="K29">
            <v>1</v>
          </cell>
          <cell r="L29">
            <v>5000</v>
          </cell>
        </row>
        <row r="30">
          <cell r="D30">
            <v>5</v>
          </cell>
          <cell r="G30">
            <v>993</v>
          </cell>
          <cell r="H30">
            <v>0</v>
          </cell>
          <cell r="J30">
            <v>4918</v>
          </cell>
          <cell r="K30">
            <v>1</v>
          </cell>
          <cell r="L30">
            <v>5000</v>
          </cell>
        </row>
        <row r="31">
          <cell r="D31">
            <v>3</v>
          </cell>
          <cell r="G31">
            <v>996</v>
          </cell>
          <cell r="H31">
            <v>0</v>
          </cell>
          <cell r="J31">
            <v>4954</v>
          </cell>
          <cell r="K31">
            <v>0</v>
          </cell>
          <cell r="L31">
            <v>5000</v>
          </cell>
        </row>
        <row r="32">
          <cell r="D32">
            <v>2</v>
          </cell>
          <cell r="G32">
            <v>997</v>
          </cell>
          <cell r="H32">
            <v>0</v>
          </cell>
          <cell r="J32">
            <v>4970</v>
          </cell>
          <cell r="K32">
            <v>1</v>
          </cell>
          <cell r="L32">
            <v>5000</v>
          </cell>
        </row>
        <row r="33">
          <cell r="D33">
            <v>1</v>
          </cell>
          <cell r="G33">
            <v>998</v>
          </cell>
          <cell r="H33">
            <v>0</v>
          </cell>
          <cell r="J33">
            <v>4980</v>
          </cell>
          <cell r="K33">
            <v>0</v>
          </cell>
          <cell r="L33">
            <v>5000</v>
          </cell>
        </row>
        <row r="34">
          <cell r="D34">
            <v>1</v>
          </cell>
          <cell r="G34">
            <v>999</v>
          </cell>
          <cell r="H34">
            <v>0</v>
          </cell>
          <cell r="J34">
            <v>4990</v>
          </cell>
          <cell r="K34">
            <v>0</v>
          </cell>
          <cell r="L34">
            <v>5000</v>
          </cell>
        </row>
        <row r="35">
          <cell r="D35">
            <v>0</v>
          </cell>
          <cell r="G35">
            <v>999</v>
          </cell>
          <cell r="H35">
            <v>0</v>
          </cell>
          <cell r="J35">
            <v>4992</v>
          </cell>
          <cell r="K35">
            <v>0</v>
          </cell>
          <cell r="L35">
            <v>5000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Terry_sf_fb_2-data"/>
    </sheetNames>
    <sheetDataSet>
      <sheetData sheetId="0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6</v>
          </cell>
          <cell r="G3">
            <v>1000</v>
          </cell>
          <cell r="H3">
            <v>4</v>
          </cell>
          <cell r="J3">
            <v>4998</v>
          </cell>
          <cell r="K3">
            <v>0</v>
          </cell>
          <cell r="L3">
            <v>5000</v>
          </cell>
        </row>
        <row r="4">
          <cell r="D4">
            <v>11</v>
          </cell>
          <cell r="G4">
            <v>1000</v>
          </cell>
          <cell r="H4">
            <v>5</v>
          </cell>
          <cell r="J4">
            <v>5000</v>
          </cell>
          <cell r="K4">
            <v>0</v>
          </cell>
          <cell r="L4">
            <v>5000</v>
          </cell>
        </row>
        <row r="5">
          <cell r="D5">
            <v>22</v>
          </cell>
          <cell r="G5">
            <v>998</v>
          </cell>
          <cell r="H5">
            <v>11</v>
          </cell>
          <cell r="J5">
            <v>4982</v>
          </cell>
          <cell r="K5">
            <v>2</v>
          </cell>
          <cell r="L5">
            <v>5000</v>
          </cell>
        </row>
        <row r="6">
          <cell r="D6">
            <v>38</v>
          </cell>
          <cell r="G6">
            <v>994</v>
          </cell>
          <cell r="H6">
            <v>16</v>
          </cell>
          <cell r="J6">
            <v>4936</v>
          </cell>
          <cell r="K6">
            <v>4</v>
          </cell>
          <cell r="L6">
            <v>5000</v>
          </cell>
        </row>
        <row r="7">
          <cell r="D7">
            <v>63</v>
          </cell>
          <cell r="G7">
            <v>989</v>
          </cell>
          <cell r="H7">
            <v>25</v>
          </cell>
          <cell r="J7">
            <v>4878</v>
          </cell>
          <cell r="K7">
            <v>5</v>
          </cell>
          <cell r="L7">
            <v>5000</v>
          </cell>
        </row>
        <row r="8">
          <cell r="D8">
            <v>102</v>
          </cell>
          <cell r="G8">
            <v>978</v>
          </cell>
          <cell r="H8">
            <v>41</v>
          </cell>
          <cell r="J8">
            <v>4778</v>
          </cell>
          <cell r="K8">
            <v>11</v>
          </cell>
          <cell r="L8">
            <v>5000</v>
          </cell>
        </row>
        <row r="9">
          <cell r="D9">
            <v>159</v>
          </cell>
          <cell r="G9">
            <v>964</v>
          </cell>
          <cell r="H9">
            <v>61</v>
          </cell>
          <cell r="J9">
            <v>4646</v>
          </cell>
          <cell r="K9">
            <v>16</v>
          </cell>
          <cell r="L9">
            <v>5000</v>
          </cell>
        </row>
        <row r="10">
          <cell r="D10">
            <v>231</v>
          </cell>
          <cell r="G10">
            <v>943</v>
          </cell>
          <cell r="H10">
            <v>77</v>
          </cell>
          <cell r="J10">
            <v>4446</v>
          </cell>
          <cell r="K10">
            <v>25</v>
          </cell>
          <cell r="L10">
            <v>5000</v>
          </cell>
        </row>
        <row r="11">
          <cell r="D11">
            <v>315</v>
          </cell>
          <cell r="G11">
            <v>907</v>
          </cell>
          <cell r="H11">
            <v>95</v>
          </cell>
          <cell r="J11">
            <v>4096</v>
          </cell>
          <cell r="K11">
            <v>41</v>
          </cell>
          <cell r="L11">
            <v>5000</v>
          </cell>
        </row>
        <row r="12">
          <cell r="D12">
            <v>392</v>
          </cell>
          <cell r="G12">
            <v>857</v>
          </cell>
          <cell r="H12">
            <v>93</v>
          </cell>
          <cell r="J12">
            <v>3650</v>
          </cell>
          <cell r="K12">
            <v>61</v>
          </cell>
          <cell r="L12">
            <v>5000</v>
          </cell>
        </row>
        <row r="13">
          <cell r="D13">
            <v>466</v>
          </cell>
          <cell r="G13">
            <v>796</v>
          </cell>
          <cell r="H13">
            <v>99</v>
          </cell>
          <cell r="J13">
            <v>3162</v>
          </cell>
          <cell r="K13">
            <v>77</v>
          </cell>
          <cell r="L13">
            <v>5000</v>
          </cell>
        </row>
        <row r="14">
          <cell r="D14">
            <v>513</v>
          </cell>
          <cell r="G14">
            <v>727</v>
          </cell>
          <cell r="H14">
            <v>88</v>
          </cell>
          <cell r="J14">
            <v>2654</v>
          </cell>
          <cell r="K14">
            <v>95</v>
          </cell>
          <cell r="L14">
            <v>5000</v>
          </cell>
        </row>
        <row r="15">
          <cell r="D15">
            <v>521</v>
          </cell>
          <cell r="G15">
            <v>674</v>
          </cell>
          <cell r="H15">
            <v>69</v>
          </cell>
          <cell r="J15">
            <v>2278</v>
          </cell>
          <cell r="K15">
            <v>93</v>
          </cell>
          <cell r="L15">
            <v>5000</v>
          </cell>
        </row>
        <row r="16">
          <cell r="D16">
            <v>496</v>
          </cell>
          <cell r="G16">
            <v>636</v>
          </cell>
          <cell r="H16">
            <v>52</v>
          </cell>
          <cell r="J16">
            <v>2010</v>
          </cell>
          <cell r="K16">
            <v>99</v>
          </cell>
          <cell r="L16">
            <v>5000</v>
          </cell>
        </row>
        <row r="17">
          <cell r="D17">
            <v>428</v>
          </cell>
          <cell r="G17">
            <v>626</v>
          </cell>
          <cell r="H17">
            <v>27</v>
          </cell>
          <cell r="J17">
            <v>1952</v>
          </cell>
          <cell r="K17">
            <v>88</v>
          </cell>
          <cell r="L17">
            <v>5000</v>
          </cell>
        </row>
        <row r="18">
          <cell r="D18">
            <v>343</v>
          </cell>
          <cell r="G18">
            <v>651</v>
          </cell>
          <cell r="H18">
            <v>8</v>
          </cell>
          <cell r="J18">
            <v>2128</v>
          </cell>
          <cell r="K18">
            <v>69</v>
          </cell>
          <cell r="L18">
            <v>5000</v>
          </cell>
        </row>
        <row r="19">
          <cell r="D19">
            <v>252</v>
          </cell>
          <cell r="G19">
            <v>692</v>
          </cell>
          <cell r="H19">
            <v>8</v>
          </cell>
          <cell r="J19">
            <v>2400</v>
          </cell>
          <cell r="K19">
            <v>52</v>
          </cell>
          <cell r="L19">
            <v>5000</v>
          </cell>
        </row>
        <row r="20">
          <cell r="D20">
            <v>166</v>
          </cell>
          <cell r="G20">
            <v>764</v>
          </cell>
          <cell r="H20">
            <v>2</v>
          </cell>
          <cell r="J20">
            <v>2924</v>
          </cell>
          <cell r="K20">
            <v>27</v>
          </cell>
          <cell r="L20">
            <v>5000</v>
          </cell>
        </row>
        <row r="21">
          <cell r="D21">
            <v>101</v>
          </cell>
          <cell r="G21">
            <v>844</v>
          </cell>
          <cell r="H21">
            <v>4</v>
          </cell>
          <cell r="J21">
            <v>3548</v>
          </cell>
          <cell r="K21">
            <v>8</v>
          </cell>
          <cell r="L21">
            <v>5000</v>
          </cell>
        </row>
        <row r="22">
          <cell r="D22">
            <v>50</v>
          </cell>
          <cell r="G22">
            <v>905</v>
          </cell>
          <cell r="H22">
            <v>1</v>
          </cell>
          <cell r="J22">
            <v>4078</v>
          </cell>
          <cell r="K22">
            <v>8</v>
          </cell>
          <cell r="L22">
            <v>5000</v>
          </cell>
        </row>
        <row r="23">
          <cell r="D23">
            <v>24</v>
          </cell>
          <cell r="G23">
            <v>955</v>
          </cell>
          <cell r="H23">
            <v>1</v>
          </cell>
          <cell r="J23">
            <v>4550</v>
          </cell>
          <cell r="K23">
            <v>2</v>
          </cell>
          <cell r="L23">
            <v>5000</v>
          </cell>
        </row>
        <row r="24">
          <cell r="D24">
            <v>17</v>
          </cell>
          <cell r="G24">
            <v>978</v>
          </cell>
          <cell r="H24">
            <v>1</v>
          </cell>
          <cell r="J24">
            <v>4796</v>
          </cell>
          <cell r="K24">
            <v>4</v>
          </cell>
          <cell r="L24">
            <v>5000</v>
          </cell>
        </row>
        <row r="25">
          <cell r="D25">
            <v>10</v>
          </cell>
          <cell r="G25">
            <v>985</v>
          </cell>
          <cell r="H25">
            <v>1</v>
          </cell>
          <cell r="J25">
            <v>4860</v>
          </cell>
          <cell r="K25">
            <v>1</v>
          </cell>
          <cell r="L25">
            <v>5000</v>
          </cell>
        </row>
        <row r="26">
          <cell r="D26">
            <v>9</v>
          </cell>
          <cell r="G26">
            <v>992</v>
          </cell>
          <cell r="H26">
            <v>1</v>
          </cell>
          <cell r="J26">
            <v>4918</v>
          </cell>
          <cell r="K26">
            <v>1</v>
          </cell>
          <cell r="L26">
            <v>5000</v>
          </cell>
        </row>
        <row r="27">
          <cell r="D27">
            <v>5</v>
          </cell>
          <cell r="G27">
            <v>992</v>
          </cell>
          <cell r="H27">
            <v>0</v>
          </cell>
          <cell r="J27">
            <v>4926</v>
          </cell>
          <cell r="K27">
            <v>1</v>
          </cell>
          <cell r="L27">
            <v>5000</v>
          </cell>
        </row>
        <row r="28">
          <cell r="D28">
            <v>5</v>
          </cell>
          <cell r="G28">
            <v>996</v>
          </cell>
          <cell r="H28">
            <v>1</v>
          </cell>
          <cell r="J28">
            <v>4968</v>
          </cell>
          <cell r="K28">
            <v>1</v>
          </cell>
          <cell r="L28">
            <v>5000</v>
          </cell>
        </row>
        <row r="29">
          <cell r="D29">
            <v>4</v>
          </cell>
          <cell r="G29">
            <v>996</v>
          </cell>
          <cell r="H29">
            <v>0</v>
          </cell>
          <cell r="J29">
            <v>4950</v>
          </cell>
          <cell r="K29">
            <v>1</v>
          </cell>
          <cell r="L29">
            <v>5000</v>
          </cell>
        </row>
        <row r="30">
          <cell r="D30">
            <v>3</v>
          </cell>
          <cell r="G30">
            <v>997</v>
          </cell>
          <cell r="H30">
            <v>0</v>
          </cell>
          <cell r="J30">
            <v>4968</v>
          </cell>
          <cell r="K30">
            <v>0</v>
          </cell>
          <cell r="L30">
            <v>5000</v>
          </cell>
        </row>
        <row r="31">
          <cell r="D31">
            <v>2</v>
          </cell>
          <cell r="G31">
            <v>997</v>
          </cell>
          <cell r="H31">
            <v>0</v>
          </cell>
          <cell r="J31">
            <v>4968</v>
          </cell>
          <cell r="K31">
            <v>1</v>
          </cell>
          <cell r="L31">
            <v>5000</v>
          </cell>
        </row>
        <row r="32">
          <cell r="D32">
            <v>1</v>
          </cell>
          <cell r="G32">
            <v>998</v>
          </cell>
          <cell r="H32">
            <v>0</v>
          </cell>
          <cell r="J32">
            <v>4984</v>
          </cell>
          <cell r="K32">
            <v>0</v>
          </cell>
          <cell r="L32">
            <v>5000</v>
          </cell>
        </row>
        <row r="33">
          <cell r="D33">
            <v>1</v>
          </cell>
          <cell r="G33">
            <v>999</v>
          </cell>
          <cell r="H33">
            <v>0</v>
          </cell>
          <cell r="J33">
            <v>4986</v>
          </cell>
          <cell r="K33">
            <v>0</v>
          </cell>
          <cell r="L33">
            <v>5000</v>
          </cell>
        </row>
        <row r="34">
          <cell r="D34">
            <v>0</v>
          </cell>
          <cell r="G34">
            <v>999</v>
          </cell>
          <cell r="H34">
            <v>0</v>
          </cell>
          <cell r="J34">
            <v>4988</v>
          </cell>
          <cell r="K34">
            <v>0</v>
          </cell>
          <cell r="L34">
            <v>5000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NavidAPI_sf_fb_2-data"/>
    </sheetNames>
    <sheetDataSet>
      <sheetData sheetId="0" refreshError="1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4</v>
          </cell>
          <cell r="G3">
            <v>1000</v>
          </cell>
          <cell r="H3">
            <v>2</v>
          </cell>
          <cell r="J3">
            <v>4998</v>
          </cell>
          <cell r="K3">
            <v>0</v>
          </cell>
          <cell r="L3">
            <v>5000</v>
          </cell>
        </row>
        <row r="4">
          <cell r="D4">
            <v>11</v>
          </cell>
          <cell r="G4">
            <v>1000</v>
          </cell>
          <cell r="H4">
            <v>7</v>
          </cell>
          <cell r="J4">
            <v>4998</v>
          </cell>
          <cell r="K4">
            <v>0</v>
          </cell>
          <cell r="L4">
            <v>5000</v>
          </cell>
        </row>
        <row r="5">
          <cell r="D5">
            <v>17</v>
          </cell>
          <cell r="G5">
            <v>998</v>
          </cell>
          <cell r="H5">
            <v>6</v>
          </cell>
          <cell r="J5">
            <v>4978</v>
          </cell>
          <cell r="K5">
            <v>2</v>
          </cell>
          <cell r="L5">
            <v>5000</v>
          </cell>
        </row>
        <row r="6">
          <cell r="D6">
            <v>27</v>
          </cell>
          <cell r="G6">
            <v>996</v>
          </cell>
          <cell r="H6">
            <v>10</v>
          </cell>
          <cell r="J6">
            <v>4960</v>
          </cell>
          <cell r="K6">
            <v>2</v>
          </cell>
          <cell r="L6">
            <v>5000</v>
          </cell>
        </row>
        <row r="7">
          <cell r="D7">
            <v>41</v>
          </cell>
          <cell r="G7">
            <v>989</v>
          </cell>
          <cell r="H7">
            <v>14</v>
          </cell>
          <cell r="J7">
            <v>4882</v>
          </cell>
          <cell r="K7">
            <v>7</v>
          </cell>
          <cell r="L7">
            <v>5000</v>
          </cell>
        </row>
        <row r="8">
          <cell r="D8">
            <v>55</v>
          </cell>
          <cell r="G8">
            <v>983</v>
          </cell>
          <cell r="H8">
            <v>16</v>
          </cell>
          <cell r="J8">
            <v>4840</v>
          </cell>
          <cell r="K8">
            <v>6</v>
          </cell>
          <cell r="L8">
            <v>5000</v>
          </cell>
        </row>
        <row r="9">
          <cell r="D9">
            <v>84</v>
          </cell>
          <cell r="G9">
            <v>975</v>
          </cell>
          <cell r="H9">
            <v>31</v>
          </cell>
          <cell r="J9">
            <v>4752</v>
          </cell>
          <cell r="K9">
            <v>10</v>
          </cell>
          <cell r="L9">
            <v>5000</v>
          </cell>
        </row>
        <row r="10">
          <cell r="D10">
            <v>109</v>
          </cell>
          <cell r="G10">
            <v>963</v>
          </cell>
          <cell r="H10">
            <v>32</v>
          </cell>
          <cell r="J10">
            <v>4632</v>
          </cell>
          <cell r="K10">
            <v>14</v>
          </cell>
          <cell r="L10">
            <v>5000</v>
          </cell>
        </row>
        <row r="11">
          <cell r="D11">
            <v>157</v>
          </cell>
          <cell r="G11">
            <v>954</v>
          </cell>
          <cell r="H11">
            <v>54</v>
          </cell>
          <cell r="J11">
            <v>4556</v>
          </cell>
          <cell r="K11">
            <v>16</v>
          </cell>
          <cell r="L11">
            <v>5000</v>
          </cell>
        </row>
        <row r="12">
          <cell r="D12">
            <v>214</v>
          </cell>
          <cell r="G12">
            <v>929</v>
          </cell>
          <cell r="H12">
            <v>67</v>
          </cell>
          <cell r="J12">
            <v>4334</v>
          </cell>
          <cell r="K12">
            <v>31</v>
          </cell>
          <cell r="L12">
            <v>5000</v>
          </cell>
        </row>
        <row r="13">
          <cell r="D13">
            <v>278</v>
          </cell>
          <cell r="G13">
            <v>907</v>
          </cell>
          <cell r="H13">
            <v>78</v>
          </cell>
          <cell r="J13">
            <v>4098</v>
          </cell>
          <cell r="K13">
            <v>32</v>
          </cell>
          <cell r="L13">
            <v>5000</v>
          </cell>
        </row>
        <row r="14">
          <cell r="D14">
            <v>356</v>
          </cell>
          <cell r="G14">
            <v>867</v>
          </cell>
          <cell r="H14">
            <v>94</v>
          </cell>
          <cell r="J14">
            <v>3750</v>
          </cell>
          <cell r="K14">
            <v>54</v>
          </cell>
          <cell r="L14">
            <v>5000</v>
          </cell>
        </row>
        <row r="15">
          <cell r="D15">
            <v>399</v>
          </cell>
          <cell r="G15">
            <v>816</v>
          </cell>
          <cell r="H15">
            <v>74</v>
          </cell>
          <cell r="J15">
            <v>3342</v>
          </cell>
          <cell r="K15">
            <v>67</v>
          </cell>
          <cell r="L15">
            <v>5000</v>
          </cell>
        </row>
        <row r="16">
          <cell r="D16">
            <v>448</v>
          </cell>
          <cell r="G16">
            <v>769</v>
          </cell>
          <cell r="H16">
            <v>81</v>
          </cell>
          <cell r="J16">
            <v>2962</v>
          </cell>
          <cell r="K16">
            <v>78</v>
          </cell>
          <cell r="L16">
            <v>5000</v>
          </cell>
        </row>
        <row r="17">
          <cell r="D17">
            <v>455</v>
          </cell>
          <cell r="G17">
            <v>707</v>
          </cell>
          <cell r="H17">
            <v>61</v>
          </cell>
          <cell r="J17">
            <v>2500</v>
          </cell>
          <cell r="K17">
            <v>94</v>
          </cell>
          <cell r="L17">
            <v>5000</v>
          </cell>
        </row>
        <row r="18">
          <cell r="D18">
            <v>438</v>
          </cell>
          <cell r="G18">
            <v>687</v>
          </cell>
          <cell r="H18">
            <v>50</v>
          </cell>
          <cell r="J18">
            <v>2358</v>
          </cell>
          <cell r="K18">
            <v>74</v>
          </cell>
          <cell r="L18">
            <v>5000</v>
          </cell>
        </row>
        <row r="19">
          <cell r="D19">
            <v>397</v>
          </cell>
          <cell r="G19">
            <v>673</v>
          </cell>
          <cell r="H19">
            <v>37</v>
          </cell>
          <cell r="J19">
            <v>2264</v>
          </cell>
          <cell r="K19">
            <v>81</v>
          </cell>
          <cell r="L19">
            <v>5000</v>
          </cell>
        </row>
        <row r="20">
          <cell r="D20">
            <v>326</v>
          </cell>
          <cell r="G20">
            <v>690</v>
          </cell>
          <cell r="H20">
            <v>23</v>
          </cell>
          <cell r="J20">
            <v>2396</v>
          </cell>
          <cell r="K20">
            <v>61</v>
          </cell>
          <cell r="L20">
            <v>5000</v>
          </cell>
        </row>
        <row r="21">
          <cell r="D21">
            <v>266</v>
          </cell>
          <cell r="G21">
            <v>734</v>
          </cell>
          <cell r="H21">
            <v>14</v>
          </cell>
          <cell r="J21">
            <v>2710</v>
          </cell>
          <cell r="K21">
            <v>50</v>
          </cell>
          <cell r="L21">
            <v>5000</v>
          </cell>
        </row>
        <row r="22">
          <cell r="D22">
            <v>190</v>
          </cell>
          <cell r="G22">
            <v>771</v>
          </cell>
          <cell r="H22">
            <v>5</v>
          </cell>
          <cell r="J22">
            <v>2964</v>
          </cell>
          <cell r="K22">
            <v>37</v>
          </cell>
          <cell r="L22">
            <v>5000</v>
          </cell>
        </row>
        <row r="23">
          <cell r="D23">
            <v>131</v>
          </cell>
          <cell r="G23">
            <v>829</v>
          </cell>
          <cell r="H23">
            <v>2</v>
          </cell>
          <cell r="J23">
            <v>3424</v>
          </cell>
          <cell r="K23">
            <v>23</v>
          </cell>
          <cell r="L23">
            <v>5000</v>
          </cell>
        </row>
        <row r="24">
          <cell r="D24">
            <v>82</v>
          </cell>
          <cell r="G24">
            <v>876</v>
          </cell>
          <cell r="H24">
            <v>1</v>
          </cell>
          <cell r="J24">
            <v>3854</v>
          </cell>
          <cell r="K24">
            <v>14</v>
          </cell>
          <cell r="L24">
            <v>5000</v>
          </cell>
        </row>
        <row r="25">
          <cell r="D25">
            <v>45</v>
          </cell>
          <cell r="G25">
            <v>921</v>
          </cell>
          <cell r="H25">
            <v>0</v>
          </cell>
          <cell r="J25">
            <v>4256</v>
          </cell>
          <cell r="K25">
            <v>5</v>
          </cell>
          <cell r="L25">
            <v>5000</v>
          </cell>
        </row>
        <row r="26">
          <cell r="D26">
            <v>22</v>
          </cell>
          <cell r="G26">
            <v>956</v>
          </cell>
          <cell r="H26">
            <v>0</v>
          </cell>
          <cell r="J26">
            <v>4590</v>
          </cell>
          <cell r="K26">
            <v>2</v>
          </cell>
          <cell r="L26">
            <v>5000</v>
          </cell>
        </row>
        <row r="27">
          <cell r="D27">
            <v>8</v>
          </cell>
          <cell r="G27">
            <v>978</v>
          </cell>
          <cell r="H27">
            <v>0</v>
          </cell>
          <cell r="J27">
            <v>4772</v>
          </cell>
          <cell r="K27">
            <v>1</v>
          </cell>
          <cell r="L27">
            <v>5000</v>
          </cell>
        </row>
        <row r="28">
          <cell r="D28">
            <v>3</v>
          </cell>
          <cell r="G28">
            <v>992</v>
          </cell>
          <cell r="H28">
            <v>0</v>
          </cell>
          <cell r="J28">
            <v>4924</v>
          </cell>
          <cell r="K28">
            <v>0</v>
          </cell>
          <cell r="L28">
            <v>5000</v>
          </cell>
        </row>
        <row r="29">
          <cell r="D29">
            <v>1</v>
          </cell>
          <cell r="G29">
            <v>997</v>
          </cell>
          <cell r="H29">
            <v>0</v>
          </cell>
          <cell r="J29">
            <v>4970</v>
          </cell>
          <cell r="K29">
            <v>0</v>
          </cell>
          <cell r="L29">
            <v>5000</v>
          </cell>
        </row>
        <row r="30">
          <cell r="D30">
            <v>0</v>
          </cell>
          <cell r="G30">
            <v>999</v>
          </cell>
          <cell r="H30">
            <v>0</v>
          </cell>
          <cell r="J30">
            <v>4986</v>
          </cell>
          <cell r="K30">
            <v>0</v>
          </cell>
          <cell r="L30">
            <v>5000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03_GABM_NiyoushaAPI_sf_fb_2-da"/>
    </sheetNames>
    <sheetDataSet>
      <sheetData sheetId="0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2</v>
          </cell>
          <cell r="G3">
            <v>1000</v>
          </cell>
          <cell r="H3">
            <v>0</v>
          </cell>
          <cell r="J3">
            <v>4998</v>
          </cell>
          <cell r="K3">
            <v>0</v>
          </cell>
          <cell r="L3">
            <v>5000</v>
          </cell>
        </row>
        <row r="4">
          <cell r="D4">
            <v>6</v>
          </cell>
          <cell r="G4">
            <v>1000</v>
          </cell>
          <cell r="H4">
            <v>4</v>
          </cell>
          <cell r="J4">
            <v>4998</v>
          </cell>
          <cell r="K4">
            <v>0</v>
          </cell>
          <cell r="L4">
            <v>5000</v>
          </cell>
        </row>
        <row r="5">
          <cell r="D5">
            <v>9</v>
          </cell>
          <cell r="G5">
            <v>998</v>
          </cell>
          <cell r="H5">
            <v>3</v>
          </cell>
          <cell r="J5">
            <v>4978</v>
          </cell>
          <cell r="K5">
            <v>2</v>
          </cell>
          <cell r="L5">
            <v>5000</v>
          </cell>
        </row>
        <row r="6">
          <cell r="D6">
            <v>14</v>
          </cell>
          <cell r="G6">
            <v>998</v>
          </cell>
          <cell r="H6">
            <v>5</v>
          </cell>
          <cell r="J6">
            <v>4976</v>
          </cell>
          <cell r="K6">
            <v>0</v>
          </cell>
          <cell r="L6">
            <v>5000</v>
          </cell>
        </row>
        <row r="7">
          <cell r="D7">
            <v>22</v>
          </cell>
          <cell r="G7">
            <v>994</v>
          </cell>
          <cell r="H7">
            <v>8</v>
          </cell>
          <cell r="J7">
            <v>4930</v>
          </cell>
          <cell r="K7">
            <v>4</v>
          </cell>
          <cell r="L7">
            <v>5000</v>
          </cell>
        </row>
        <row r="8">
          <cell r="D8">
            <v>32</v>
          </cell>
          <cell r="G8">
            <v>991</v>
          </cell>
          <cell r="H8">
            <v>12</v>
          </cell>
          <cell r="J8">
            <v>4922</v>
          </cell>
          <cell r="K8">
            <v>3</v>
          </cell>
          <cell r="L8">
            <v>5000</v>
          </cell>
        </row>
        <row r="9">
          <cell r="D9">
            <v>45</v>
          </cell>
          <cell r="G9">
            <v>988</v>
          </cell>
          <cell r="H9">
            <v>13</v>
          </cell>
          <cell r="J9">
            <v>4880</v>
          </cell>
          <cell r="K9">
            <v>5</v>
          </cell>
          <cell r="L9">
            <v>5000</v>
          </cell>
        </row>
        <row r="10">
          <cell r="D10">
            <v>66</v>
          </cell>
          <cell r="G10">
            <v>980</v>
          </cell>
          <cell r="H10">
            <v>25</v>
          </cell>
          <cell r="J10">
            <v>4798</v>
          </cell>
          <cell r="K10">
            <v>8</v>
          </cell>
          <cell r="L10">
            <v>5000</v>
          </cell>
        </row>
        <row r="11">
          <cell r="D11">
            <v>97</v>
          </cell>
          <cell r="G11">
            <v>972</v>
          </cell>
          <cell r="H11">
            <v>34</v>
          </cell>
          <cell r="J11">
            <v>4714</v>
          </cell>
          <cell r="K11">
            <v>12</v>
          </cell>
          <cell r="L11">
            <v>5000</v>
          </cell>
        </row>
        <row r="12">
          <cell r="D12">
            <v>131</v>
          </cell>
          <cell r="G12">
            <v>962</v>
          </cell>
          <cell r="H12">
            <v>39</v>
          </cell>
          <cell r="J12">
            <v>4640</v>
          </cell>
          <cell r="K12">
            <v>13</v>
          </cell>
          <cell r="L12">
            <v>5000</v>
          </cell>
        </row>
        <row r="13">
          <cell r="D13">
            <v>182</v>
          </cell>
          <cell r="G13">
            <v>942</v>
          </cell>
          <cell r="H13">
            <v>59</v>
          </cell>
          <cell r="J13">
            <v>4442</v>
          </cell>
          <cell r="K13">
            <v>25</v>
          </cell>
          <cell r="L13">
            <v>5000</v>
          </cell>
        </row>
        <row r="14">
          <cell r="D14">
            <v>253</v>
          </cell>
          <cell r="G14">
            <v>916</v>
          </cell>
          <cell r="H14">
            <v>83</v>
          </cell>
          <cell r="J14">
            <v>4202</v>
          </cell>
          <cell r="K14">
            <v>34</v>
          </cell>
          <cell r="L14">
            <v>5000</v>
          </cell>
        </row>
        <row r="15">
          <cell r="D15">
            <v>342</v>
          </cell>
          <cell r="G15">
            <v>889</v>
          </cell>
          <cell r="H15">
            <v>102</v>
          </cell>
          <cell r="J15">
            <v>3938</v>
          </cell>
          <cell r="K15">
            <v>39</v>
          </cell>
          <cell r="L15">
            <v>5000</v>
          </cell>
        </row>
        <row r="16">
          <cell r="D16">
            <v>415</v>
          </cell>
          <cell r="G16">
            <v>843</v>
          </cell>
          <cell r="H16">
            <v>98</v>
          </cell>
          <cell r="J16">
            <v>3548</v>
          </cell>
          <cell r="K16">
            <v>59</v>
          </cell>
          <cell r="L16">
            <v>5000</v>
          </cell>
        </row>
        <row r="17">
          <cell r="D17">
            <v>469</v>
          </cell>
          <cell r="G17">
            <v>785</v>
          </cell>
          <cell r="H17">
            <v>88</v>
          </cell>
          <cell r="J17">
            <v>3082</v>
          </cell>
          <cell r="K17">
            <v>83</v>
          </cell>
          <cell r="L17">
            <v>5000</v>
          </cell>
        </row>
        <row r="18">
          <cell r="D18">
            <v>500</v>
          </cell>
          <cell r="G18">
            <v>717</v>
          </cell>
          <cell r="H18">
            <v>70</v>
          </cell>
          <cell r="J18">
            <v>2578</v>
          </cell>
          <cell r="K18">
            <v>102</v>
          </cell>
          <cell r="L18">
            <v>5000</v>
          </cell>
        </row>
        <row r="19">
          <cell r="D19">
            <v>490</v>
          </cell>
          <cell r="G19">
            <v>658</v>
          </cell>
          <cell r="H19">
            <v>49</v>
          </cell>
          <cell r="J19">
            <v>2168</v>
          </cell>
          <cell r="K19">
            <v>98</v>
          </cell>
          <cell r="L19">
            <v>5000</v>
          </cell>
        </row>
        <row r="20">
          <cell r="D20">
            <v>439</v>
          </cell>
          <cell r="G20">
            <v>629</v>
          </cell>
          <cell r="H20">
            <v>32</v>
          </cell>
          <cell r="J20">
            <v>1980</v>
          </cell>
          <cell r="K20">
            <v>88</v>
          </cell>
          <cell r="L20">
            <v>5000</v>
          </cell>
        </row>
        <row r="21">
          <cell r="D21">
            <v>350</v>
          </cell>
          <cell r="G21">
            <v>642</v>
          </cell>
          <cell r="H21">
            <v>13</v>
          </cell>
          <cell r="J21">
            <v>2056</v>
          </cell>
          <cell r="K21">
            <v>70</v>
          </cell>
          <cell r="L21">
            <v>5000</v>
          </cell>
        </row>
        <row r="22">
          <cell r="D22">
            <v>263</v>
          </cell>
          <cell r="G22">
            <v>695</v>
          </cell>
          <cell r="H22">
            <v>11</v>
          </cell>
          <cell r="J22">
            <v>2422</v>
          </cell>
          <cell r="K22">
            <v>49</v>
          </cell>
          <cell r="L22">
            <v>5000</v>
          </cell>
        </row>
        <row r="23">
          <cell r="D23">
            <v>181</v>
          </cell>
          <cell r="G23">
            <v>761</v>
          </cell>
          <cell r="H23">
            <v>6</v>
          </cell>
          <cell r="J23">
            <v>2900</v>
          </cell>
          <cell r="K23">
            <v>32</v>
          </cell>
          <cell r="L23">
            <v>5000</v>
          </cell>
        </row>
        <row r="24">
          <cell r="D24">
            <v>117</v>
          </cell>
          <cell r="G24">
            <v>836</v>
          </cell>
          <cell r="H24">
            <v>6</v>
          </cell>
          <cell r="J24">
            <v>3500</v>
          </cell>
          <cell r="K24">
            <v>13</v>
          </cell>
          <cell r="L24">
            <v>5000</v>
          </cell>
        </row>
        <row r="25">
          <cell r="D25">
            <v>71</v>
          </cell>
          <cell r="G25">
            <v>895</v>
          </cell>
          <cell r="H25">
            <v>3</v>
          </cell>
          <cell r="J25">
            <v>4028</v>
          </cell>
          <cell r="K25">
            <v>11</v>
          </cell>
          <cell r="L25">
            <v>5000</v>
          </cell>
        </row>
        <row r="26">
          <cell r="D26">
            <v>41</v>
          </cell>
          <cell r="G26">
            <v>938</v>
          </cell>
          <cell r="H26">
            <v>2</v>
          </cell>
          <cell r="J26">
            <v>4404</v>
          </cell>
          <cell r="K26">
            <v>6</v>
          </cell>
          <cell r="L26">
            <v>5000</v>
          </cell>
        </row>
        <row r="27">
          <cell r="D27">
            <v>29</v>
          </cell>
          <cell r="G27">
            <v>965</v>
          </cell>
          <cell r="H27">
            <v>1</v>
          </cell>
          <cell r="J27">
            <v>4662</v>
          </cell>
          <cell r="K27">
            <v>6</v>
          </cell>
          <cell r="L27">
            <v>5000</v>
          </cell>
        </row>
        <row r="28">
          <cell r="D28">
            <v>19</v>
          </cell>
          <cell r="G28">
            <v>974</v>
          </cell>
          <cell r="H28">
            <v>1</v>
          </cell>
          <cell r="J28">
            <v>4752</v>
          </cell>
          <cell r="K28">
            <v>3</v>
          </cell>
          <cell r="L28">
            <v>5000</v>
          </cell>
        </row>
        <row r="29">
          <cell r="D29">
            <v>13</v>
          </cell>
          <cell r="G29">
            <v>983</v>
          </cell>
          <cell r="H29">
            <v>0</v>
          </cell>
          <cell r="J29">
            <v>4812</v>
          </cell>
          <cell r="K29">
            <v>2</v>
          </cell>
          <cell r="L29">
            <v>5000</v>
          </cell>
        </row>
        <row r="30">
          <cell r="D30">
            <v>8</v>
          </cell>
          <cell r="G30">
            <v>989</v>
          </cell>
          <cell r="H30">
            <v>1</v>
          </cell>
          <cell r="J30">
            <v>4898</v>
          </cell>
          <cell r="K30">
            <v>1</v>
          </cell>
          <cell r="L30">
            <v>5000</v>
          </cell>
        </row>
        <row r="31">
          <cell r="D31">
            <v>5</v>
          </cell>
          <cell r="G31">
            <v>993</v>
          </cell>
          <cell r="H31">
            <v>0</v>
          </cell>
          <cell r="J31">
            <v>4944</v>
          </cell>
          <cell r="K31">
            <v>1</v>
          </cell>
          <cell r="L31">
            <v>5000</v>
          </cell>
        </row>
        <row r="32">
          <cell r="D32">
            <v>3</v>
          </cell>
          <cell r="G32">
            <v>996</v>
          </cell>
          <cell r="H32">
            <v>0</v>
          </cell>
          <cell r="J32">
            <v>4964</v>
          </cell>
          <cell r="K32">
            <v>0</v>
          </cell>
          <cell r="L32">
            <v>5000</v>
          </cell>
        </row>
        <row r="33">
          <cell r="D33">
            <v>2</v>
          </cell>
          <cell r="G33">
            <v>997</v>
          </cell>
          <cell r="H33">
            <v>0</v>
          </cell>
          <cell r="J33">
            <v>4970</v>
          </cell>
          <cell r="K33">
            <v>1</v>
          </cell>
          <cell r="L33">
            <v>5000</v>
          </cell>
        </row>
        <row r="34">
          <cell r="D34">
            <v>1</v>
          </cell>
          <cell r="G34">
            <v>998</v>
          </cell>
          <cell r="H34">
            <v>0</v>
          </cell>
          <cell r="J34">
            <v>4976</v>
          </cell>
          <cell r="K34">
            <v>0</v>
          </cell>
          <cell r="L34">
            <v>5000</v>
          </cell>
        </row>
        <row r="35">
          <cell r="D35">
            <v>1</v>
          </cell>
          <cell r="G35">
            <v>999</v>
          </cell>
          <cell r="H35">
            <v>0</v>
          </cell>
          <cell r="J35">
            <v>4988</v>
          </cell>
          <cell r="K35">
            <v>0</v>
          </cell>
          <cell r="L35">
            <v>5000</v>
          </cell>
        </row>
        <row r="36">
          <cell r="D36">
            <v>0</v>
          </cell>
          <cell r="G36">
            <v>999</v>
          </cell>
          <cell r="H36">
            <v>0</v>
          </cell>
          <cell r="J36">
            <v>4990</v>
          </cell>
          <cell r="K36">
            <v>0</v>
          </cell>
          <cell r="L36">
            <v>5000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03_GABM-data"/>
    </sheetNames>
    <sheetDataSet>
      <sheetData sheetId="0" refreshError="1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5</v>
          </cell>
          <cell r="G3">
            <v>998</v>
          </cell>
          <cell r="H3">
            <v>3</v>
          </cell>
          <cell r="J3">
            <v>4982</v>
          </cell>
          <cell r="K3">
            <v>0</v>
          </cell>
          <cell r="L3">
            <v>5000</v>
          </cell>
        </row>
        <row r="4">
          <cell r="D4">
            <v>14</v>
          </cell>
          <cell r="G4">
            <v>997</v>
          </cell>
          <cell r="H4">
            <v>9</v>
          </cell>
          <cell r="J4">
            <v>4976</v>
          </cell>
          <cell r="K4">
            <v>0</v>
          </cell>
          <cell r="L4">
            <v>5000</v>
          </cell>
        </row>
        <row r="5">
          <cell r="D5">
            <v>22</v>
          </cell>
          <cell r="G5">
            <v>999</v>
          </cell>
          <cell r="H5">
            <v>8</v>
          </cell>
          <cell r="J5">
            <v>4990</v>
          </cell>
          <cell r="K5">
            <v>2</v>
          </cell>
          <cell r="L5">
            <v>5000</v>
          </cell>
        </row>
        <row r="6">
          <cell r="D6">
            <v>35</v>
          </cell>
          <cell r="G6">
            <v>782</v>
          </cell>
          <cell r="H6">
            <v>13</v>
          </cell>
          <cell r="J6">
            <v>3050</v>
          </cell>
          <cell r="K6">
            <v>3</v>
          </cell>
          <cell r="L6">
            <v>5000</v>
          </cell>
        </row>
        <row r="7">
          <cell r="D7">
            <v>50</v>
          </cell>
          <cell r="G7">
            <v>771</v>
          </cell>
          <cell r="H7">
            <v>15</v>
          </cell>
          <cell r="J7">
            <v>2976</v>
          </cell>
          <cell r="K7">
            <v>9</v>
          </cell>
          <cell r="L7">
            <v>5000</v>
          </cell>
        </row>
        <row r="8">
          <cell r="D8">
            <v>68</v>
          </cell>
          <cell r="G8">
            <v>710</v>
          </cell>
          <cell r="H8">
            <v>20</v>
          </cell>
          <cell r="J8">
            <v>2536</v>
          </cell>
          <cell r="K8">
            <v>8</v>
          </cell>
          <cell r="L8">
            <v>5000</v>
          </cell>
        </row>
        <row r="9">
          <cell r="D9">
            <v>81</v>
          </cell>
          <cell r="G9">
            <v>658</v>
          </cell>
          <cell r="H9">
            <v>16</v>
          </cell>
          <cell r="J9">
            <v>2186</v>
          </cell>
          <cell r="K9">
            <v>13</v>
          </cell>
          <cell r="L9">
            <v>5000</v>
          </cell>
        </row>
        <row r="10">
          <cell r="D10">
            <v>85</v>
          </cell>
          <cell r="G10">
            <v>453</v>
          </cell>
          <cell r="H10">
            <v>13</v>
          </cell>
          <cell r="J10">
            <v>1034</v>
          </cell>
          <cell r="K10">
            <v>15</v>
          </cell>
          <cell r="L10">
            <v>5000</v>
          </cell>
        </row>
        <row r="11">
          <cell r="D11">
            <v>82</v>
          </cell>
          <cell r="G11">
            <v>346</v>
          </cell>
          <cell r="H11">
            <v>5</v>
          </cell>
          <cell r="J11">
            <v>598</v>
          </cell>
          <cell r="K11">
            <v>20</v>
          </cell>
          <cell r="L11">
            <v>5000</v>
          </cell>
        </row>
        <row r="12">
          <cell r="D12">
            <v>74</v>
          </cell>
          <cell r="G12">
            <v>511</v>
          </cell>
          <cell r="H12">
            <v>5</v>
          </cell>
          <cell r="J12">
            <v>1312</v>
          </cell>
          <cell r="K12">
            <v>16</v>
          </cell>
          <cell r="L12">
            <v>5000</v>
          </cell>
        </row>
        <row r="13">
          <cell r="D13">
            <v>63</v>
          </cell>
          <cell r="G13">
            <v>447</v>
          </cell>
          <cell r="H13">
            <v>4</v>
          </cell>
          <cell r="J13">
            <v>1000</v>
          </cell>
          <cell r="K13">
            <v>13</v>
          </cell>
          <cell r="L13">
            <v>5000</v>
          </cell>
        </row>
        <row r="14">
          <cell r="D14">
            <v>49</v>
          </cell>
          <cell r="G14">
            <v>439</v>
          </cell>
          <cell r="H14">
            <v>6</v>
          </cell>
          <cell r="J14">
            <v>974</v>
          </cell>
          <cell r="K14">
            <v>5</v>
          </cell>
          <cell r="L14">
            <v>5000</v>
          </cell>
        </row>
        <row r="15">
          <cell r="D15">
            <v>40</v>
          </cell>
          <cell r="G15">
            <v>535</v>
          </cell>
          <cell r="H15">
            <v>7</v>
          </cell>
          <cell r="J15">
            <v>1438</v>
          </cell>
          <cell r="K15">
            <v>5</v>
          </cell>
          <cell r="L15">
            <v>5000</v>
          </cell>
        </row>
        <row r="16">
          <cell r="D16">
            <v>35</v>
          </cell>
          <cell r="G16">
            <v>547</v>
          </cell>
          <cell r="H16">
            <v>8</v>
          </cell>
          <cell r="J16">
            <v>1492</v>
          </cell>
          <cell r="K16">
            <v>4</v>
          </cell>
          <cell r="L16">
            <v>5000</v>
          </cell>
        </row>
        <row r="17">
          <cell r="D17">
            <v>39</v>
          </cell>
          <cell r="G17">
            <v>766</v>
          </cell>
          <cell r="H17">
            <v>9</v>
          </cell>
          <cell r="J17">
            <v>2924</v>
          </cell>
          <cell r="K17">
            <v>6</v>
          </cell>
          <cell r="L17">
            <v>5000</v>
          </cell>
        </row>
        <row r="18">
          <cell r="D18">
            <v>44</v>
          </cell>
          <cell r="G18">
            <v>718</v>
          </cell>
          <cell r="H18">
            <v>10</v>
          </cell>
          <cell r="J18">
            <v>2578</v>
          </cell>
          <cell r="K18">
            <v>7</v>
          </cell>
          <cell r="L18">
            <v>5000</v>
          </cell>
        </row>
        <row r="19">
          <cell r="D19">
            <v>52</v>
          </cell>
          <cell r="G19">
            <v>738</v>
          </cell>
          <cell r="H19">
            <v>12</v>
          </cell>
          <cell r="J19">
            <v>2712</v>
          </cell>
          <cell r="K19">
            <v>8</v>
          </cell>
          <cell r="L19">
            <v>5000</v>
          </cell>
        </row>
        <row r="20">
          <cell r="D20">
            <v>53</v>
          </cell>
          <cell r="G20">
            <v>665</v>
          </cell>
          <cell r="H20">
            <v>7</v>
          </cell>
          <cell r="J20">
            <v>2234</v>
          </cell>
          <cell r="K20">
            <v>9</v>
          </cell>
          <cell r="L20">
            <v>5000</v>
          </cell>
        </row>
        <row r="21">
          <cell r="D21">
            <v>61</v>
          </cell>
          <cell r="G21">
            <v>713</v>
          </cell>
          <cell r="H21">
            <v>15</v>
          </cell>
          <cell r="J21">
            <v>2548</v>
          </cell>
          <cell r="K21">
            <v>10</v>
          </cell>
          <cell r="L21">
            <v>5000</v>
          </cell>
        </row>
        <row r="22">
          <cell r="D22">
            <v>68</v>
          </cell>
          <cell r="G22">
            <v>848</v>
          </cell>
          <cell r="H22">
            <v>15</v>
          </cell>
          <cell r="J22">
            <v>3594</v>
          </cell>
          <cell r="K22">
            <v>12</v>
          </cell>
          <cell r="L22">
            <v>5000</v>
          </cell>
        </row>
        <row r="23">
          <cell r="D23">
            <v>67</v>
          </cell>
          <cell r="G23">
            <v>558</v>
          </cell>
          <cell r="H23">
            <v>8</v>
          </cell>
          <cell r="J23">
            <v>1564</v>
          </cell>
          <cell r="K23">
            <v>7</v>
          </cell>
          <cell r="L23">
            <v>5000</v>
          </cell>
        </row>
        <row r="24">
          <cell r="D24">
            <v>63</v>
          </cell>
          <cell r="G24">
            <v>719</v>
          </cell>
          <cell r="H24">
            <v>6</v>
          </cell>
          <cell r="J24">
            <v>2584</v>
          </cell>
          <cell r="K24">
            <v>15</v>
          </cell>
          <cell r="L24">
            <v>5000</v>
          </cell>
        </row>
        <row r="25">
          <cell r="D25">
            <v>52</v>
          </cell>
          <cell r="G25">
            <v>357</v>
          </cell>
          <cell r="H25">
            <v>1</v>
          </cell>
          <cell r="J25">
            <v>642</v>
          </cell>
          <cell r="K25">
            <v>15</v>
          </cell>
          <cell r="L25">
            <v>5000</v>
          </cell>
        </row>
        <row r="26">
          <cell r="D26">
            <v>45</v>
          </cell>
          <cell r="G26">
            <v>359</v>
          </cell>
          <cell r="H26">
            <v>0</v>
          </cell>
          <cell r="J26">
            <v>648</v>
          </cell>
          <cell r="K26">
            <v>8</v>
          </cell>
          <cell r="L26">
            <v>5000</v>
          </cell>
        </row>
        <row r="27">
          <cell r="D27">
            <v>32</v>
          </cell>
          <cell r="G27">
            <v>656</v>
          </cell>
          <cell r="H27">
            <v>2</v>
          </cell>
          <cell r="J27">
            <v>2174</v>
          </cell>
          <cell r="K27">
            <v>6</v>
          </cell>
          <cell r="L27">
            <v>5000</v>
          </cell>
        </row>
        <row r="28">
          <cell r="D28">
            <v>17</v>
          </cell>
          <cell r="G28">
            <v>700</v>
          </cell>
          <cell r="H28">
            <v>0</v>
          </cell>
          <cell r="J28">
            <v>2446</v>
          </cell>
          <cell r="K28">
            <v>1</v>
          </cell>
          <cell r="L28">
            <v>5000</v>
          </cell>
        </row>
        <row r="29">
          <cell r="D29">
            <v>10</v>
          </cell>
          <cell r="G29">
            <v>794</v>
          </cell>
          <cell r="H29">
            <v>1</v>
          </cell>
          <cell r="J29">
            <v>3152</v>
          </cell>
          <cell r="K29">
            <v>0</v>
          </cell>
          <cell r="L29">
            <v>5000</v>
          </cell>
        </row>
        <row r="30">
          <cell r="D30">
            <v>9</v>
          </cell>
          <cell r="G30">
            <v>995</v>
          </cell>
          <cell r="H30">
            <v>5</v>
          </cell>
          <cell r="J30">
            <v>4940</v>
          </cell>
          <cell r="K30">
            <v>2</v>
          </cell>
          <cell r="L30">
            <v>5000</v>
          </cell>
        </row>
        <row r="31">
          <cell r="D31">
            <v>14</v>
          </cell>
          <cell r="G31">
            <v>782</v>
          </cell>
          <cell r="H31">
            <v>6</v>
          </cell>
          <cell r="J31">
            <v>3072</v>
          </cell>
          <cell r="K31">
            <v>0</v>
          </cell>
          <cell r="L31">
            <v>5000</v>
          </cell>
        </row>
        <row r="32">
          <cell r="D32">
            <v>21</v>
          </cell>
          <cell r="G32">
            <v>998</v>
          </cell>
          <cell r="H32">
            <v>7</v>
          </cell>
          <cell r="J32">
            <v>4980</v>
          </cell>
          <cell r="K32">
            <v>1</v>
          </cell>
          <cell r="L32">
            <v>5000</v>
          </cell>
        </row>
        <row r="33">
          <cell r="D33">
            <v>22</v>
          </cell>
          <cell r="G33">
            <v>800</v>
          </cell>
          <cell r="H33">
            <v>3</v>
          </cell>
          <cell r="J33">
            <v>3198</v>
          </cell>
          <cell r="K33">
            <v>5</v>
          </cell>
          <cell r="L33">
            <v>5000</v>
          </cell>
        </row>
        <row r="34">
          <cell r="D34">
            <v>24</v>
          </cell>
          <cell r="G34">
            <v>559</v>
          </cell>
          <cell r="H34">
            <v>2</v>
          </cell>
          <cell r="J34">
            <v>1568</v>
          </cell>
          <cell r="K34">
            <v>6</v>
          </cell>
          <cell r="L34">
            <v>5000</v>
          </cell>
        </row>
        <row r="35">
          <cell r="D35">
            <v>27</v>
          </cell>
          <cell r="G35">
            <v>723</v>
          </cell>
          <cell r="H35">
            <v>4</v>
          </cell>
          <cell r="J35">
            <v>2628</v>
          </cell>
          <cell r="K35">
            <v>7</v>
          </cell>
          <cell r="L35">
            <v>5000</v>
          </cell>
        </row>
        <row r="36">
          <cell r="D36">
            <v>24</v>
          </cell>
          <cell r="G36">
            <v>746</v>
          </cell>
          <cell r="H36">
            <v>2</v>
          </cell>
          <cell r="J36">
            <v>2776</v>
          </cell>
          <cell r="K36">
            <v>3</v>
          </cell>
          <cell r="L36">
            <v>5000</v>
          </cell>
        </row>
        <row r="37">
          <cell r="D37">
            <v>20</v>
          </cell>
          <cell r="G37">
            <v>763</v>
          </cell>
          <cell r="H37">
            <v>2</v>
          </cell>
          <cell r="J37">
            <v>2890</v>
          </cell>
          <cell r="K37">
            <v>2</v>
          </cell>
          <cell r="L37">
            <v>5000</v>
          </cell>
        </row>
        <row r="38">
          <cell r="D38">
            <v>17</v>
          </cell>
          <cell r="G38">
            <v>787</v>
          </cell>
          <cell r="H38">
            <v>4</v>
          </cell>
          <cell r="J38">
            <v>3094</v>
          </cell>
          <cell r="K38">
            <v>4</v>
          </cell>
          <cell r="L38">
            <v>5000</v>
          </cell>
        </row>
        <row r="39">
          <cell r="D39">
            <v>15</v>
          </cell>
          <cell r="G39">
            <v>788</v>
          </cell>
          <cell r="H39">
            <v>1</v>
          </cell>
          <cell r="J39">
            <v>3096</v>
          </cell>
          <cell r="K39">
            <v>2</v>
          </cell>
          <cell r="L39">
            <v>5000</v>
          </cell>
        </row>
        <row r="40">
          <cell r="D40">
            <v>16</v>
          </cell>
          <cell r="G40">
            <v>780</v>
          </cell>
          <cell r="H40">
            <v>3</v>
          </cell>
          <cell r="J40">
            <v>3052</v>
          </cell>
          <cell r="K40">
            <v>2</v>
          </cell>
          <cell r="L40">
            <v>5000</v>
          </cell>
        </row>
        <row r="41">
          <cell r="D41">
            <v>15</v>
          </cell>
          <cell r="G41">
            <v>777</v>
          </cell>
          <cell r="H41">
            <v>3</v>
          </cell>
          <cell r="J41">
            <v>3018</v>
          </cell>
          <cell r="K41">
            <v>4</v>
          </cell>
          <cell r="L41">
            <v>5000</v>
          </cell>
        </row>
        <row r="42">
          <cell r="D42">
            <v>17</v>
          </cell>
          <cell r="G42">
            <v>787</v>
          </cell>
          <cell r="H42">
            <v>4</v>
          </cell>
          <cell r="J42">
            <v>3078</v>
          </cell>
          <cell r="K42">
            <v>1</v>
          </cell>
          <cell r="L42">
            <v>5000</v>
          </cell>
        </row>
        <row r="43">
          <cell r="D43">
            <v>17</v>
          </cell>
          <cell r="G43">
            <v>804</v>
          </cell>
          <cell r="H43">
            <v>2</v>
          </cell>
          <cell r="J43">
            <v>3234</v>
          </cell>
          <cell r="K43">
            <v>3</v>
          </cell>
          <cell r="L43">
            <v>5000</v>
          </cell>
        </row>
        <row r="44">
          <cell r="D44">
            <v>14</v>
          </cell>
          <cell r="G44">
            <v>763</v>
          </cell>
          <cell r="H44">
            <v>1</v>
          </cell>
          <cell r="J44">
            <v>2920</v>
          </cell>
          <cell r="K44">
            <v>3</v>
          </cell>
          <cell r="L44">
            <v>5000</v>
          </cell>
        </row>
        <row r="45">
          <cell r="D45">
            <v>13</v>
          </cell>
          <cell r="G45">
            <v>767</v>
          </cell>
          <cell r="H45">
            <v>0</v>
          </cell>
          <cell r="J45">
            <v>2952</v>
          </cell>
          <cell r="K45">
            <v>4</v>
          </cell>
          <cell r="L45">
            <v>5000</v>
          </cell>
        </row>
        <row r="46">
          <cell r="D46">
            <v>10</v>
          </cell>
          <cell r="G46">
            <v>778</v>
          </cell>
          <cell r="H46">
            <v>0</v>
          </cell>
          <cell r="J46">
            <v>3038</v>
          </cell>
          <cell r="K46">
            <v>2</v>
          </cell>
          <cell r="L46">
            <v>5000</v>
          </cell>
        </row>
        <row r="47">
          <cell r="D47">
            <v>7</v>
          </cell>
          <cell r="G47">
            <v>780</v>
          </cell>
          <cell r="H47">
            <v>0</v>
          </cell>
          <cell r="J47">
            <v>3040</v>
          </cell>
          <cell r="K47">
            <v>1</v>
          </cell>
          <cell r="L47">
            <v>5000</v>
          </cell>
        </row>
        <row r="48">
          <cell r="D48">
            <v>4</v>
          </cell>
          <cell r="G48">
            <v>801</v>
          </cell>
          <cell r="H48">
            <v>1</v>
          </cell>
          <cell r="J48">
            <v>3206</v>
          </cell>
          <cell r="K48">
            <v>0</v>
          </cell>
          <cell r="L48">
            <v>5000</v>
          </cell>
        </row>
        <row r="49">
          <cell r="D49">
            <v>4</v>
          </cell>
          <cell r="G49">
            <v>998</v>
          </cell>
          <cell r="H49">
            <v>2</v>
          </cell>
          <cell r="J49">
            <v>4978</v>
          </cell>
          <cell r="K49">
            <v>0</v>
          </cell>
          <cell r="L49">
            <v>5000</v>
          </cell>
        </row>
        <row r="50">
          <cell r="D50">
            <v>9</v>
          </cell>
          <cell r="G50">
            <v>999</v>
          </cell>
          <cell r="H50">
            <v>6</v>
          </cell>
          <cell r="J50">
            <v>4986</v>
          </cell>
          <cell r="K50">
            <v>0</v>
          </cell>
          <cell r="L50">
            <v>5000</v>
          </cell>
        </row>
        <row r="51">
          <cell r="D51">
            <v>15</v>
          </cell>
          <cell r="G51">
            <v>999</v>
          </cell>
          <cell r="H51">
            <v>6</v>
          </cell>
          <cell r="J51">
            <v>4986</v>
          </cell>
          <cell r="K51">
            <v>1</v>
          </cell>
          <cell r="L51">
            <v>5000</v>
          </cell>
        </row>
        <row r="52">
          <cell r="D52">
            <v>20</v>
          </cell>
          <cell r="G52">
            <v>805</v>
          </cell>
          <cell r="H52">
            <v>5</v>
          </cell>
          <cell r="J52">
            <v>3244</v>
          </cell>
          <cell r="K52">
            <v>2</v>
          </cell>
          <cell r="L52">
            <v>5000</v>
          </cell>
        </row>
        <row r="53">
          <cell r="D53">
            <v>26</v>
          </cell>
          <cell r="G53">
            <v>771</v>
          </cell>
          <cell r="H53">
            <v>6</v>
          </cell>
          <cell r="J53">
            <v>2978</v>
          </cell>
          <cell r="K53">
            <v>6</v>
          </cell>
          <cell r="L53">
            <v>5000</v>
          </cell>
        </row>
        <row r="54">
          <cell r="D54">
            <v>30</v>
          </cell>
          <cell r="G54">
            <v>720</v>
          </cell>
          <cell r="H54">
            <v>5</v>
          </cell>
          <cell r="J54">
            <v>2592</v>
          </cell>
          <cell r="K54">
            <v>6</v>
          </cell>
          <cell r="L54">
            <v>5000</v>
          </cell>
        </row>
        <row r="55">
          <cell r="D55">
            <v>35</v>
          </cell>
          <cell r="G55">
            <v>712</v>
          </cell>
          <cell r="H55">
            <v>7</v>
          </cell>
          <cell r="J55">
            <v>2530</v>
          </cell>
          <cell r="K55">
            <v>5</v>
          </cell>
          <cell r="L55">
            <v>5000</v>
          </cell>
        </row>
        <row r="56">
          <cell r="D56">
            <v>30</v>
          </cell>
          <cell r="G56">
            <v>549</v>
          </cell>
          <cell r="H56">
            <v>1</v>
          </cell>
          <cell r="J56">
            <v>1530</v>
          </cell>
          <cell r="K56">
            <v>6</v>
          </cell>
          <cell r="L56">
            <v>5000</v>
          </cell>
        </row>
        <row r="57">
          <cell r="D57">
            <v>28</v>
          </cell>
          <cell r="G57">
            <v>718</v>
          </cell>
          <cell r="H57">
            <v>4</v>
          </cell>
          <cell r="J57">
            <v>2572</v>
          </cell>
          <cell r="K57">
            <v>5</v>
          </cell>
          <cell r="L57">
            <v>5000</v>
          </cell>
        </row>
        <row r="58">
          <cell r="D58">
            <v>23</v>
          </cell>
          <cell r="G58">
            <v>546</v>
          </cell>
          <cell r="H58">
            <v>0</v>
          </cell>
          <cell r="J58">
            <v>1474</v>
          </cell>
          <cell r="K58">
            <v>7</v>
          </cell>
          <cell r="L58">
            <v>5000</v>
          </cell>
        </row>
        <row r="59">
          <cell r="D59">
            <v>19</v>
          </cell>
          <cell r="G59">
            <v>746</v>
          </cell>
          <cell r="H59">
            <v>2</v>
          </cell>
          <cell r="J59">
            <v>2790</v>
          </cell>
          <cell r="K59">
            <v>1</v>
          </cell>
          <cell r="L59">
            <v>5000</v>
          </cell>
        </row>
        <row r="60">
          <cell r="D60">
            <v>16</v>
          </cell>
          <cell r="G60">
            <v>790</v>
          </cell>
          <cell r="H60">
            <v>2</v>
          </cell>
          <cell r="J60">
            <v>3112</v>
          </cell>
          <cell r="K60">
            <v>4</v>
          </cell>
          <cell r="L60">
            <v>5000</v>
          </cell>
        </row>
        <row r="61">
          <cell r="D61">
            <v>10</v>
          </cell>
          <cell r="G61">
            <v>777</v>
          </cell>
          <cell r="H61">
            <v>1</v>
          </cell>
          <cell r="J61">
            <v>3016</v>
          </cell>
          <cell r="K61">
            <v>0</v>
          </cell>
          <cell r="L61">
            <v>5000</v>
          </cell>
        </row>
        <row r="62">
          <cell r="D62">
            <v>15</v>
          </cell>
          <cell r="G62">
            <v>995</v>
          </cell>
          <cell r="H62">
            <v>6</v>
          </cell>
          <cell r="J62">
            <v>4954</v>
          </cell>
          <cell r="K62">
            <v>2</v>
          </cell>
          <cell r="L62">
            <v>5000</v>
          </cell>
        </row>
        <row r="63">
          <cell r="D63">
            <v>13</v>
          </cell>
          <cell r="G63">
            <v>778</v>
          </cell>
          <cell r="H63">
            <v>2</v>
          </cell>
          <cell r="J63">
            <v>3026</v>
          </cell>
          <cell r="K63">
            <v>2</v>
          </cell>
          <cell r="L63">
            <v>5000</v>
          </cell>
        </row>
        <row r="64">
          <cell r="D64">
            <v>15</v>
          </cell>
          <cell r="G64">
            <v>785</v>
          </cell>
          <cell r="H64">
            <v>2</v>
          </cell>
          <cell r="J64">
            <v>3090</v>
          </cell>
          <cell r="K64">
            <v>1</v>
          </cell>
          <cell r="L64">
            <v>5000</v>
          </cell>
        </row>
        <row r="65">
          <cell r="D65">
            <v>15</v>
          </cell>
          <cell r="G65">
            <v>803</v>
          </cell>
          <cell r="H65">
            <v>2</v>
          </cell>
          <cell r="J65">
            <v>3220</v>
          </cell>
          <cell r="K65">
            <v>6</v>
          </cell>
          <cell r="L65">
            <v>5000</v>
          </cell>
        </row>
        <row r="66">
          <cell r="D66">
            <v>16</v>
          </cell>
          <cell r="G66">
            <v>716</v>
          </cell>
          <cell r="H66">
            <v>3</v>
          </cell>
          <cell r="J66">
            <v>2586</v>
          </cell>
          <cell r="K66">
            <v>2</v>
          </cell>
          <cell r="L66">
            <v>5000</v>
          </cell>
        </row>
        <row r="67">
          <cell r="D67">
            <v>20</v>
          </cell>
          <cell r="G67">
            <v>767</v>
          </cell>
          <cell r="H67">
            <v>5</v>
          </cell>
          <cell r="J67">
            <v>2956</v>
          </cell>
          <cell r="K67">
            <v>2</v>
          </cell>
          <cell r="L67">
            <v>5000</v>
          </cell>
        </row>
        <row r="68">
          <cell r="D68">
            <v>18</v>
          </cell>
          <cell r="G68">
            <v>786</v>
          </cell>
          <cell r="H68">
            <v>4</v>
          </cell>
          <cell r="J68">
            <v>3078</v>
          </cell>
          <cell r="K68">
            <v>2</v>
          </cell>
          <cell r="L68">
            <v>5000</v>
          </cell>
        </row>
        <row r="69">
          <cell r="D69">
            <v>17</v>
          </cell>
          <cell r="G69">
            <v>777</v>
          </cell>
          <cell r="H69">
            <v>1</v>
          </cell>
          <cell r="J69">
            <v>3024</v>
          </cell>
          <cell r="K69">
            <v>3</v>
          </cell>
          <cell r="L69">
            <v>5000</v>
          </cell>
        </row>
        <row r="70">
          <cell r="D70">
            <v>17</v>
          </cell>
          <cell r="G70">
            <v>757</v>
          </cell>
          <cell r="H70">
            <v>2</v>
          </cell>
          <cell r="J70">
            <v>2838</v>
          </cell>
          <cell r="K70">
            <v>5</v>
          </cell>
          <cell r="L70">
            <v>5000</v>
          </cell>
        </row>
        <row r="71">
          <cell r="D71">
            <v>16</v>
          </cell>
          <cell r="G71">
            <v>567</v>
          </cell>
          <cell r="H71">
            <v>1</v>
          </cell>
          <cell r="J71">
            <v>1604</v>
          </cell>
          <cell r="K71">
            <v>4</v>
          </cell>
          <cell r="L71">
            <v>5000</v>
          </cell>
        </row>
        <row r="72">
          <cell r="D72">
            <v>13</v>
          </cell>
          <cell r="G72">
            <v>789</v>
          </cell>
          <cell r="H72">
            <v>0</v>
          </cell>
          <cell r="J72">
            <v>3120</v>
          </cell>
          <cell r="K72">
            <v>1</v>
          </cell>
          <cell r="L72">
            <v>5000</v>
          </cell>
        </row>
        <row r="73">
          <cell r="D73">
            <v>8</v>
          </cell>
          <cell r="G73">
            <v>803</v>
          </cell>
          <cell r="H73">
            <v>0</v>
          </cell>
          <cell r="J73">
            <v>3228</v>
          </cell>
          <cell r="K73">
            <v>2</v>
          </cell>
          <cell r="L73">
            <v>5000</v>
          </cell>
        </row>
        <row r="74">
          <cell r="D74">
            <v>4</v>
          </cell>
          <cell r="G74">
            <v>779</v>
          </cell>
          <cell r="H74">
            <v>0</v>
          </cell>
          <cell r="J74">
            <v>3022</v>
          </cell>
          <cell r="K74">
            <v>1</v>
          </cell>
          <cell r="L74">
            <v>5000</v>
          </cell>
        </row>
        <row r="75">
          <cell r="D75">
            <v>3</v>
          </cell>
          <cell r="G75">
            <v>812</v>
          </cell>
          <cell r="H75">
            <v>0</v>
          </cell>
          <cell r="J75">
            <v>3296</v>
          </cell>
          <cell r="K75">
            <v>0</v>
          </cell>
          <cell r="L75">
            <v>5000</v>
          </cell>
        </row>
        <row r="76">
          <cell r="D76">
            <v>1</v>
          </cell>
          <cell r="G76">
            <v>995</v>
          </cell>
          <cell r="H76">
            <v>0</v>
          </cell>
          <cell r="J76">
            <v>4944</v>
          </cell>
          <cell r="K76">
            <v>0</v>
          </cell>
          <cell r="L76">
            <v>5000</v>
          </cell>
        </row>
        <row r="77">
          <cell r="D77">
            <v>0</v>
          </cell>
          <cell r="G77">
            <v>999</v>
          </cell>
          <cell r="H77">
            <v>0</v>
          </cell>
          <cell r="J77">
            <v>4986</v>
          </cell>
          <cell r="K77">
            <v>0</v>
          </cell>
          <cell r="L77">
            <v>5000</v>
          </cell>
        </row>
        <row r="78">
          <cell r="D78">
            <v>0</v>
          </cell>
          <cell r="G78">
            <v>999</v>
          </cell>
          <cell r="H78">
            <v>0</v>
          </cell>
          <cell r="J78">
            <v>4988</v>
          </cell>
          <cell r="K78">
            <v>0</v>
          </cell>
          <cell r="L78">
            <v>5000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RossAPI-data"/>
    </sheetNames>
    <sheetDataSet>
      <sheetData sheetId="0" refreshError="1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3</v>
          </cell>
          <cell r="G3">
            <v>996</v>
          </cell>
          <cell r="H3">
            <v>1</v>
          </cell>
          <cell r="J3">
            <v>4964</v>
          </cell>
          <cell r="K3">
            <v>0</v>
          </cell>
          <cell r="L3">
            <v>5000</v>
          </cell>
        </row>
        <row r="4">
          <cell r="D4">
            <v>7</v>
          </cell>
          <cell r="G4">
            <v>996</v>
          </cell>
          <cell r="H4">
            <v>4</v>
          </cell>
          <cell r="J4">
            <v>4960</v>
          </cell>
          <cell r="K4">
            <v>0</v>
          </cell>
          <cell r="L4">
            <v>5000</v>
          </cell>
        </row>
        <row r="5">
          <cell r="D5">
            <v>17</v>
          </cell>
          <cell r="G5">
            <v>998</v>
          </cell>
          <cell r="H5">
            <v>10</v>
          </cell>
          <cell r="J5">
            <v>4980</v>
          </cell>
          <cell r="K5">
            <v>2</v>
          </cell>
          <cell r="L5">
            <v>5000</v>
          </cell>
        </row>
        <row r="6">
          <cell r="D6">
            <v>33</v>
          </cell>
          <cell r="G6">
            <v>796</v>
          </cell>
          <cell r="H6">
            <v>16</v>
          </cell>
          <cell r="J6">
            <v>3168</v>
          </cell>
          <cell r="K6">
            <v>1</v>
          </cell>
          <cell r="L6">
            <v>5000</v>
          </cell>
        </row>
        <row r="7">
          <cell r="D7">
            <v>48</v>
          </cell>
          <cell r="G7">
            <v>807</v>
          </cell>
          <cell r="H7">
            <v>15</v>
          </cell>
          <cell r="J7">
            <v>3248</v>
          </cell>
          <cell r="K7">
            <v>4</v>
          </cell>
          <cell r="L7">
            <v>5000</v>
          </cell>
        </row>
        <row r="8">
          <cell r="D8">
            <v>64</v>
          </cell>
          <cell r="G8">
            <v>795</v>
          </cell>
          <cell r="H8">
            <v>18</v>
          </cell>
          <cell r="J8">
            <v>3156</v>
          </cell>
          <cell r="K8">
            <v>10</v>
          </cell>
          <cell r="L8">
            <v>5000</v>
          </cell>
        </row>
        <row r="9">
          <cell r="D9">
            <v>89</v>
          </cell>
          <cell r="G9">
            <v>842</v>
          </cell>
          <cell r="H9">
            <v>26</v>
          </cell>
          <cell r="J9">
            <v>3540</v>
          </cell>
          <cell r="K9">
            <v>16</v>
          </cell>
          <cell r="L9">
            <v>5000</v>
          </cell>
        </row>
        <row r="10">
          <cell r="D10">
            <v>92</v>
          </cell>
          <cell r="G10">
            <v>458</v>
          </cell>
          <cell r="H10">
            <v>7</v>
          </cell>
          <cell r="J10">
            <v>1056</v>
          </cell>
          <cell r="K10">
            <v>15</v>
          </cell>
          <cell r="L10">
            <v>5000</v>
          </cell>
        </row>
        <row r="11">
          <cell r="D11">
            <v>86</v>
          </cell>
          <cell r="G11">
            <v>382</v>
          </cell>
          <cell r="H11">
            <v>4</v>
          </cell>
          <cell r="J11">
            <v>730</v>
          </cell>
          <cell r="K11">
            <v>18</v>
          </cell>
          <cell r="L11">
            <v>5000</v>
          </cell>
        </row>
        <row r="12">
          <cell r="D12">
            <v>74</v>
          </cell>
          <cell r="G12">
            <v>530</v>
          </cell>
          <cell r="H12">
            <v>4</v>
          </cell>
          <cell r="J12">
            <v>1382</v>
          </cell>
          <cell r="K12">
            <v>26</v>
          </cell>
          <cell r="L12">
            <v>5000</v>
          </cell>
        </row>
        <row r="13">
          <cell r="D13">
            <v>61</v>
          </cell>
          <cell r="G13">
            <v>284</v>
          </cell>
          <cell r="H13">
            <v>2</v>
          </cell>
          <cell r="J13">
            <v>398</v>
          </cell>
          <cell r="K13">
            <v>7</v>
          </cell>
          <cell r="L13">
            <v>5000</v>
          </cell>
        </row>
        <row r="14">
          <cell r="D14">
            <v>45</v>
          </cell>
          <cell r="G14">
            <v>741</v>
          </cell>
          <cell r="H14">
            <v>2</v>
          </cell>
          <cell r="J14">
            <v>2740</v>
          </cell>
          <cell r="K14">
            <v>4</v>
          </cell>
          <cell r="L14">
            <v>5000</v>
          </cell>
        </row>
        <row r="15">
          <cell r="D15">
            <v>25</v>
          </cell>
          <cell r="G15">
            <v>776</v>
          </cell>
          <cell r="H15">
            <v>6</v>
          </cell>
          <cell r="J15">
            <v>3022</v>
          </cell>
          <cell r="K15">
            <v>4</v>
          </cell>
          <cell r="L15">
            <v>5000</v>
          </cell>
        </row>
        <row r="16">
          <cell r="D16">
            <v>23</v>
          </cell>
          <cell r="G16">
            <v>798</v>
          </cell>
          <cell r="H16">
            <v>5</v>
          </cell>
          <cell r="J16">
            <v>3180</v>
          </cell>
          <cell r="K16">
            <v>2</v>
          </cell>
          <cell r="L16">
            <v>5000</v>
          </cell>
        </row>
        <row r="17">
          <cell r="D17">
            <v>24</v>
          </cell>
          <cell r="G17">
            <v>783</v>
          </cell>
          <cell r="H17">
            <v>5</v>
          </cell>
          <cell r="J17">
            <v>3070</v>
          </cell>
          <cell r="K17">
            <v>2</v>
          </cell>
          <cell r="L17">
            <v>5000</v>
          </cell>
        </row>
        <row r="18">
          <cell r="D18">
            <v>29</v>
          </cell>
          <cell r="G18">
            <v>797</v>
          </cell>
          <cell r="H18">
            <v>9</v>
          </cell>
          <cell r="J18">
            <v>3174</v>
          </cell>
          <cell r="K18">
            <v>6</v>
          </cell>
          <cell r="L18">
            <v>5000</v>
          </cell>
        </row>
        <row r="19">
          <cell r="D19">
            <v>36</v>
          </cell>
          <cell r="G19">
            <v>758</v>
          </cell>
          <cell r="H19">
            <v>9</v>
          </cell>
          <cell r="J19">
            <v>2882</v>
          </cell>
          <cell r="K19">
            <v>5</v>
          </cell>
          <cell r="L19">
            <v>5000</v>
          </cell>
        </row>
        <row r="20">
          <cell r="D20">
            <v>42</v>
          </cell>
          <cell r="G20">
            <v>568</v>
          </cell>
          <cell r="H20">
            <v>8</v>
          </cell>
          <cell r="J20">
            <v>1602</v>
          </cell>
          <cell r="K20">
            <v>5</v>
          </cell>
          <cell r="L20">
            <v>5000</v>
          </cell>
        </row>
        <row r="21">
          <cell r="D21">
            <v>41</v>
          </cell>
          <cell r="G21">
            <v>570</v>
          </cell>
          <cell r="H21">
            <v>5</v>
          </cell>
          <cell r="J21">
            <v>1642</v>
          </cell>
          <cell r="K21">
            <v>9</v>
          </cell>
          <cell r="L21">
            <v>5000</v>
          </cell>
        </row>
        <row r="22">
          <cell r="D22">
            <v>42</v>
          </cell>
          <cell r="G22">
            <v>709</v>
          </cell>
          <cell r="H22">
            <v>6</v>
          </cell>
          <cell r="J22">
            <v>2502</v>
          </cell>
          <cell r="K22">
            <v>9</v>
          </cell>
          <cell r="L22">
            <v>5000</v>
          </cell>
        </row>
        <row r="23">
          <cell r="D23">
            <v>41</v>
          </cell>
          <cell r="G23">
            <v>706</v>
          </cell>
          <cell r="H23">
            <v>4</v>
          </cell>
          <cell r="J23">
            <v>2480</v>
          </cell>
          <cell r="K23">
            <v>8</v>
          </cell>
          <cell r="L23">
            <v>5000</v>
          </cell>
        </row>
        <row r="24">
          <cell r="D24">
            <v>35</v>
          </cell>
          <cell r="G24">
            <v>705</v>
          </cell>
          <cell r="H24">
            <v>3</v>
          </cell>
          <cell r="J24">
            <v>2482</v>
          </cell>
          <cell r="K24">
            <v>5</v>
          </cell>
          <cell r="L24">
            <v>5000</v>
          </cell>
        </row>
        <row r="25">
          <cell r="D25">
            <v>28</v>
          </cell>
          <cell r="G25">
            <v>565</v>
          </cell>
          <cell r="H25">
            <v>2</v>
          </cell>
          <cell r="J25">
            <v>1592</v>
          </cell>
          <cell r="K25">
            <v>6</v>
          </cell>
          <cell r="L25">
            <v>5000</v>
          </cell>
        </row>
        <row r="26">
          <cell r="D26">
            <v>24</v>
          </cell>
          <cell r="G26">
            <v>741</v>
          </cell>
          <cell r="H26">
            <v>4</v>
          </cell>
          <cell r="J26">
            <v>2756</v>
          </cell>
          <cell r="K26">
            <v>4</v>
          </cell>
          <cell r="L26">
            <v>5000</v>
          </cell>
        </row>
        <row r="27">
          <cell r="D27">
            <v>25</v>
          </cell>
          <cell r="G27">
            <v>807</v>
          </cell>
          <cell r="H27">
            <v>6</v>
          </cell>
          <cell r="J27">
            <v>3250</v>
          </cell>
          <cell r="K27">
            <v>3</v>
          </cell>
          <cell r="L27">
            <v>5000</v>
          </cell>
        </row>
        <row r="28">
          <cell r="D28">
            <v>27</v>
          </cell>
          <cell r="G28">
            <v>774</v>
          </cell>
          <cell r="H28">
            <v>8</v>
          </cell>
          <cell r="J28">
            <v>3002</v>
          </cell>
          <cell r="K28">
            <v>2</v>
          </cell>
          <cell r="L28">
            <v>5000</v>
          </cell>
        </row>
        <row r="29">
          <cell r="D29">
            <v>34</v>
          </cell>
          <cell r="G29">
            <v>786</v>
          </cell>
          <cell r="H29">
            <v>11</v>
          </cell>
          <cell r="J29">
            <v>3096</v>
          </cell>
          <cell r="K29">
            <v>4</v>
          </cell>
          <cell r="L29">
            <v>5000</v>
          </cell>
        </row>
        <row r="30">
          <cell r="D30">
            <v>44</v>
          </cell>
          <cell r="G30">
            <v>801</v>
          </cell>
          <cell r="H30">
            <v>13</v>
          </cell>
          <cell r="J30">
            <v>3208</v>
          </cell>
          <cell r="K30">
            <v>6</v>
          </cell>
          <cell r="L30">
            <v>5000</v>
          </cell>
        </row>
        <row r="31">
          <cell r="D31">
            <v>54</v>
          </cell>
          <cell r="G31">
            <v>738</v>
          </cell>
          <cell r="H31">
            <v>12</v>
          </cell>
          <cell r="J31">
            <v>2726</v>
          </cell>
          <cell r="K31">
            <v>8</v>
          </cell>
          <cell r="L31">
            <v>5000</v>
          </cell>
        </row>
        <row r="32">
          <cell r="D32">
            <v>56</v>
          </cell>
          <cell r="G32">
            <v>691</v>
          </cell>
          <cell r="H32">
            <v>6</v>
          </cell>
          <cell r="J32">
            <v>2388</v>
          </cell>
          <cell r="K32">
            <v>11</v>
          </cell>
          <cell r="L32">
            <v>5000</v>
          </cell>
        </row>
        <row r="33">
          <cell r="D33">
            <v>54</v>
          </cell>
          <cell r="G33">
            <v>661</v>
          </cell>
          <cell r="H33">
            <v>4</v>
          </cell>
          <cell r="J33">
            <v>2198</v>
          </cell>
          <cell r="K33">
            <v>13</v>
          </cell>
          <cell r="L33">
            <v>5000</v>
          </cell>
        </row>
        <row r="34">
          <cell r="D34">
            <v>48</v>
          </cell>
          <cell r="G34">
            <v>464</v>
          </cell>
          <cell r="H34">
            <v>2</v>
          </cell>
          <cell r="J34">
            <v>1050</v>
          </cell>
          <cell r="K34">
            <v>12</v>
          </cell>
          <cell r="L34">
            <v>5000</v>
          </cell>
        </row>
        <row r="35">
          <cell r="D35">
            <v>41</v>
          </cell>
          <cell r="G35">
            <v>555</v>
          </cell>
          <cell r="H35">
            <v>4</v>
          </cell>
          <cell r="J35">
            <v>1546</v>
          </cell>
          <cell r="K35">
            <v>6</v>
          </cell>
          <cell r="L35">
            <v>5000</v>
          </cell>
        </row>
        <row r="36">
          <cell r="D36">
            <v>30</v>
          </cell>
          <cell r="G36">
            <v>725</v>
          </cell>
          <cell r="H36">
            <v>2</v>
          </cell>
          <cell r="J36">
            <v>2640</v>
          </cell>
          <cell r="K36">
            <v>4</v>
          </cell>
          <cell r="L36">
            <v>5000</v>
          </cell>
        </row>
        <row r="37">
          <cell r="D37">
            <v>24</v>
          </cell>
          <cell r="G37">
            <v>788</v>
          </cell>
          <cell r="H37">
            <v>6</v>
          </cell>
          <cell r="J37">
            <v>3096</v>
          </cell>
          <cell r="K37">
            <v>2</v>
          </cell>
          <cell r="L37">
            <v>5000</v>
          </cell>
        </row>
        <row r="38">
          <cell r="D38">
            <v>22</v>
          </cell>
          <cell r="G38">
            <v>786</v>
          </cell>
          <cell r="H38">
            <v>4</v>
          </cell>
          <cell r="J38">
            <v>3092</v>
          </cell>
          <cell r="K38">
            <v>4</v>
          </cell>
          <cell r="L38">
            <v>5000</v>
          </cell>
        </row>
        <row r="39">
          <cell r="D39">
            <v>20</v>
          </cell>
          <cell r="G39">
            <v>805</v>
          </cell>
          <cell r="H39">
            <v>2</v>
          </cell>
          <cell r="J39">
            <v>3242</v>
          </cell>
          <cell r="K39">
            <v>2</v>
          </cell>
          <cell r="L39">
            <v>5000</v>
          </cell>
        </row>
        <row r="40">
          <cell r="D40">
            <v>24</v>
          </cell>
          <cell r="G40">
            <v>777</v>
          </cell>
          <cell r="H40">
            <v>6</v>
          </cell>
          <cell r="J40">
            <v>3004</v>
          </cell>
          <cell r="K40">
            <v>6</v>
          </cell>
          <cell r="L40">
            <v>5000</v>
          </cell>
        </row>
        <row r="41">
          <cell r="D41">
            <v>28</v>
          </cell>
          <cell r="G41">
            <v>749</v>
          </cell>
          <cell r="H41">
            <v>8</v>
          </cell>
          <cell r="J41">
            <v>2800</v>
          </cell>
          <cell r="K41">
            <v>4</v>
          </cell>
          <cell r="L41">
            <v>5000</v>
          </cell>
        </row>
        <row r="42">
          <cell r="D42">
            <v>34</v>
          </cell>
          <cell r="G42">
            <v>804</v>
          </cell>
          <cell r="H42">
            <v>8</v>
          </cell>
          <cell r="J42">
            <v>3238</v>
          </cell>
          <cell r="K42">
            <v>2</v>
          </cell>
          <cell r="L42">
            <v>5000</v>
          </cell>
        </row>
        <row r="43">
          <cell r="D43">
            <v>37</v>
          </cell>
          <cell r="G43">
            <v>786</v>
          </cell>
          <cell r="H43">
            <v>9</v>
          </cell>
          <cell r="J43">
            <v>3094</v>
          </cell>
          <cell r="K43">
            <v>6</v>
          </cell>
          <cell r="L43">
            <v>5000</v>
          </cell>
        </row>
        <row r="44">
          <cell r="D44">
            <v>44</v>
          </cell>
          <cell r="G44">
            <v>738</v>
          </cell>
          <cell r="H44">
            <v>11</v>
          </cell>
          <cell r="J44">
            <v>2734</v>
          </cell>
          <cell r="K44">
            <v>8</v>
          </cell>
          <cell r="L44">
            <v>5000</v>
          </cell>
        </row>
        <row r="45">
          <cell r="D45">
            <v>50</v>
          </cell>
          <cell r="G45">
            <v>706</v>
          </cell>
          <cell r="H45">
            <v>8</v>
          </cell>
          <cell r="J45">
            <v>2504</v>
          </cell>
          <cell r="K45">
            <v>8</v>
          </cell>
          <cell r="L45">
            <v>5000</v>
          </cell>
        </row>
        <row r="46">
          <cell r="D46">
            <v>52</v>
          </cell>
          <cell r="G46">
            <v>693</v>
          </cell>
          <cell r="H46">
            <v>8</v>
          </cell>
          <cell r="J46">
            <v>2410</v>
          </cell>
          <cell r="K46">
            <v>9</v>
          </cell>
          <cell r="L46">
            <v>5000</v>
          </cell>
        </row>
        <row r="47">
          <cell r="D47">
            <v>50</v>
          </cell>
          <cell r="G47">
            <v>705</v>
          </cell>
          <cell r="H47">
            <v>6</v>
          </cell>
          <cell r="J47">
            <v>2482</v>
          </cell>
          <cell r="K47">
            <v>11</v>
          </cell>
          <cell r="L47">
            <v>5000</v>
          </cell>
        </row>
        <row r="48">
          <cell r="D48">
            <v>51</v>
          </cell>
          <cell r="G48">
            <v>671</v>
          </cell>
          <cell r="H48">
            <v>9</v>
          </cell>
          <cell r="J48">
            <v>2240</v>
          </cell>
          <cell r="K48">
            <v>8</v>
          </cell>
          <cell r="L48">
            <v>5000</v>
          </cell>
        </row>
        <row r="49">
          <cell r="D49">
            <v>47</v>
          </cell>
          <cell r="G49">
            <v>697</v>
          </cell>
          <cell r="H49">
            <v>5</v>
          </cell>
          <cell r="J49">
            <v>2412</v>
          </cell>
          <cell r="K49">
            <v>8</v>
          </cell>
          <cell r="L49">
            <v>5000</v>
          </cell>
        </row>
        <row r="50">
          <cell r="D50">
            <v>44</v>
          </cell>
          <cell r="G50">
            <v>695</v>
          </cell>
          <cell r="H50">
            <v>8</v>
          </cell>
          <cell r="J50">
            <v>2398</v>
          </cell>
          <cell r="K50">
            <v>6</v>
          </cell>
          <cell r="L50">
            <v>5000</v>
          </cell>
        </row>
        <row r="51">
          <cell r="D51">
            <v>43</v>
          </cell>
          <cell r="G51">
            <v>738</v>
          </cell>
          <cell r="H51">
            <v>7</v>
          </cell>
          <cell r="J51">
            <v>2726</v>
          </cell>
          <cell r="K51">
            <v>9</v>
          </cell>
          <cell r="L51">
            <v>5000</v>
          </cell>
        </row>
        <row r="52">
          <cell r="D52">
            <v>36</v>
          </cell>
          <cell r="G52">
            <v>710</v>
          </cell>
          <cell r="H52">
            <v>1</v>
          </cell>
          <cell r="J52">
            <v>2506</v>
          </cell>
          <cell r="K52">
            <v>5</v>
          </cell>
          <cell r="L52">
            <v>5000</v>
          </cell>
        </row>
        <row r="53">
          <cell r="D53">
            <v>32</v>
          </cell>
          <cell r="G53">
            <v>576</v>
          </cell>
          <cell r="H53">
            <v>2</v>
          </cell>
          <cell r="J53">
            <v>1658</v>
          </cell>
          <cell r="K53">
            <v>8</v>
          </cell>
          <cell r="L53">
            <v>5000</v>
          </cell>
        </row>
        <row r="54">
          <cell r="D54">
            <v>24</v>
          </cell>
          <cell r="G54">
            <v>693</v>
          </cell>
          <cell r="H54">
            <v>1</v>
          </cell>
          <cell r="J54">
            <v>2386</v>
          </cell>
          <cell r="K54">
            <v>7</v>
          </cell>
          <cell r="L54">
            <v>5000</v>
          </cell>
        </row>
        <row r="55">
          <cell r="D55">
            <v>21</v>
          </cell>
          <cell r="G55">
            <v>777</v>
          </cell>
          <cell r="H55">
            <v>2</v>
          </cell>
          <cell r="J55">
            <v>3022</v>
          </cell>
          <cell r="K55">
            <v>1</v>
          </cell>
          <cell r="L55">
            <v>5000</v>
          </cell>
        </row>
        <row r="56">
          <cell r="D56">
            <v>20</v>
          </cell>
          <cell r="G56">
            <v>802</v>
          </cell>
          <cell r="H56">
            <v>7</v>
          </cell>
          <cell r="J56">
            <v>3214</v>
          </cell>
          <cell r="K56">
            <v>2</v>
          </cell>
          <cell r="L56">
            <v>5000</v>
          </cell>
        </row>
        <row r="57">
          <cell r="D57">
            <v>17</v>
          </cell>
          <cell r="G57">
            <v>793</v>
          </cell>
          <cell r="H57">
            <v>4</v>
          </cell>
          <cell r="J57">
            <v>3150</v>
          </cell>
          <cell r="K57">
            <v>1</v>
          </cell>
          <cell r="L57">
            <v>5000</v>
          </cell>
        </row>
        <row r="58">
          <cell r="D58">
            <v>21</v>
          </cell>
          <cell r="G58">
            <v>808</v>
          </cell>
          <cell r="H58">
            <v>5</v>
          </cell>
          <cell r="J58">
            <v>3266</v>
          </cell>
          <cell r="K58">
            <v>2</v>
          </cell>
          <cell r="L58">
            <v>5000</v>
          </cell>
        </row>
        <row r="59">
          <cell r="D59">
            <v>24</v>
          </cell>
          <cell r="G59">
            <v>792</v>
          </cell>
          <cell r="H59">
            <v>5</v>
          </cell>
          <cell r="J59">
            <v>3132</v>
          </cell>
          <cell r="K59">
            <v>7</v>
          </cell>
          <cell r="L59">
            <v>5000</v>
          </cell>
        </row>
        <row r="60">
          <cell r="D60">
            <v>27</v>
          </cell>
          <cell r="G60">
            <v>780</v>
          </cell>
          <cell r="H60">
            <v>4</v>
          </cell>
          <cell r="J60">
            <v>3054</v>
          </cell>
          <cell r="K60">
            <v>4</v>
          </cell>
          <cell r="L60">
            <v>5000</v>
          </cell>
        </row>
        <row r="61">
          <cell r="D61">
            <v>26</v>
          </cell>
          <cell r="G61">
            <v>805</v>
          </cell>
          <cell r="H61">
            <v>1</v>
          </cell>
          <cell r="J61">
            <v>3236</v>
          </cell>
          <cell r="K61">
            <v>5</v>
          </cell>
          <cell r="L61">
            <v>5000</v>
          </cell>
        </row>
        <row r="62">
          <cell r="D62">
            <v>19</v>
          </cell>
          <cell r="G62">
            <v>574</v>
          </cell>
          <cell r="H62">
            <v>0</v>
          </cell>
          <cell r="J62">
            <v>1656</v>
          </cell>
          <cell r="K62">
            <v>5</v>
          </cell>
          <cell r="L62">
            <v>5000</v>
          </cell>
        </row>
        <row r="63">
          <cell r="D63">
            <v>15</v>
          </cell>
          <cell r="G63">
            <v>566</v>
          </cell>
          <cell r="H63">
            <v>0</v>
          </cell>
          <cell r="J63">
            <v>1610</v>
          </cell>
          <cell r="K63">
            <v>4</v>
          </cell>
          <cell r="L63">
            <v>5000</v>
          </cell>
        </row>
        <row r="64">
          <cell r="D64">
            <v>10</v>
          </cell>
          <cell r="G64">
            <v>800</v>
          </cell>
          <cell r="H64">
            <v>0</v>
          </cell>
          <cell r="J64">
            <v>3198</v>
          </cell>
          <cell r="K64">
            <v>1</v>
          </cell>
          <cell r="L64">
            <v>5000</v>
          </cell>
        </row>
        <row r="65">
          <cell r="D65">
            <v>5</v>
          </cell>
          <cell r="G65">
            <v>807</v>
          </cell>
          <cell r="H65">
            <v>0</v>
          </cell>
          <cell r="J65">
            <v>3262</v>
          </cell>
          <cell r="K65">
            <v>0</v>
          </cell>
          <cell r="L65">
            <v>5000</v>
          </cell>
        </row>
        <row r="66">
          <cell r="D66">
            <v>2</v>
          </cell>
          <cell r="G66">
            <v>994</v>
          </cell>
          <cell r="H66">
            <v>1</v>
          </cell>
          <cell r="J66">
            <v>4942</v>
          </cell>
          <cell r="K66">
            <v>0</v>
          </cell>
          <cell r="L66">
            <v>5000</v>
          </cell>
        </row>
        <row r="67">
          <cell r="D67">
            <v>4</v>
          </cell>
          <cell r="G67">
            <v>998</v>
          </cell>
          <cell r="H67">
            <v>3</v>
          </cell>
          <cell r="J67">
            <v>4976</v>
          </cell>
          <cell r="K67">
            <v>0</v>
          </cell>
          <cell r="L67">
            <v>5000</v>
          </cell>
        </row>
        <row r="68">
          <cell r="D68">
            <v>7</v>
          </cell>
          <cell r="G68">
            <v>998</v>
          </cell>
          <cell r="H68">
            <v>3</v>
          </cell>
          <cell r="J68">
            <v>4984</v>
          </cell>
          <cell r="K68">
            <v>0</v>
          </cell>
          <cell r="L68">
            <v>5000</v>
          </cell>
        </row>
        <row r="69">
          <cell r="D69">
            <v>8</v>
          </cell>
          <cell r="G69">
            <v>996</v>
          </cell>
          <cell r="H69">
            <v>1</v>
          </cell>
          <cell r="J69">
            <v>4954</v>
          </cell>
          <cell r="K69">
            <v>1</v>
          </cell>
          <cell r="L69">
            <v>5000</v>
          </cell>
        </row>
        <row r="70">
          <cell r="D70">
            <v>9</v>
          </cell>
          <cell r="G70">
            <v>802</v>
          </cell>
          <cell r="H70">
            <v>1</v>
          </cell>
          <cell r="J70">
            <v>3216</v>
          </cell>
          <cell r="K70">
            <v>3</v>
          </cell>
          <cell r="L70">
            <v>5000</v>
          </cell>
        </row>
        <row r="71">
          <cell r="D71">
            <v>10</v>
          </cell>
          <cell r="G71">
            <v>770</v>
          </cell>
          <cell r="H71">
            <v>1</v>
          </cell>
          <cell r="J71">
            <v>2954</v>
          </cell>
          <cell r="K71">
            <v>3</v>
          </cell>
          <cell r="L71">
            <v>5000</v>
          </cell>
        </row>
        <row r="72">
          <cell r="D72">
            <v>9</v>
          </cell>
          <cell r="G72">
            <v>775</v>
          </cell>
          <cell r="H72">
            <v>0</v>
          </cell>
          <cell r="J72">
            <v>2992</v>
          </cell>
          <cell r="K72">
            <v>1</v>
          </cell>
          <cell r="L72">
            <v>5000</v>
          </cell>
        </row>
        <row r="73">
          <cell r="D73">
            <v>6</v>
          </cell>
          <cell r="G73">
            <v>805</v>
          </cell>
          <cell r="H73">
            <v>0</v>
          </cell>
          <cell r="J73">
            <v>3236</v>
          </cell>
          <cell r="K73">
            <v>1</v>
          </cell>
          <cell r="L73">
            <v>5000</v>
          </cell>
        </row>
        <row r="74">
          <cell r="D74">
            <v>3</v>
          </cell>
          <cell r="G74">
            <v>803</v>
          </cell>
          <cell r="H74">
            <v>0</v>
          </cell>
          <cell r="J74">
            <v>3228</v>
          </cell>
          <cell r="K74">
            <v>1</v>
          </cell>
          <cell r="L74">
            <v>5000</v>
          </cell>
        </row>
        <row r="75">
          <cell r="D75">
            <v>2</v>
          </cell>
          <cell r="G75">
            <v>809</v>
          </cell>
          <cell r="H75">
            <v>0</v>
          </cell>
          <cell r="J75">
            <v>3278</v>
          </cell>
          <cell r="K75">
            <v>0</v>
          </cell>
          <cell r="L75">
            <v>5000</v>
          </cell>
        </row>
        <row r="76">
          <cell r="D76">
            <v>1</v>
          </cell>
          <cell r="G76">
            <v>996</v>
          </cell>
          <cell r="H76">
            <v>0</v>
          </cell>
          <cell r="J76">
            <v>4964</v>
          </cell>
          <cell r="K76">
            <v>0</v>
          </cell>
          <cell r="L76">
            <v>5000</v>
          </cell>
        </row>
        <row r="77">
          <cell r="D77">
            <v>0</v>
          </cell>
          <cell r="G77">
            <v>996</v>
          </cell>
          <cell r="H77">
            <v>0</v>
          </cell>
          <cell r="J77">
            <v>4958</v>
          </cell>
          <cell r="K77">
            <v>0</v>
          </cell>
          <cell r="L77">
            <v>5000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RandiAPI-data"/>
    </sheetNames>
    <sheetDataSet>
      <sheetData sheetId="0" refreshError="1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6</v>
          </cell>
          <cell r="G3">
            <v>995</v>
          </cell>
          <cell r="H3">
            <v>4</v>
          </cell>
          <cell r="J3">
            <v>4952</v>
          </cell>
          <cell r="K3">
            <v>0</v>
          </cell>
          <cell r="L3">
            <v>5000</v>
          </cell>
        </row>
        <row r="4">
          <cell r="D4">
            <v>11</v>
          </cell>
          <cell r="G4">
            <v>994</v>
          </cell>
          <cell r="H4">
            <v>5</v>
          </cell>
          <cell r="J4">
            <v>4946</v>
          </cell>
          <cell r="K4">
            <v>0</v>
          </cell>
          <cell r="L4">
            <v>5000</v>
          </cell>
        </row>
        <row r="5">
          <cell r="D5">
            <v>20</v>
          </cell>
          <cell r="G5">
            <v>994</v>
          </cell>
          <cell r="H5">
            <v>9</v>
          </cell>
          <cell r="J5">
            <v>4944</v>
          </cell>
          <cell r="K5">
            <v>2</v>
          </cell>
          <cell r="L5">
            <v>5000</v>
          </cell>
        </row>
        <row r="6">
          <cell r="D6">
            <v>27</v>
          </cell>
          <cell r="G6">
            <v>775</v>
          </cell>
          <cell r="H6">
            <v>7</v>
          </cell>
          <cell r="J6">
            <v>3010</v>
          </cell>
          <cell r="K6">
            <v>4</v>
          </cell>
          <cell r="L6">
            <v>5000</v>
          </cell>
        </row>
        <row r="7">
          <cell r="D7">
            <v>34</v>
          </cell>
          <cell r="G7">
            <v>786</v>
          </cell>
          <cell r="H7">
            <v>7</v>
          </cell>
          <cell r="J7">
            <v>3080</v>
          </cell>
          <cell r="K7">
            <v>5</v>
          </cell>
          <cell r="L7">
            <v>5000</v>
          </cell>
        </row>
        <row r="8">
          <cell r="D8">
            <v>38</v>
          </cell>
          <cell r="G8">
            <v>532</v>
          </cell>
          <cell r="H8">
            <v>6</v>
          </cell>
          <cell r="J8">
            <v>1408</v>
          </cell>
          <cell r="K8">
            <v>9</v>
          </cell>
          <cell r="L8">
            <v>5000</v>
          </cell>
        </row>
        <row r="9">
          <cell r="D9">
            <v>46</v>
          </cell>
          <cell r="G9">
            <v>713</v>
          </cell>
          <cell r="H9">
            <v>12</v>
          </cell>
          <cell r="J9">
            <v>2552</v>
          </cell>
          <cell r="K9">
            <v>7</v>
          </cell>
          <cell r="L9">
            <v>5000</v>
          </cell>
        </row>
        <row r="10">
          <cell r="D10">
            <v>52</v>
          </cell>
          <cell r="G10">
            <v>759</v>
          </cell>
          <cell r="H10">
            <v>11</v>
          </cell>
          <cell r="J10">
            <v>2868</v>
          </cell>
          <cell r="K10">
            <v>7</v>
          </cell>
          <cell r="L10">
            <v>5000</v>
          </cell>
        </row>
        <row r="11">
          <cell r="D11">
            <v>61</v>
          </cell>
          <cell r="G11">
            <v>755</v>
          </cell>
          <cell r="H11">
            <v>18</v>
          </cell>
          <cell r="J11">
            <v>2858</v>
          </cell>
          <cell r="K11">
            <v>6</v>
          </cell>
          <cell r="L11">
            <v>5000</v>
          </cell>
        </row>
        <row r="12">
          <cell r="D12">
            <v>71</v>
          </cell>
          <cell r="G12">
            <v>722</v>
          </cell>
          <cell r="H12">
            <v>17</v>
          </cell>
          <cell r="J12">
            <v>2598</v>
          </cell>
          <cell r="K12">
            <v>12</v>
          </cell>
          <cell r="L12">
            <v>5000</v>
          </cell>
        </row>
        <row r="13">
          <cell r="D13">
            <v>70</v>
          </cell>
          <cell r="G13">
            <v>536</v>
          </cell>
          <cell r="H13">
            <v>6</v>
          </cell>
          <cell r="J13">
            <v>1440</v>
          </cell>
          <cell r="K13">
            <v>11</v>
          </cell>
          <cell r="L13">
            <v>5000</v>
          </cell>
        </row>
        <row r="14">
          <cell r="D14">
            <v>74</v>
          </cell>
          <cell r="G14">
            <v>652</v>
          </cell>
          <cell r="H14">
            <v>10</v>
          </cell>
          <cell r="J14">
            <v>2124</v>
          </cell>
          <cell r="K14">
            <v>18</v>
          </cell>
          <cell r="L14">
            <v>5000</v>
          </cell>
        </row>
        <row r="15">
          <cell r="D15">
            <v>70</v>
          </cell>
          <cell r="G15">
            <v>527</v>
          </cell>
          <cell r="H15">
            <v>8</v>
          </cell>
          <cell r="J15">
            <v>1398</v>
          </cell>
          <cell r="K15">
            <v>17</v>
          </cell>
          <cell r="L15">
            <v>5000</v>
          </cell>
        </row>
        <row r="16">
          <cell r="D16">
            <v>62</v>
          </cell>
          <cell r="G16">
            <v>424</v>
          </cell>
          <cell r="H16">
            <v>3</v>
          </cell>
          <cell r="J16">
            <v>892</v>
          </cell>
          <cell r="K16">
            <v>6</v>
          </cell>
          <cell r="L16">
            <v>5000</v>
          </cell>
        </row>
        <row r="17">
          <cell r="D17">
            <v>51</v>
          </cell>
          <cell r="G17">
            <v>698</v>
          </cell>
          <cell r="H17">
            <v>7</v>
          </cell>
          <cell r="J17">
            <v>2436</v>
          </cell>
          <cell r="K17">
            <v>10</v>
          </cell>
          <cell r="L17">
            <v>5000</v>
          </cell>
        </row>
        <row r="18">
          <cell r="D18">
            <v>46</v>
          </cell>
          <cell r="G18">
            <v>831</v>
          </cell>
          <cell r="H18">
            <v>12</v>
          </cell>
          <cell r="J18">
            <v>3462</v>
          </cell>
          <cell r="K18">
            <v>8</v>
          </cell>
          <cell r="L18">
            <v>5000</v>
          </cell>
        </row>
        <row r="19">
          <cell r="D19">
            <v>46</v>
          </cell>
          <cell r="G19">
            <v>703</v>
          </cell>
          <cell r="H19">
            <v>6</v>
          </cell>
          <cell r="J19">
            <v>2472</v>
          </cell>
          <cell r="K19">
            <v>3</v>
          </cell>
          <cell r="L19">
            <v>5000</v>
          </cell>
        </row>
        <row r="20">
          <cell r="D20">
            <v>44</v>
          </cell>
          <cell r="G20">
            <v>743</v>
          </cell>
          <cell r="H20">
            <v>8</v>
          </cell>
          <cell r="J20">
            <v>2748</v>
          </cell>
          <cell r="K20">
            <v>7</v>
          </cell>
          <cell r="L20">
            <v>5000</v>
          </cell>
        </row>
        <row r="21">
          <cell r="D21">
            <v>42</v>
          </cell>
          <cell r="G21">
            <v>757</v>
          </cell>
          <cell r="H21">
            <v>6</v>
          </cell>
          <cell r="J21">
            <v>2872</v>
          </cell>
          <cell r="K21">
            <v>12</v>
          </cell>
          <cell r="L21">
            <v>5000</v>
          </cell>
        </row>
        <row r="22">
          <cell r="D22">
            <v>44</v>
          </cell>
          <cell r="G22">
            <v>537</v>
          </cell>
          <cell r="H22">
            <v>5</v>
          </cell>
          <cell r="J22">
            <v>1434</v>
          </cell>
          <cell r="K22">
            <v>6</v>
          </cell>
          <cell r="L22">
            <v>5000</v>
          </cell>
        </row>
        <row r="23">
          <cell r="D23">
            <v>41</v>
          </cell>
          <cell r="G23">
            <v>720</v>
          </cell>
          <cell r="H23">
            <v>4</v>
          </cell>
          <cell r="J23">
            <v>2588</v>
          </cell>
          <cell r="K23">
            <v>8</v>
          </cell>
          <cell r="L23">
            <v>5000</v>
          </cell>
        </row>
        <row r="24">
          <cell r="D24">
            <v>33</v>
          </cell>
          <cell r="G24">
            <v>699</v>
          </cell>
          <cell r="H24">
            <v>4</v>
          </cell>
          <cell r="J24">
            <v>2436</v>
          </cell>
          <cell r="K24">
            <v>6</v>
          </cell>
          <cell r="L24">
            <v>5000</v>
          </cell>
        </row>
        <row r="25">
          <cell r="D25">
            <v>31</v>
          </cell>
          <cell r="G25">
            <v>722</v>
          </cell>
          <cell r="H25">
            <v>4</v>
          </cell>
          <cell r="J25">
            <v>2612</v>
          </cell>
          <cell r="K25">
            <v>5</v>
          </cell>
          <cell r="L25">
            <v>5000</v>
          </cell>
        </row>
        <row r="26">
          <cell r="D26">
            <v>26</v>
          </cell>
          <cell r="G26">
            <v>532</v>
          </cell>
          <cell r="H26">
            <v>3</v>
          </cell>
          <cell r="J26">
            <v>1404</v>
          </cell>
          <cell r="K26">
            <v>4</v>
          </cell>
          <cell r="L26">
            <v>5000</v>
          </cell>
        </row>
        <row r="27">
          <cell r="D27">
            <v>25</v>
          </cell>
          <cell r="G27">
            <v>774</v>
          </cell>
          <cell r="H27">
            <v>5</v>
          </cell>
          <cell r="J27">
            <v>3004</v>
          </cell>
          <cell r="K27">
            <v>4</v>
          </cell>
          <cell r="L27">
            <v>5000</v>
          </cell>
        </row>
        <row r="28">
          <cell r="D28">
            <v>24</v>
          </cell>
          <cell r="G28">
            <v>786</v>
          </cell>
          <cell r="H28">
            <v>4</v>
          </cell>
          <cell r="J28">
            <v>3082</v>
          </cell>
          <cell r="K28">
            <v>4</v>
          </cell>
          <cell r="L28">
            <v>5000</v>
          </cell>
        </row>
        <row r="29">
          <cell r="D29">
            <v>27</v>
          </cell>
          <cell r="G29">
            <v>790</v>
          </cell>
          <cell r="H29">
            <v>7</v>
          </cell>
          <cell r="J29">
            <v>3116</v>
          </cell>
          <cell r="K29">
            <v>3</v>
          </cell>
          <cell r="L29">
            <v>5000</v>
          </cell>
        </row>
        <row r="30">
          <cell r="D30">
            <v>28</v>
          </cell>
          <cell r="G30">
            <v>758</v>
          </cell>
          <cell r="H30">
            <v>5</v>
          </cell>
          <cell r="J30">
            <v>2856</v>
          </cell>
          <cell r="K30">
            <v>5</v>
          </cell>
          <cell r="L30">
            <v>5000</v>
          </cell>
        </row>
        <row r="31">
          <cell r="D31">
            <v>27</v>
          </cell>
          <cell r="G31">
            <v>535</v>
          </cell>
          <cell r="H31">
            <v>3</v>
          </cell>
          <cell r="J31">
            <v>1408</v>
          </cell>
          <cell r="K31">
            <v>4</v>
          </cell>
          <cell r="L31">
            <v>5000</v>
          </cell>
        </row>
        <row r="32">
          <cell r="D32">
            <v>26</v>
          </cell>
          <cell r="G32">
            <v>781</v>
          </cell>
          <cell r="H32">
            <v>2</v>
          </cell>
          <cell r="J32">
            <v>3054</v>
          </cell>
          <cell r="K32">
            <v>7</v>
          </cell>
          <cell r="L32">
            <v>5000</v>
          </cell>
        </row>
        <row r="33">
          <cell r="D33">
            <v>23</v>
          </cell>
          <cell r="G33">
            <v>760</v>
          </cell>
          <cell r="H33">
            <v>2</v>
          </cell>
          <cell r="J33">
            <v>2890</v>
          </cell>
          <cell r="K33">
            <v>5</v>
          </cell>
          <cell r="L33">
            <v>5000</v>
          </cell>
        </row>
        <row r="34">
          <cell r="D34">
            <v>19</v>
          </cell>
          <cell r="G34">
            <v>534</v>
          </cell>
          <cell r="H34">
            <v>0</v>
          </cell>
          <cell r="J34">
            <v>1424</v>
          </cell>
          <cell r="K34">
            <v>3</v>
          </cell>
          <cell r="L34">
            <v>5000</v>
          </cell>
        </row>
        <row r="35">
          <cell r="D35">
            <v>14</v>
          </cell>
          <cell r="G35">
            <v>761</v>
          </cell>
          <cell r="H35">
            <v>2</v>
          </cell>
          <cell r="J35">
            <v>2884</v>
          </cell>
          <cell r="K35">
            <v>2</v>
          </cell>
          <cell r="L35">
            <v>5000</v>
          </cell>
        </row>
        <row r="36">
          <cell r="D36">
            <v>9</v>
          </cell>
          <cell r="G36">
            <v>763</v>
          </cell>
          <cell r="H36">
            <v>0</v>
          </cell>
          <cell r="J36">
            <v>2900</v>
          </cell>
          <cell r="K36">
            <v>2</v>
          </cell>
          <cell r="L36">
            <v>5000</v>
          </cell>
        </row>
        <row r="37">
          <cell r="D37">
            <v>8</v>
          </cell>
          <cell r="G37">
            <v>771</v>
          </cell>
          <cell r="H37">
            <v>2</v>
          </cell>
          <cell r="J37">
            <v>2964</v>
          </cell>
          <cell r="K37">
            <v>0</v>
          </cell>
          <cell r="L37">
            <v>5000</v>
          </cell>
        </row>
        <row r="38">
          <cell r="D38">
            <v>9</v>
          </cell>
          <cell r="G38">
            <v>993</v>
          </cell>
          <cell r="H38">
            <v>3</v>
          </cell>
          <cell r="J38">
            <v>4920</v>
          </cell>
          <cell r="K38">
            <v>2</v>
          </cell>
          <cell r="L38">
            <v>5000</v>
          </cell>
        </row>
        <row r="39">
          <cell r="D39">
            <v>8</v>
          </cell>
          <cell r="G39">
            <v>775</v>
          </cell>
          <cell r="H39">
            <v>1</v>
          </cell>
          <cell r="J39">
            <v>3004</v>
          </cell>
          <cell r="K39">
            <v>0</v>
          </cell>
          <cell r="L39">
            <v>5000</v>
          </cell>
        </row>
        <row r="40">
          <cell r="D40">
            <v>12</v>
          </cell>
          <cell r="G40">
            <v>992</v>
          </cell>
          <cell r="H40">
            <v>4</v>
          </cell>
          <cell r="J40">
            <v>4914</v>
          </cell>
          <cell r="K40">
            <v>2</v>
          </cell>
          <cell r="L40">
            <v>5000</v>
          </cell>
        </row>
        <row r="41">
          <cell r="D41">
            <v>12</v>
          </cell>
          <cell r="G41">
            <v>767</v>
          </cell>
          <cell r="H41">
            <v>2</v>
          </cell>
          <cell r="J41">
            <v>2940</v>
          </cell>
          <cell r="K41">
            <v>3</v>
          </cell>
          <cell r="L41">
            <v>5000</v>
          </cell>
        </row>
        <row r="42">
          <cell r="D42">
            <v>16</v>
          </cell>
          <cell r="G42">
            <v>771</v>
          </cell>
          <cell r="H42">
            <v>4</v>
          </cell>
          <cell r="J42">
            <v>2980</v>
          </cell>
          <cell r="K42">
            <v>1</v>
          </cell>
          <cell r="L42">
            <v>5000</v>
          </cell>
        </row>
        <row r="43">
          <cell r="D43">
            <v>16</v>
          </cell>
          <cell r="G43">
            <v>785</v>
          </cell>
          <cell r="H43">
            <v>2</v>
          </cell>
          <cell r="J43">
            <v>3086</v>
          </cell>
          <cell r="K43">
            <v>4</v>
          </cell>
          <cell r="L43">
            <v>5000</v>
          </cell>
        </row>
        <row r="44">
          <cell r="D44">
            <v>15</v>
          </cell>
          <cell r="G44">
            <v>783</v>
          </cell>
          <cell r="H44">
            <v>2</v>
          </cell>
          <cell r="J44">
            <v>3072</v>
          </cell>
          <cell r="K44">
            <v>2</v>
          </cell>
          <cell r="L44">
            <v>5000</v>
          </cell>
        </row>
        <row r="45">
          <cell r="D45">
            <v>14</v>
          </cell>
          <cell r="G45">
            <v>769</v>
          </cell>
          <cell r="H45">
            <v>0</v>
          </cell>
          <cell r="J45">
            <v>2976</v>
          </cell>
          <cell r="K45">
            <v>4</v>
          </cell>
          <cell r="L45">
            <v>5000</v>
          </cell>
        </row>
        <row r="46">
          <cell r="D46">
            <v>11</v>
          </cell>
          <cell r="G46">
            <v>776</v>
          </cell>
          <cell r="H46">
            <v>1</v>
          </cell>
          <cell r="J46">
            <v>3008</v>
          </cell>
          <cell r="K46">
            <v>2</v>
          </cell>
          <cell r="L46">
            <v>5000</v>
          </cell>
        </row>
        <row r="47">
          <cell r="D47">
            <v>9</v>
          </cell>
          <cell r="G47">
            <v>777</v>
          </cell>
          <cell r="H47">
            <v>0</v>
          </cell>
          <cell r="J47">
            <v>3022</v>
          </cell>
          <cell r="K47">
            <v>2</v>
          </cell>
          <cell r="L47">
            <v>5000</v>
          </cell>
        </row>
        <row r="48">
          <cell r="D48">
            <v>5</v>
          </cell>
          <cell r="G48">
            <v>776</v>
          </cell>
          <cell r="H48">
            <v>0</v>
          </cell>
          <cell r="J48">
            <v>2988</v>
          </cell>
          <cell r="K48">
            <v>0</v>
          </cell>
          <cell r="L48">
            <v>5000</v>
          </cell>
        </row>
        <row r="49">
          <cell r="D49">
            <v>4</v>
          </cell>
          <cell r="G49">
            <v>990</v>
          </cell>
          <cell r="H49">
            <v>1</v>
          </cell>
          <cell r="J49">
            <v>4902</v>
          </cell>
          <cell r="K49">
            <v>1</v>
          </cell>
          <cell r="L49">
            <v>5000</v>
          </cell>
        </row>
        <row r="50">
          <cell r="D50">
            <v>2</v>
          </cell>
          <cell r="G50">
            <v>784</v>
          </cell>
          <cell r="H50">
            <v>0</v>
          </cell>
          <cell r="J50">
            <v>3064</v>
          </cell>
          <cell r="K50">
            <v>0</v>
          </cell>
          <cell r="L50">
            <v>5000</v>
          </cell>
        </row>
        <row r="51">
          <cell r="D51">
            <v>2</v>
          </cell>
          <cell r="G51">
            <v>993</v>
          </cell>
          <cell r="H51">
            <v>0</v>
          </cell>
          <cell r="J51">
            <v>4934</v>
          </cell>
          <cell r="K51">
            <v>0</v>
          </cell>
          <cell r="L51">
            <v>5000</v>
          </cell>
        </row>
        <row r="52">
          <cell r="D52">
            <v>1</v>
          </cell>
          <cell r="G52">
            <v>993</v>
          </cell>
          <cell r="H52">
            <v>0</v>
          </cell>
          <cell r="J52">
            <v>4928</v>
          </cell>
          <cell r="K52">
            <v>1</v>
          </cell>
          <cell r="L52">
            <v>5000</v>
          </cell>
        </row>
        <row r="53">
          <cell r="D53">
            <v>1</v>
          </cell>
          <cell r="G53">
            <v>793</v>
          </cell>
          <cell r="H53">
            <v>0</v>
          </cell>
          <cell r="J53">
            <v>3126</v>
          </cell>
          <cell r="K53">
            <v>0</v>
          </cell>
          <cell r="L53">
            <v>5000</v>
          </cell>
        </row>
        <row r="54">
          <cell r="D54">
            <v>1</v>
          </cell>
          <cell r="G54">
            <v>994</v>
          </cell>
          <cell r="H54">
            <v>0</v>
          </cell>
          <cell r="J54">
            <v>4928</v>
          </cell>
          <cell r="K54">
            <v>0</v>
          </cell>
          <cell r="L54">
            <v>5000</v>
          </cell>
        </row>
        <row r="55">
          <cell r="D55">
            <v>0</v>
          </cell>
          <cell r="G55">
            <v>993</v>
          </cell>
          <cell r="H55">
            <v>0</v>
          </cell>
          <cell r="J55">
            <v>4938</v>
          </cell>
          <cell r="K55">
            <v>0</v>
          </cell>
          <cell r="L55">
            <v>5000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NavidAPI-data"/>
    </sheetNames>
    <sheetDataSet>
      <sheetData sheetId="0" refreshError="1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2</v>
          </cell>
          <cell r="G3">
            <v>998</v>
          </cell>
          <cell r="H3">
            <v>0</v>
          </cell>
          <cell r="J3">
            <v>4978</v>
          </cell>
          <cell r="K3">
            <v>0</v>
          </cell>
          <cell r="L3">
            <v>5000</v>
          </cell>
        </row>
        <row r="4">
          <cell r="D4">
            <v>5</v>
          </cell>
          <cell r="G4">
            <v>999</v>
          </cell>
          <cell r="H4">
            <v>3</v>
          </cell>
          <cell r="J4">
            <v>4988</v>
          </cell>
          <cell r="K4">
            <v>0</v>
          </cell>
          <cell r="L4">
            <v>5000</v>
          </cell>
        </row>
        <row r="5">
          <cell r="D5">
            <v>13</v>
          </cell>
          <cell r="G5">
            <v>999</v>
          </cell>
          <cell r="H5">
            <v>8</v>
          </cell>
          <cell r="J5">
            <v>4982</v>
          </cell>
          <cell r="K5">
            <v>2</v>
          </cell>
          <cell r="L5">
            <v>5000</v>
          </cell>
        </row>
        <row r="6">
          <cell r="D6">
            <v>20</v>
          </cell>
          <cell r="G6">
            <v>791</v>
          </cell>
          <cell r="H6">
            <v>7</v>
          </cell>
          <cell r="J6">
            <v>3126</v>
          </cell>
          <cell r="K6">
            <v>0</v>
          </cell>
          <cell r="L6">
            <v>5000</v>
          </cell>
        </row>
        <row r="7">
          <cell r="D7">
            <v>39</v>
          </cell>
          <cell r="G7">
            <v>995</v>
          </cell>
          <cell r="H7">
            <v>19</v>
          </cell>
          <cell r="J7">
            <v>4948</v>
          </cell>
          <cell r="K7">
            <v>3</v>
          </cell>
          <cell r="L7">
            <v>5000</v>
          </cell>
        </row>
        <row r="8">
          <cell r="D8">
            <v>52</v>
          </cell>
          <cell r="G8">
            <v>766</v>
          </cell>
          <cell r="H8">
            <v>15</v>
          </cell>
          <cell r="J8">
            <v>2932</v>
          </cell>
          <cell r="K8">
            <v>8</v>
          </cell>
          <cell r="L8">
            <v>5000</v>
          </cell>
        </row>
        <row r="9">
          <cell r="D9">
            <v>67</v>
          </cell>
          <cell r="G9">
            <v>687</v>
          </cell>
          <cell r="H9">
            <v>15</v>
          </cell>
          <cell r="J9">
            <v>2352</v>
          </cell>
          <cell r="K9">
            <v>7</v>
          </cell>
          <cell r="L9">
            <v>5000</v>
          </cell>
        </row>
        <row r="10">
          <cell r="D10">
            <v>84</v>
          </cell>
          <cell r="G10">
            <v>745</v>
          </cell>
          <cell r="H10">
            <v>20</v>
          </cell>
          <cell r="J10">
            <v>2772</v>
          </cell>
          <cell r="K10">
            <v>19</v>
          </cell>
          <cell r="L10">
            <v>5000</v>
          </cell>
        </row>
        <row r="11">
          <cell r="D11">
            <v>90</v>
          </cell>
          <cell r="G11">
            <v>484</v>
          </cell>
          <cell r="H11">
            <v>14</v>
          </cell>
          <cell r="J11">
            <v>1174</v>
          </cell>
          <cell r="K11">
            <v>15</v>
          </cell>
          <cell r="L11">
            <v>5000</v>
          </cell>
        </row>
        <row r="12">
          <cell r="D12">
            <v>89</v>
          </cell>
          <cell r="G12">
            <v>345</v>
          </cell>
          <cell r="H12">
            <v>6</v>
          </cell>
          <cell r="J12">
            <v>598</v>
          </cell>
          <cell r="K12">
            <v>15</v>
          </cell>
          <cell r="L12">
            <v>5000</v>
          </cell>
        </row>
        <row r="13">
          <cell r="D13">
            <v>73</v>
          </cell>
          <cell r="G13">
            <v>335</v>
          </cell>
          <cell r="H13">
            <v>3</v>
          </cell>
          <cell r="J13">
            <v>566</v>
          </cell>
          <cell r="K13">
            <v>20</v>
          </cell>
          <cell r="L13">
            <v>5000</v>
          </cell>
        </row>
        <row r="14">
          <cell r="D14">
            <v>60</v>
          </cell>
          <cell r="G14">
            <v>504</v>
          </cell>
          <cell r="H14">
            <v>2</v>
          </cell>
          <cell r="J14">
            <v>1260</v>
          </cell>
          <cell r="K14">
            <v>14</v>
          </cell>
          <cell r="L14">
            <v>5000</v>
          </cell>
        </row>
        <row r="15">
          <cell r="D15">
            <v>49</v>
          </cell>
          <cell r="G15">
            <v>440</v>
          </cell>
          <cell r="H15">
            <v>4</v>
          </cell>
          <cell r="J15">
            <v>968</v>
          </cell>
          <cell r="K15">
            <v>6</v>
          </cell>
          <cell r="L15">
            <v>5000</v>
          </cell>
        </row>
        <row r="16">
          <cell r="D16">
            <v>31</v>
          </cell>
          <cell r="G16">
            <v>699</v>
          </cell>
          <cell r="H16">
            <v>2</v>
          </cell>
          <cell r="J16">
            <v>2422</v>
          </cell>
          <cell r="K16">
            <v>3</v>
          </cell>
          <cell r="L16">
            <v>5000</v>
          </cell>
        </row>
        <row r="17">
          <cell r="D17">
            <v>20</v>
          </cell>
          <cell r="G17">
            <v>744</v>
          </cell>
          <cell r="H17">
            <v>3</v>
          </cell>
          <cell r="J17">
            <v>2766</v>
          </cell>
          <cell r="K17">
            <v>2</v>
          </cell>
          <cell r="L17">
            <v>5000</v>
          </cell>
        </row>
        <row r="18">
          <cell r="D18">
            <v>20</v>
          </cell>
          <cell r="G18">
            <v>784</v>
          </cell>
          <cell r="H18">
            <v>6</v>
          </cell>
          <cell r="J18">
            <v>3060</v>
          </cell>
          <cell r="K18">
            <v>4</v>
          </cell>
          <cell r="L18">
            <v>5000</v>
          </cell>
        </row>
        <row r="19">
          <cell r="D19">
            <v>24</v>
          </cell>
          <cell r="G19">
            <v>804</v>
          </cell>
          <cell r="H19">
            <v>7</v>
          </cell>
          <cell r="J19">
            <v>3234</v>
          </cell>
          <cell r="K19">
            <v>2</v>
          </cell>
          <cell r="L19">
            <v>5000</v>
          </cell>
        </row>
        <row r="20">
          <cell r="D20">
            <v>31</v>
          </cell>
          <cell r="G20">
            <v>780</v>
          </cell>
          <cell r="H20">
            <v>9</v>
          </cell>
          <cell r="J20">
            <v>3038</v>
          </cell>
          <cell r="K20">
            <v>3</v>
          </cell>
          <cell r="L20">
            <v>5000</v>
          </cell>
        </row>
        <row r="21">
          <cell r="D21">
            <v>36</v>
          </cell>
          <cell r="G21">
            <v>758</v>
          </cell>
          <cell r="H21">
            <v>9</v>
          </cell>
          <cell r="J21">
            <v>2884</v>
          </cell>
          <cell r="K21">
            <v>6</v>
          </cell>
          <cell r="L21">
            <v>5000</v>
          </cell>
        </row>
        <row r="22">
          <cell r="D22">
            <v>43</v>
          </cell>
          <cell r="G22">
            <v>722</v>
          </cell>
          <cell r="H22">
            <v>9</v>
          </cell>
          <cell r="J22">
            <v>2616</v>
          </cell>
          <cell r="K22">
            <v>7</v>
          </cell>
          <cell r="L22">
            <v>5000</v>
          </cell>
        </row>
        <row r="23">
          <cell r="D23">
            <v>46</v>
          </cell>
          <cell r="G23">
            <v>751</v>
          </cell>
          <cell r="H23">
            <v>6</v>
          </cell>
          <cell r="J23">
            <v>2804</v>
          </cell>
          <cell r="K23">
            <v>9</v>
          </cell>
          <cell r="L23">
            <v>5000</v>
          </cell>
        </row>
        <row r="24">
          <cell r="D24">
            <v>50</v>
          </cell>
          <cell r="G24">
            <v>709</v>
          </cell>
          <cell r="H24">
            <v>10</v>
          </cell>
          <cell r="J24">
            <v>2504</v>
          </cell>
          <cell r="K24">
            <v>9</v>
          </cell>
          <cell r="L24">
            <v>5000</v>
          </cell>
        </row>
        <row r="25">
          <cell r="D25">
            <v>50</v>
          </cell>
          <cell r="G25">
            <v>702</v>
          </cell>
          <cell r="H25">
            <v>7</v>
          </cell>
          <cell r="J25">
            <v>2478</v>
          </cell>
          <cell r="K25">
            <v>9</v>
          </cell>
          <cell r="L25">
            <v>5000</v>
          </cell>
        </row>
        <row r="26">
          <cell r="D26">
            <v>52</v>
          </cell>
          <cell r="G26">
            <v>702</v>
          </cell>
          <cell r="H26">
            <v>11</v>
          </cell>
          <cell r="J26">
            <v>2458</v>
          </cell>
          <cell r="K26">
            <v>6</v>
          </cell>
          <cell r="L26">
            <v>5000</v>
          </cell>
        </row>
        <row r="27">
          <cell r="D27">
            <v>50</v>
          </cell>
          <cell r="G27">
            <v>702</v>
          </cell>
          <cell r="H27">
            <v>7</v>
          </cell>
          <cell r="J27">
            <v>2462</v>
          </cell>
          <cell r="K27">
            <v>10</v>
          </cell>
          <cell r="L27">
            <v>5000</v>
          </cell>
        </row>
        <row r="28">
          <cell r="D28">
            <v>53</v>
          </cell>
          <cell r="G28">
            <v>845</v>
          </cell>
          <cell r="H28">
            <v>12</v>
          </cell>
          <cell r="J28">
            <v>3564</v>
          </cell>
          <cell r="K28">
            <v>7</v>
          </cell>
          <cell r="L28">
            <v>5000</v>
          </cell>
        </row>
        <row r="29">
          <cell r="D29">
            <v>59</v>
          </cell>
          <cell r="G29">
            <v>751</v>
          </cell>
          <cell r="H29">
            <v>12</v>
          </cell>
          <cell r="J29">
            <v>2816</v>
          </cell>
          <cell r="K29">
            <v>11</v>
          </cell>
          <cell r="L29">
            <v>5000</v>
          </cell>
        </row>
        <row r="30">
          <cell r="D30">
            <v>58</v>
          </cell>
          <cell r="G30">
            <v>665</v>
          </cell>
          <cell r="H30">
            <v>9</v>
          </cell>
          <cell r="J30">
            <v>2206</v>
          </cell>
          <cell r="K30">
            <v>7</v>
          </cell>
          <cell r="L30">
            <v>5000</v>
          </cell>
        </row>
        <row r="31">
          <cell r="D31">
            <v>68</v>
          </cell>
          <cell r="G31">
            <v>748</v>
          </cell>
          <cell r="H31">
            <v>17</v>
          </cell>
          <cell r="J31">
            <v>2792</v>
          </cell>
          <cell r="K31">
            <v>12</v>
          </cell>
          <cell r="L31">
            <v>5000</v>
          </cell>
        </row>
        <row r="32">
          <cell r="D32">
            <v>67</v>
          </cell>
          <cell r="G32">
            <v>534</v>
          </cell>
          <cell r="H32">
            <v>10</v>
          </cell>
          <cell r="J32">
            <v>1414</v>
          </cell>
          <cell r="K32">
            <v>12</v>
          </cell>
          <cell r="L32">
            <v>5000</v>
          </cell>
        </row>
        <row r="33">
          <cell r="D33">
            <v>68</v>
          </cell>
          <cell r="G33">
            <v>540</v>
          </cell>
          <cell r="H33">
            <v>8</v>
          </cell>
          <cell r="J33">
            <v>1466</v>
          </cell>
          <cell r="K33">
            <v>9</v>
          </cell>
          <cell r="L33">
            <v>5000</v>
          </cell>
        </row>
        <row r="34">
          <cell r="D34">
            <v>63</v>
          </cell>
          <cell r="G34">
            <v>684</v>
          </cell>
          <cell r="H34">
            <v>7</v>
          </cell>
          <cell r="J34">
            <v>2344</v>
          </cell>
          <cell r="K34">
            <v>17</v>
          </cell>
          <cell r="L34">
            <v>5000</v>
          </cell>
        </row>
        <row r="35">
          <cell r="D35">
            <v>56</v>
          </cell>
          <cell r="G35">
            <v>427</v>
          </cell>
          <cell r="H35">
            <v>5</v>
          </cell>
          <cell r="J35">
            <v>916</v>
          </cell>
          <cell r="K35">
            <v>10</v>
          </cell>
          <cell r="L35">
            <v>5000</v>
          </cell>
        </row>
        <row r="36">
          <cell r="D36">
            <v>56</v>
          </cell>
          <cell r="G36">
            <v>831</v>
          </cell>
          <cell r="H36">
            <v>9</v>
          </cell>
          <cell r="J36">
            <v>3472</v>
          </cell>
          <cell r="K36">
            <v>8</v>
          </cell>
          <cell r="L36">
            <v>5000</v>
          </cell>
        </row>
        <row r="37">
          <cell r="D37">
            <v>44</v>
          </cell>
          <cell r="G37">
            <v>662</v>
          </cell>
          <cell r="H37">
            <v>5</v>
          </cell>
          <cell r="J37">
            <v>2192</v>
          </cell>
          <cell r="K37">
            <v>7</v>
          </cell>
          <cell r="L37">
            <v>5000</v>
          </cell>
        </row>
        <row r="38">
          <cell r="D38">
            <v>38</v>
          </cell>
          <cell r="G38">
            <v>749</v>
          </cell>
          <cell r="H38">
            <v>4</v>
          </cell>
          <cell r="J38">
            <v>2794</v>
          </cell>
          <cell r="K38">
            <v>5</v>
          </cell>
          <cell r="L38">
            <v>5000</v>
          </cell>
        </row>
        <row r="39">
          <cell r="D39">
            <v>30</v>
          </cell>
          <cell r="G39">
            <v>518</v>
          </cell>
          <cell r="H39">
            <v>0</v>
          </cell>
          <cell r="J39">
            <v>1354</v>
          </cell>
          <cell r="K39">
            <v>9</v>
          </cell>
          <cell r="L39">
            <v>5000</v>
          </cell>
        </row>
        <row r="40">
          <cell r="D40">
            <v>24</v>
          </cell>
          <cell r="G40">
            <v>713</v>
          </cell>
          <cell r="H40">
            <v>1</v>
          </cell>
          <cell r="J40">
            <v>2538</v>
          </cell>
          <cell r="K40">
            <v>5</v>
          </cell>
          <cell r="L40">
            <v>5000</v>
          </cell>
        </row>
        <row r="41">
          <cell r="D41">
            <v>19</v>
          </cell>
          <cell r="G41">
            <v>521</v>
          </cell>
          <cell r="H41">
            <v>0</v>
          </cell>
          <cell r="J41">
            <v>1342</v>
          </cell>
          <cell r="K41">
            <v>4</v>
          </cell>
          <cell r="L41">
            <v>5000</v>
          </cell>
        </row>
        <row r="42">
          <cell r="D42">
            <v>12</v>
          </cell>
          <cell r="G42">
            <v>786</v>
          </cell>
          <cell r="H42">
            <v>2</v>
          </cell>
          <cell r="J42">
            <v>3080</v>
          </cell>
          <cell r="K42">
            <v>0</v>
          </cell>
          <cell r="L42">
            <v>5000</v>
          </cell>
        </row>
        <row r="43">
          <cell r="D43">
            <v>11</v>
          </cell>
          <cell r="G43">
            <v>993</v>
          </cell>
          <cell r="H43">
            <v>4</v>
          </cell>
          <cell r="J43">
            <v>4930</v>
          </cell>
          <cell r="K43">
            <v>1</v>
          </cell>
          <cell r="L43">
            <v>5000</v>
          </cell>
        </row>
        <row r="44">
          <cell r="D44">
            <v>10</v>
          </cell>
          <cell r="G44">
            <v>795</v>
          </cell>
          <cell r="H44">
            <v>3</v>
          </cell>
          <cell r="J44">
            <v>3162</v>
          </cell>
          <cell r="K44">
            <v>0</v>
          </cell>
          <cell r="L44">
            <v>5000</v>
          </cell>
        </row>
        <row r="45">
          <cell r="D45">
            <v>15</v>
          </cell>
          <cell r="G45">
            <v>996</v>
          </cell>
          <cell r="H45">
            <v>5</v>
          </cell>
          <cell r="J45">
            <v>4964</v>
          </cell>
          <cell r="K45">
            <v>2</v>
          </cell>
          <cell r="L45">
            <v>5000</v>
          </cell>
        </row>
        <row r="46">
          <cell r="D46">
            <v>16</v>
          </cell>
          <cell r="G46">
            <v>785</v>
          </cell>
          <cell r="H46">
            <v>2</v>
          </cell>
          <cell r="J46">
            <v>3068</v>
          </cell>
          <cell r="K46">
            <v>4</v>
          </cell>
          <cell r="L46">
            <v>5000</v>
          </cell>
        </row>
        <row r="47">
          <cell r="D47">
            <v>22</v>
          </cell>
          <cell r="G47">
            <v>793</v>
          </cell>
          <cell r="H47">
            <v>6</v>
          </cell>
          <cell r="J47">
            <v>3144</v>
          </cell>
          <cell r="K47">
            <v>3</v>
          </cell>
          <cell r="L47">
            <v>5000</v>
          </cell>
        </row>
        <row r="48">
          <cell r="D48">
            <v>22</v>
          </cell>
          <cell r="G48">
            <v>763</v>
          </cell>
          <cell r="H48">
            <v>2</v>
          </cell>
          <cell r="J48">
            <v>2902</v>
          </cell>
          <cell r="K48">
            <v>5</v>
          </cell>
          <cell r="L48">
            <v>5000</v>
          </cell>
        </row>
        <row r="49">
          <cell r="D49">
            <v>19</v>
          </cell>
          <cell r="G49">
            <v>544</v>
          </cell>
          <cell r="H49">
            <v>1</v>
          </cell>
          <cell r="J49">
            <v>1476</v>
          </cell>
          <cell r="K49">
            <v>2</v>
          </cell>
          <cell r="L49">
            <v>5000</v>
          </cell>
        </row>
        <row r="50">
          <cell r="D50">
            <v>16</v>
          </cell>
          <cell r="G50">
            <v>776</v>
          </cell>
          <cell r="H50">
            <v>0</v>
          </cell>
          <cell r="J50">
            <v>3004</v>
          </cell>
          <cell r="K50">
            <v>6</v>
          </cell>
          <cell r="L50">
            <v>5000</v>
          </cell>
        </row>
        <row r="51">
          <cell r="D51">
            <v>12</v>
          </cell>
          <cell r="G51">
            <v>721</v>
          </cell>
          <cell r="H51">
            <v>1</v>
          </cell>
          <cell r="J51">
            <v>2602</v>
          </cell>
          <cell r="K51">
            <v>2</v>
          </cell>
          <cell r="L51">
            <v>5000</v>
          </cell>
        </row>
        <row r="52">
          <cell r="D52">
            <v>11</v>
          </cell>
          <cell r="G52">
            <v>784</v>
          </cell>
          <cell r="H52">
            <v>1</v>
          </cell>
          <cell r="J52">
            <v>3060</v>
          </cell>
          <cell r="K52">
            <v>1</v>
          </cell>
          <cell r="L52">
            <v>5000</v>
          </cell>
        </row>
        <row r="53">
          <cell r="D53">
            <v>5</v>
          </cell>
          <cell r="G53">
            <v>781</v>
          </cell>
          <cell r="H53">
            <v>0</v>
          </cell>
          <cell r="J53">
            <v>3058</v>
          </cell>
          <cell r="K53">
            <v>0</v>
          </cell>
          <cell r="L53">
            <v>5000</v>
          </cell>
        </row>
        <row r="54">
          <cell r="D54">
            <v>5</v>
          </cell>
          <cell r="G54">
            <v>996</v>
          </cell>
          <cell r="H54">
            <v>2</v>
          </cell>
          <cell r="J54">
            <v>4950</v>
          </cell>
          <cell r="K54">
            <v>1</v>
          </cell>
          <cell r="L54">
            <v>5000</v>
          </cell>
        </row>
        <row r="55">
          <cell r="D55">
            <v>6</v>
          </cell>
          <cell r="G55">
            <v>796</v>
          </cell>
          <cell r="H55">
            <v>2</v>
          </cell>
          <cell r="J55">
            <v>3172</v>
          </cell>
          <cell r="K55">
            <v>1</v>
          </cell>
          <cell r="L55">
            <v>5000</v>
          </cell>
        </row>
        <row r="56">
          <cell r="D56">
            <v>8</v>
          </cell>
          <cell r="G56">
            <v>792</v>
          </cell>
          <cell r="H56">
            <v>2</v>
          </cell>
          <cell r="J56">
            <v>3132</v>
          </cell>
          <cell r="K56">
            <v>0</v>
          </cell>
          <cell r="L56">
            <v>5000</v>
          </cell>
        </row>
        <row r="57">
          <cell r="D57">
            <v>12</v>
          </cell>
          <cell r="G57">
            <v>999</v>
          </cell>
          <cell r="H57">
            <v>5</v>
          </cell>
          <cell r="J57">
            <v>4992</v>
          </cell>
          <cell r="K57">
            <v>2</v>
          </cell>
          <cell r="L57">
            <v>5000</v>
          </cell>
        </row>
        <row r="58">
          <cell r="D58">
            <v>15</v>
          </cell>
          <cell r="G58">
            <v>790</v>
          </cell>
          <cell r="H58">
            <v>4</v>
          </cell>
          <cell r="J58">
            <v>3120</v>
          </cell>
          <cell r="K58">
            <v>2</v>
          </cell>
          <cell r="L58">
            <v>5000</v>
          </cell>
        </row>
        <row r="59">
          <cell r="D59">
            <v>20</v>
          </cell>
          <cell r="G59">
            <v>795</v>
          </cell>
          <cell r="H59">
            <v>5</v>
          </cell>
          <cell r="J59">
            <v>3152</v>
          </cell>
          <cell r="K59">
            <v>2</v>
          </cell>
          <cell r="L59">
            <v>5000</v>
          </cell>
        </row>
        <row r="60">
          <cell r="D60">
            <v>26</v>
          </cell>
          <cell r="G60">
            <v>784</v>
          </cell>
          <cell r="H60">
            <v>8</v>
          </cell>
          <cell r="J60">
            <v>3064</v>
          </cell>
          <cell r="K60">
            <v>5</v>
          </cell>
          <cell r="L60">
            <v>5000</v>
          </cell>
        </row>
        <row r="61">
          <cell r="D61">
            <v>29</v>
          </cell>
          <cell r="G61">
            <v>539</v>
          </cell>
          <cell r="H61">
            <v>5</v>
          </cell>
          <cell r="J61">
            <v>1452</v>
          </cell>
          <cell r="K61">
            <v>4</v>
          </cell>
          <cell r="L61">
            <v>5000</v>
          </cell>
        </row>
        <row r="62">
          <cell r="D62">
            <v>32</v>
          </cell>
          <cell r="G62">
            <v>788</v>
          </cell>
          <cell r="H62">
            <v>5</v>
          </cell>
          <cell r="J62">
            <v>3106</v>
          </cell>
          <cell r="K62">
            <v>5</v>
          </cell>
          <cell r="L62">
            <v>5000</v>
          </cell>
        </row>
        <row r="63">
          <cell r="D63">
            <v>28</v>
          </cell>
          <cell r="G63">
            <v>528</v>
          </cell>
          <cell r="H63">
            <v>1</v>
          </cell>
          <cell r="J63">
            <v>1384</v>
          </cell>
          <cell r="K63">
            <v>8</v>
          </cell>
          <cell r="L63">
            <v>5000</v>
          </cell>
        </row>
        <row r="64">
          <cell r="D64">
            <v>26</v>
          </cell>
          <cell r="G64">
            <v>681</v>
          </cell>
          <cell r="H64">
            <v>2</v>
          </cell>
          <cell r="J64">
            <v>2322</v>
          </cell>
          <cell r="K64">
            <v>5</v>
          </cell>
          <cell r="L64">
            <v>5000</v>
          </cell>
        </row>
        <row r="65">
          <cell r="D65">
            <v>21</v>
          </cell>
          <cell r="G65">
            <v>519</v>
          </cell>
          <cell r="H65">
            <v>0</v>
          </cell>
          <cell r="J65">
            <v>1360</v>
          </cell>
          <cell r="K65">
            <v>5</v>
          </cell>
          <cell r="L65">
            <v>5000</v>
          </cell>
        </row>
        <row r="66">
          <cell r="D66">
            <v>14</v>
          </cell>
          <cell r="G66">
            <v>531</v>
          </cell>
          <cell r="H66">
            <v>1</v>
          </cell>
          <cell r="J66">
            <v>1412</v>
          </cell>
          <cell r="K66">
            <v>1</v>
          </cell>
          <cell r="L66">
            <v>5000</v>
          </cell>
        </row>
        <row r="67">
          <cell r="D67">
            <v>10</v>
          </cell>
          <cell r="G67">
            <v>785</v>
          </cell>
          <cell r="H67">
            <v>1</v>
          </cell>
          <cell r="J67">
            <v>3084</v>
          </cell>
          <cell r="K67">
            <v>2</v>
          </cell>
          <cell r="L67">
            <v>5000</v>
          </cell>
        </row>
        <row r="68">
          <cell r="D68">
            <v>5</v>
          </cell>
          <cell r="G68">
            <v>783</v>
          </cell>
          <cell r="H68">
            <v>0</v>
          </cell>
          <cell r="J68">
            <v>3052</v>
          </cell>
          <cell r="K68">
            <v>0</v>
          </cell>
          <cell r="L68">
            <v>5000</v>
          </cell>
        </row>
        <row r="69">
          <cell r="D69">
            <v>5</v>
          </cell>
          <cell r="G69">
            <v>997</v>
          </cell>
          <cell r="H69">
            <v>1</v>
          </cell>
          <cell r="J69">
            <v>4974</v>
          </cell>
          <cell r="K69">
            <v>1</v>
          </cell>
          <cell r="L69">
            <v>5000</v>
          </cell>
        </row>
        <row r="70">
          <cell r="D70">
            <v>4</v>
          </cell>
          <cell r="G70">
            <v>798</v>
          </cell>
          <cell r="H70">
            <v>1</v>
          </cell>
          <cell r="J70">
            <v>3182</v>
          </cell>
          <cell r="K70">
            <v>1</v>
          </cell>
          <cell r="L70">
            <v>5000</v>
          </cell>
        </row>
        <row r="71">
          <cell r="D71">
            <v>5</v>
          </cell>
          <cell r="G71">
            <v>790</v>
          </cell>
          <cell r="H71">
            <v>1</v>
          </cell>
          <cell r="J71">
            <v>3116</v>
          </cell>
          <cell r="K71">
            <v>0</v>
          </cell>
          <cell r="L71">
            <v>5000</v>
          </cell>
        </row>
        <row r="72">
          <cell r="D72">
            <v>5</v>
          </cell>
          <cell r="G72">
            <v>998</v>
          </cell>
          <cell r="H72">
            <v>1</v>
          </cell>
          <cell r="J72">
            <v>4980</v>
          </cell>
          <cell r="K72">
            <v>1</v>
          </cell>
          <cell r="L72">
            <v>5000</v>
          </cell>
        </row>
        <row r="73">
          <cell r="D73">
            <v>4</v>
          </cell>
          <cell r="G73">
            <v>803</v>
          </cell>
          <cell r="H73">
            <v>0</v>
          </cell>
          <cell r="J73">
            <v>3226</v>
          </cell>
          <cell r="K73">
            <v>1</v>
          </cell>
          <cell r="L73">
            <v>5000</v>
          </cell>
        </row>
        <row r="74">
          <cell r="D74">
            <v>4</v>
          </cell>
          <cell r="G74">
            <v>797</v>
          </cell>
          <cell r="H74">
            <v>0</v>
          </cell>
          <cell r="J74">
            <v>3180</v>
          </cell>
          <cell r="K74">
            <v>1</v>
          </cell>
          <cell r="L74">
            <v>5000</v>
          </cell>
        </row>
        <row r="75">
          <cell r="D75">
            <v>3</v>
          </cell>
          <cell r="G75">
            <v>807</v>
          </cell>
          <cell r="H75">
            <v>0</v>
          </cell>
          <cell r="J75">
            <v>3254</v>
          </cell>
          <cell r="K75">
            <v>1</v>
          </cell>
          <cell r="L75">
            <v>5000</v>
          </cell>
        </row>
        <row r="76">
          <cell r="D76">
            <v>2</v>
          </cell>
          <cell r="G76">
            <v>796</v>
          </cell>
          <cell r="H76">
            <v>0</v>
          </cell>
          <cell r="J76">
            <v>3170</v>
          </cell>
          <cell r="K76">
            <v>0</v>
          </cell>
          <cell r="L76">
            <v>5000</v>
          </cell>
        </row>
        <row r="77">
          <cell r="D77">
            <v>1</v>
          </cell>
          <cell r="G77">
            <v>996</v>
          </cell>
          <cell r="H77">
            <v>0</v>
          </cell>
          <cell r="J77">
            <v>4966</v>
          </cell>
          <cell r="K77">
            <v>0</v>
          </cell>
          <cell r="L77">
            <v>5000</v>
          </cell>
        </row>
        <row r="78">
          <cell r="D78">
            <v>0</v>
          </cell>
          <cell r="G78">
            <v>998</v>
          </cell>
          <cell r="H78">
            <v>0</v>
          </cell>
          <cell r="J78">
            <v>4980</v>
          </cell>
          <cell r="K78">
            <v>0</v>
          </cell>
          <cell r="L78">
            <v>5000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Terry-data"/>
    </sheetNames>
    <sheetDataSet>
      <sheetData sheetId="0" refreshError="1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4</v>
          </cell>
          <cell r="G3">
            <v>997</v>
          </cell>
          <cell r="H3">
            <v>2</v>
          </cell>
          <cell r="J3">
            <v>4968</v>
          </cell>
          <cell r="K3">
            <v>0</v>
          </cell>
          <cell r="L3">
            <v>5000</v>
          </cell>
        </row>
        <row r="4">
          <cell r="D4">
            <v>9</v>
          </cell>
          <cell r="G4">
            <v>998</v>
          </cell>
          <cell r="H4">
            <v>5</v>
          </cell>
          <cell r="J4">
            <v>4978</v>
          </cell>
          <cell r="K4">
            <v>0</v>
          </cell>
          <cell r="L4">
            <v>5000</v>
          </cell>
        </row>
        <row r="5">
          <cell r="D5">
            <v>15</v>
          </cell>
          <cell r="G5">
            <v>996</v>
          </cell>
          <cell r="H5">
            <v>6</v>
          </cell>
          <cell r="J5">
            <v>4960</v>
          </cell>
          <cell r="K5">
            <v>2</v>
          </cell>
          <cell r="L5">
            <v>5000</v>
          </cell>
        </row>
        <row r="6">
          <cell r="D6">
            <v>23</v>
          </cell>
          <cell r="G6">
            <v>787</v>
          </cell>
          <cell r="H6">
            <v>8</v>
          </cell>
          <cell r="J6">
            <v>3110</v>
          </cell>
          <cell r="K6">
            <v>2</v>
          </cell>
          <cell r="L6">
            <v>5000</v>
          </cell>
        </row>
        <row r="7">
          <cell r="D7">
            <v>33</v>
          </cell>
          <cell r="G7">
            <v>794</v>
          </cell>
          <cell r="H7">
            <v>10</v>
          </cell>
          <cell r="J7">
            <v>3148</v>
          </cell>
          <cell r="K7">
            <v>5</v>
          </cell>
          <cell r="L7">
            <v>5000</v>
          </cell>
        </row>
        <row r="8">
          <cell r="D8">
            <v>41</v>
          </cell>
          <cell r="G8">
            <v>533</v>
          </cell>
          <cell r="H8">
            <v>10</v>
          </cell>
          <cell r="J8">
            <v>1436</v>
          </cell>
          <cell r="K8">
            <v>6</v>
          </cell>
          <cell r="L8">
            <v>5000</v>
          </cell>
        </row>
        <row r="9">
          <cell r="D9">
            <v>48</v>
          </cell>
          <cell r="G9">
            <v>748</v>
          </cell>
          <cell r="H9">
            <v>9</v>
          </cell>
          <cell r="J9">
            <v>2798</v>
          </cell>
          <cell r="K9">
            <v>8</v>
          </cell>
          <cell r="L9">
            <v>5000</v>
          </cell>
        </row>
        <row r="10">
          <cell r="D10">
            <v>58</v>
          </cell>
          <cell r="G10">
            <v>685</v>
          </cell>
          <cell r="H10">
            <v>15</v>
          </cell>
          <cell r="J10">
            <v>2328</v>
          </cell>
          <cell r="K10">
            <v>10</v>
          </cell>
          <cell r="L10">
            <v>5000</v>
          </cell>
        </row>
        <row r="11">
          <cell r="D11">
            <v>69</v>
          </cell>
          <cell r="G11">
            <v>841</v>
          </cell>
          <cell r="H11">
            <v>17</v>
          </cell>
          <cell r="J11">
            <v>3528</v>
          </cell>
          <cell r="K11">
            <v>10</v>
          </cell>
          <cell r="L11">
            <v>5000</v>
          </cell>
        </row>
        <row r="12">
          <cell r="D12">
            <v>95</v>
          </cell>
          <cell r="G12">
            <v>847</v>
          </cell>
          <cell r="H12">
            <v>34</v>
          </cell>
          <cell r="J12">
            <v>3582</v>
          </cell>
          <cell r="K12">
            <v>9</v>
          </cell>
          <cell r="L12">
            <v>5000</v>
          </cell>
        </row>
        <row r="13">
          <cell r="D13">
            <v>112</v>
          </cell>
          <cell r="G13">
            <v>686</v>
          </cell>
          <cell r="H13">
            <v>27</v>
          </cell>
          <cell r="J13">
            <v>2364</v>
          </cell>
          <cell r="K13">
            <v>15</v>
          </cell>
          <cell r="L13">
            <v>5000</v>
          </cell>
        </row>
        <row r="14">
          <cell r="D14">
            <v>109</v>
          </cell>
          <cell r="G14">
            <v>366</v>
          </cell>
          <cell r="H14">
            <v>7</v>
          </cell>
          <cell r="J14">
            <v>672</v>
          </cell>
          <cell r="K14">
            <v>17</v>
          </cell>
          <cell r="L14">
            <v>5000</v>
          </cell>
        </row>
        <row r="15">
          <cell r="D15">
            <v>108</v>
          </cell>
          <cell r="G15">
            <v>446</v>
          </cell>
          <cell r="H15">
            <v>8</v>
          </cell>
          <cell r="J15">
            <v>994</v>
          </cell>
          <cell r="K15">
            <v>34</v>
          </cell>
          <cell r="L15">
            <v>5000</v>
          </cell>
        </row>
        <row r="16">
          <cell r="D16">
            <v>94</v>
          </cell>
          <cell r="G16">
            <v>197</v>
          </cell>
          <cell r="H16">
            <v>1</v>
          </cell>
          <cell r="J16">
            <v>196</v>
          </cell>
          <cell r="K16">
            <v>27</v>
          </cell>
          <cell r="L16">
            <v>5000</v>
          </cell>
        </row>
        <row r="17">
          <cell r="D17">
            <v>81</v>
          </cell>
          <cell r="G17">
            <v>279</v>
          </cell>
          <cell r="H17">
            <v>4</v>
          </cell>
          <cell r="J17">
            <v>390</v>
          </cell>
          <cell r="K17">
            <v>7</v>
          </cell>
          <cell r="L17">
            <v>5000</v>
          </cell>
        </row>
        <row r="18">
          <cell r="D18">
            <v>49</v>
          </cell>
          <cell r="G18">
            <v>722</v>
          </cell>
          <cell r="H18">
            <v>2</v>
          </cell>
          <cell r="J18">
            <v>2606</v>
          </cell>
          <cell r="K18">
            <v>8</v>
          </cell>
          <cell r="L18">
            <v>5000</v>
          </cell>
        </row>
        <row r="19">
          <cell r="D19">
            <v>24</v>
          </cell>
          <cell r="G19">
            <v>670</v>
          </cell>
          <cell r="H19">
            <v>2</v>
          </cell>
          <cell r="J19">
            <v>2228</v>
          </cell>
          <cell r="K19">
            <v>1</v>
          </cell>
          <cell r="L19">
            <v>5000</v>
          </cell>
        </row>
        <row r="20">
          <cell r="D20">
            <v>22</v>
          </cell>
          <cell r="G20">
            <v>770</v>
          </cell>
          <cell r="H20">
            <v>5</v>
          </cell>
          <cell r="J20">
            <v>2962</v>
          </cell>
          <cell r="K20">
            <v>4</v>
          </cell>
          <cell r="L20">
            <v>5000</v>
          </cell>
        </row>
        <row r="21">
          <cell r="D21">
            <v>23</v>
          </cell>
          <cell r="G21">
            <v>779</v>
          </cell>
          <cell r="H21">
            <v>9</v>
          </cell>
          <cell r="J21">
            <v>3032</v>
          </cell>
          <cell r="K21">
            <v>2</v>
          </cell>
          <cell r="L21">
            <v>5000</v>
          </cell>
        </row>
        <row r="22">
          <cell r="D22">
            <v>33</v>
          </cell>
          <cell r="G22">
            <v>777</v>
          </cell>
          <cell r="H22">
            <v>11</v>
          </cell>
          <cell r="J22">
            <v>3018</v>
          </cell>
          <cell r="K22">
            <v>2</v>
          </cell>
          <cell r="L22">
            <v>5000</v>
          </cell>
        </row>
        <row r="23">
          <cell r="D23">
            <v>39</v>
          </cell>
          <cell r="G23">
            <v>781</v>
          </cell>
          <cell r="H23">
            <v>10</v>
          </cell>
          <cell r="J23">
            <v>3040</v>
          </cell>
          <cell r="K23">
            <v>5</v>
          </cell>
          <cell r="L23">
            <v>5000</v>
          </cell>
        </row>
        <row r="24">
          <cell r="D24">
            <v>42</v>
          </cell>
          <cell r="G24">
            <v>537</v>
          </cell>
          <cell r="H24">
            <v>5</v>
          </cell>
          <cell r="J24">
            <v>1434</v>
          </cell>
          <cell r="K24">
            <v>9</v>
          </cell>
          <cell r="L24">
            <v>5000</v>
          </cell>
        </row>
        <row r="25">
          <cell r="D25">
            <v>49</v>
          </cell>
          <cell r="G25">
            <v>700</v>
          </cell>
          <cell r="H25">
            <v>9</v>
          </cell>
          <cell r="J25">
            <v>2448</v>
          </cell>
          <cell r="K25">
            <v>11</v>
          </cell>
          <cell r="L25">
            <v>5000</v>
          </cell>
        </row>
        <row r="26">
          <cell r="D26">
            <v>48</v>
          </cell>
          <cell r="G26">
            <v>692</v>
          </cell>
          <cell r="H26">
            <v>4</v>
          </cell>
          <cell r="J26">
            <v>2398</v>
          </cell>
          <cell r="K26">
            <v>10</v>
          </cell>
          <cell r="L26">
            <v>5000</v>
          </cell>
        </row>
        <row r="27">
          <cell r="D27">
            <v>52</v>
          </cell>
          <cell r="G27">
            <v>855</v>
          </cell>
          <cell r="H27">
            <v>13</v>
          </cell>
          <cell r="J27">
            <v>3634</v>
          </cell>
          <cell r="K27">
            <v>5</v>
          </cell>
          <cell r="L27">
            <v>5000</v>
          </cell>
        </row>
        <row r="28">
          <cell r="D28">
            <v>45</v>
          </cell>
          <cell r="G28">
            <v>514</v>
          </cell>
          <cell r="H28">
            <v>4</v>
          </cell>
          <cell r="J28">
            <v>1330</v>
          </cell>
          <cell r="K28">
            <v>9</v>
          </cell>
          <cell r="L28">
            <v>5000</v>
          </cell>
        </row>
        <row r="29">
          <cell r="D29">
            <v>43</v>
          </cell>
          <cell r="G29">
            <v>703</v>
          </cell>
          <cell r="H29">
            <v>8</v>
          </cell>
          <cell r="J29">
            <v>2464</v>
          </cell>
          <cell r="K29">
            <v>4</v>
          </cell>
          <cell r="L29">
            <v>5000</v>
          </cell>
        </row>
        <row r="30">
          <cell r="D30">
            <v>41</v>
          </cell>
          <cell r="G30">
            <v>771</v>
          </cell>
          <cell r="H30">
            <v>3</v>
          </cell>
          <cell r="J30">
            <v>2946</v>
          </cell>
          <cell r="K30">
            <v>13</v>
          </cell>
          <cell r="L30">
            <v>5000</v>
          </cell>
        </row>
        <row r="31">
          <cell r="D31">
            <v>32</v>
          </cell>
          <cell r="G31">
            <v>477</v>
          </cell>
          <cell r="H31">
            <v>0</v>
          </cell>
          <cell r="J31">
            <v>1128</v>
          </cell>
          <cell r="K31">
            <v>4</v>
          </cell>
          <cell r="L31">
            <v>5000</v>
          </cell>
        </row>
        <row r="32">
          <cell r="D32">
            <v>32</v>
          </cell>
          <cell r="G32">
            <v>780</v>
          </cell>
          <cell r="H32">
            <v>4</v>
          </cell>
          <cell r="J32">
            <v>3038</v>
          </cell>
          <cell r="K32">
            <v>8</v>
          </cell>
          <cell r="L32">
            <v>5000</v>
          </cell>
        </row>
        <row r="33">
          <cell r="D33">
            <v>20</v>
          </cell>
          <cell r="G33">
            <v>679</v>
          </cell>
          <cell r="H33">
            <v>1</v>
          </cell>
          <cell r="J33">
            <v>2294</v>
          </cell>
          <cell r="K33">
            <v>3</v>
          </cell>
          <cell r="L33">
            <v>5000</v>
          </cell>
        </row>
        <row r="34">
          <cell r="D34">
            <v>17</v>
          </cell>
          <cell r="G34">
            <v>763</v>
          </cell>
          <cell r="H34">
            <v>1</v>
          </cell>
          <cell r="J34">
            <v>2910</v>
          </cell>
          <cell r="K34">
            <v>0</v>
          </cell>
          <cell r="L34">
            <v>5000</v>
          </cell>
        </row>
        <row r="35">
          <cell r="D35">
            <v>19</v>
          </cell>
          <cell r="G35">
            <v>995</v>
          </cell>
          <cell r="H35">
            <v>10</v>
          </cell>
          <cell r="J35">
            <v>4948</v>
          </cell>
          <cell r="K35">
            <v>4</v>
          </cell>
          <cell r="L35">
            <v>5000</v>
          </cell>
        </row>
        <row r="36">
          <cell r="D36">
            <v>20</v>
          </cell>
          <cell r="G36">
            <v>792</v>
          </cell>
          <cell r="H36">
            <v>4</v>
          </cell>
          <cell r="J36">
            <v>3132</v>
          </cell>
          <cell r="K36">
            <v>1</v>
          </cell>
          <cell r="L36">
            <v>5000</v>
          </cell>
        </row>
        <row r="37">
          <cell r="D37">
            <v>28</v>
          </cell>
          <cell r="G37">
            <v>791</v>
          </cell>
          <cell r="H37">
            <v>8</v>
          </cell>
          <cell r="J37">
            <v>3118</v>
          </cell>
          <cell r="K37">
            <v>1</v>
          </cell>
          <cell r="L37">
            <v>5000</v>
          </cell>
        </row>
        <row r="38">
          <cell r="D38">
            <v>31</v>
          </cell>
          <cell r="G38">
            <v>778</v>
          </cell>
          <cell r="H38">
            <v>7</v>
          </cell>
          <cell r="J38">
            <v>3016</v>
          </cell>
          <cell r="K38">
            <v>10</v>
          </cell>
          <cell r="L38">
            <v>5000</v>
          </cell>
        </row>
        <row r="39">
          <cell r="D39">
            <v>39</v>
          </cell>
          <cell r="G39">
            <v>864</v>
          </cell>
          <cell r="H39">
            <v>9</v>
          </cell>
          <cell r="J39">
            <v>3738</v>
          </cell>
          <cell r="K39">
            <v>4</v>
          </cell>
          <cell r="L39">
            <v>5000</v>
          </cell>
        </row>
        <row r="40">
          <cell r="D40">
            <v>51</v>
          </cell>
          <cell r="G40">
            <v>783</v>
          </cell>
          <cell r="H40">
            <v>13</v>
          </cell>
          <cell r="J40">
            <v>3064</v>
          </cell>
          <cell r="K40">
            <v>8</v>
          </cell>
          <cell r="L40">
            <v>5000</v>
          </cell>
        </row>
        <row r="41">
          <cell r="D41">
            <v>45</v>
          </cell>
          <cell r="G41">
            <v>681</v>
          </cell>
          <cell r="H41">
            <v>4</v>
          </cell>
          <cell r="J41">
            <v>2300</v>
          </cell>
          <cell r="K41">
            <v>7</v>
          </cell>
          <cell r="L41">
            <v>5000</v>
          </cell>
        </row>
        <row r="42">
          <cell r="D42">
            <v>53</v>
          </cell>
          <cell r="G42">
            <v>761</v>
          </cell>
          <cell r="H42">
            <v>12</v>
          </cell>
          <cell r="J42">
            <v>2892</v>
          </cell>
          <cell r="K42">
            <v>9</v>
          </cell>
          <cell r="L42">
            <v>5000</v>
          </cell>
        </row>
        <row r="43">
          <cell r="D43">
            <v>52</v>
          </cell>
          <cell r="G43">
            <v>697</v>
          </cell>
          <cell r="H43">
            <v>7</v>
          </cell>
          <cell r="J43">
            <v>2434</v>
          </cell>
          <cell r="K43">
            <v>13</v>
          </cell>
          <cell r="L43">
            <v>5000</v>
          </cell>
        </row>
        <row r="44">
          <cell r="D44">
            <v>49</v>
          </cell>
          <cell r="G44">
            <v>475</v>
          </cell>
          <cell r="H44">
            <v>4</v>
          </cell>
          <cell r="J44">
            <v>1132</v>
          </cell>
          <cell r="K44">
            <v>4</v>
          </cell>
          <cell r="L44">
            <v>5000</v>
          </cell>
        </row>
        <row r="45">
          <cell r="D45">
            <v>44</v>
          </cell>
          <cell r="G45">
            <v>767</v>
          </cell>
          <cell r="H45">
            <v>4</v>
          </cell>
          <cell r="J45">
            <v>2944</v>
          </cell>
          <cell r="K45">
            <v>12</v>
          </cell>
          <cell r="L45">
            <v>5000</v>
          </cell>
        </row>
        <row r="46">
          <cell r="D46">
            <v>33</v>
          </cell>
          <cell r="G46">
            <v>578</v>
          </cell>
          <cell r="H46">
            <v>2</v>
          </cell>
          <cell r="J46">
            <v>1676</v>
          </cell>
          <cell r="K46">
            <v>7</v>
          </cell>
          <cell r="L46">
            <v>5000</v>
          </cell>
        </row>
        <row r="47">
          <cell r="D47">
            <v>30</v>
          </cell>
          <cell r="G47">
            <v>770</v>
          </cell>
          <cell r="H47">
            <v>1</v>
          </cell>
          <cell r="J47">
            <v>2964</v>
          </cell>
          <cell r="K47">
            <v>4</v>
          </cell>
          <cell r="L47">
            <v>5000</v>
          </cell>
        </row>
        <row r="48">
          <cell r="D48">
            <v>21</v>
          </cell>
          <cell r="G48">
            <v>774</v>
          </cell>
          <cell r="H48">
            <v>3</v>
          </cell>
          <cell r="J48">
            <v>3008</v>
          </cell>
          <cell r="K48">
            <v>4</v>
          </cell>
          <cell r="L48">
            <v>5000</v>
          </cell>
        </row>
        <row r="49">
          <cell r="D49">
            <v>14</v>
          </cell>
          <cell r="G49">
            <v>780</v>
          </cell>
          <cell r="H49">
            <v>0</v>
          </cell>
          <cell r="J49">
            <v>3040</v>
          </cell>
          <cell r="K49">
            <v>2</v>
          </cell>
          <cell r="L49">
            <v>5000</v>
          </cell>
        </row>
        <row r="50">
          <cell r="D50">
            <v>10</v>
          </cell>
          <cell r="G50">
            <v>777</v>
          </cell>
          <cell r="H50">
            <v>0</v>
          </cell>
          <cell r="J50">
            <v>3026</v>
          </cell>
          <cell r="K50">
            <v>1</v>
          </cell>
          <cell r="L50">
            <v>5000</v>
          </cell>
        </row>
        <row r="51">
          <cell r="D51">
            <v>6</v>
          </cell>
          <cell r="G51">
            <v>795</v>
          </cell>
          <cell r="H51">
            <v>0</v>
          </cell>
          <cell r="J51">
            <v>3154</v>
          </cell>
          <cell r="K51">
            <v>3</v>
          </cell>
          <cell r="L51">
            <v>5000</v>
          </cell>
        </row>
        <row r="52">
          <cell r="D52">
            <v>4</v>
          </cell>
          <cell r="G52">
            <v>773</v>
          </cell>
          <cell r="H52">
            <v>0</v>
          </cell>
          <cell r="J52">
            <v>2982</v>
          </cell>
          <cell r="K52">
            <v>0</v>
          </cell>
          <cell r="L52">
            <v>5000</v>
          </cell>
        </row>
        <row r="53">
          <cell r="D53">
            <v>3</v>
          </cell>
          <cell r="G53">
            <v>995</v>
          </cell>
          <cell r="H53">
            <v>0</v>
          </cell>
          <cell r="J53">
            <v>4948</v>
          </cell>
          <cell r="K53">
            <v>0</v>
          </cell>
          <cell r="L53">
            <v>5000</v>
          </cell>
        </row>
        <row r="54">
          <cell r="D54">
            <v>4</v>
          </cell>
          <cell r="G54">
            <v>996</v>
          </cell>
          <cell r="H54">
            <v>4</v>
          </cell>
          <cell r="J54">
            <v>4956</v>
          </cell>
          <cell r="K54">
            <v>0</v>
          </cell>
          <cell r="L54">
            <v>5000</v>
          </cell>
        </row>
        <row r="55">
          <cell r="D55">
            <v>6</v>
          </cell>
          <cell r="G55">
            <v>997</v>
          </cell>
          <cell r="H55">
            <v>2</v>
          </cell>
          <cell r="J55">
            <v>4970</v>
          </cell>
          <cell r="K55">
            <v>0</v>
          </cell>
          <cell r="L55">
            <v>5000</v>
          </cell>
        </row>
        <row r="56">
          <cell r="D56">
            <v>10</v>
          </cell>
          <cell r="G56">
            <v>996</v>
          </cell>
          <cell r="H56">
            <v>4</v>
          </cell>
          <cell r="J56">
            <v>4964</v>
          </cell>
          <cell r="K56">
            <v>0</v>
          </cell>
          <cell r="L56">
            <v>5000</v>
          </cell>
        </row>
        <row r="57">
          <cell r="D57">
            <v>15</v>
          </cell>
          <cell r="G57">
            <v>995</v>
          </cell>
          <cell r="H57">
            <v>5</v>
          </cell>
          <cell r="J57">
            <v>4958</v>
          </cell>
          <cell r="K57">
            <v>4</v>
          </cell>
          <cell r="L57">
            <v>5000</v>
          </cell>
        </row>
        <row r="58">
          <cell r="D58">
            <v>21</v>
          </cell>
          <cell r="G58">
            <v>793</v>
          </cell>
          <cell r="H58">
            <v>6</v>
          </cell>
          <cell r="J58">
            <v>3144</v>
          </cell>
          <cell r="K58">
            <v>2</v>
          </cell>
          <cell r="L58">
            <v>5000</v>
          </cell>
        </row>
        <row r="59">
          <cell r="D59">
            <v>24</v>
          </cell>
          <cell r="G59">
            <v>778</v>
          </cell>
          <cell r="H59">
            <v>3</v>
          </cell>
          <cell r="J59">
            <v>3022</v>
          </cell>
          <cell r="K59">
            <v>4</v>
          </cell>
          <cell r="L59">
            <v>5000</v>
          </cell>
        </row>
        <row r="60">
          <cell r="D60">
            <v>24</v>
          </cell>
          <cell r="G60">
            <v>778</v>
          </cell>
          <cell r="H60">
            <v>4</v>
          </cell>
          <cell r="J60">
            <v>3038</v>
          </cell>
          <cell r="K60">
            <v>5</v>
          </cell>
          <cell r="L60">
            <v>5000</v>
          </cell>
        </row>
        <row r="61">
          <cell r="D61">
            <v>22</v>
          </cell>
          <cell r="G61">
            <v>532</v>
          </cell>
          <cell r="H61">
            <v>0</v>
          </cell>
          <cell r="J61">
            <v>1416</v>
          </cell>
          <cell r="K61">
            <v>6</v>
          </cell>
          <cell r="L61">
            <v>5000</v>
          </cell>
        </row>
        <row r="62">
          <cell r="D62">
            <v>20</v>
          </cell>
          <cell r="G62">
            <v>749</v>
          </cell>
          <cell r="H62">
            <v>2</v>
          </cell>
          <cell r="J62">
            <v>2814</v>
          </cell>
          <cell r="K62">
            <v>3</v>
          </cell>
          <cell r="L62">
            <v>5000</v>
          </cell>
        </row>
        <row r="63">
          <cell r="D63">
            <v>15</v>
          </cell>
          <cell r="G63">
            <v>759</v>
          </cell>
          <cell r="H63">
            <v>0</v>
          </cell>
          <cell r="J63">
            <v>2888</v>
          </cell>
          <cell r="K63">
            <v>4</v>
          </cell>
          <cell r="L63">
            <v>5000</v>
          </cell>
        </row>
        <row r="64">
          <cell r="D64">
            <v>9</v>
          </cell>
          <cell r="G64">
            <v>786</v>
          </cell>
          <cell r="H64">
            <v>0</v>
          </cell>
          <cell r="J64">
            <v>3074</v>
          </cell>
          <cell r="K64">
            <v>0</v>
          </cell>
          <cell r="L64">
            <v>5000</v>
          </cell>
        </row>
        <row r="65">
          <cell r="D65">
            <v>11</v>
          </cell>
          <cell r="G65">
            <v>992</v>
          </cell>
          <cell r="H65">
            <v>5</v>
          </cell>
          <cell r="J65">
            <v>4920</v>
          </cell>
          <cell r="K65">
            <v>2</v>
          </cell>
          <cell r="L65">
            <v>5000</v>
          </cell>
        </row>
        <row r="66">
          <cell r="D66">
            <v>9</v>
          </cell>
          <cell r="G66">
            <v>789</v>
          </cell>
          <cell r="H66">
            <v>2</v>
          </cell>
          <cell r="J66">
            <v>3116</v>
          </cell>
          <cell r="K66">
            <v>0</v>
          </cell>
          <cell r="L66">
            <v>5000</v>
          </cell>
        </row>
        <row r="67">
          <cell r="D67">
            <v>11</v>
          </cell>
          <cell r="G67">
            <v>995</v>
          </cell>
          <cell r="H67">
            <v>2</v>
          </cell>
          <cell r="J67">
            <v>4942</v>
          </cell>
          <cell r="K67">
            <v>0</v>
          </cell>
          <cell r="L67">
            <v>5000</v>
          </cell>
        </row>
        <row r="68">
          <cell r="D68">
            <v>16</v>
          </cell>
          <cell r="G68">
            <v>995</v>
          </cell>
          <cell r="H68">
            <v>7</v>
          </cell>
          <cell r="J68">
            <v>4950</v>
          </cell>
          <cell r="K68">
            <v>5</v>
          </cell>
          <cell r="L68">
            <v>5000</v>
          </cell>
        </row>
        <row r="69">
          <cell r="D69">
            <v>17</v>
          </cell>
          <cell r="G69">
            <v>545</v>
          </cell>
          <cell r="H69">
            <v>1</v>
          </cell>
          <cell r="J69">
            <v>1482</v>
          </cell>
          <cell r="K69">
            <v>2</v>
          </cell>
          <cell r="L69">
            <v>5000</v>
          </cell>
        </row>
        <row r="70">
          <cell r="D70">
            <v>18</v>
          </cell>
          <cell r="G70">
            <v>776</v>
          </cell>
          <cell r="H70">
            <v>1</v>
          </cell>
          <cell r="J70">
            <v>3020</v>
          </cell>
          <cell r="K70">
            <v>2</v>
          </cell>
          <cell r="L70">
            <v>5000</v>
          </cell>
        </row>
        <row r="71">
          <cell r="D71">
            <v>14</v>
          </cell>
          <cell r="G71">
            <v>776</v>
          </cell>
          <cell r="H71">
            <v>1</v>
          </cell>
          <cell r="J71">
            <v>3008</v>
          </cell>
          <cell r="K71">
            <v>7</v>
          </cell>
          <cell r="L71">
            <v>5000</v>
          </cell>
        </row>
        <row r="72">
          <cell r="D72">
            <v>12</v>
          </cell>
          <cell r="G72">
            <v>778</v>
          </cell>
          <cell r="H72">
            <v>0</v>
          </cell>
          <cell r="J72">
            <v>3016</v>
          </cell>
          <cell r="K72">
            <v>1</v>
          </cell>
          <cell r="L72">
            <v>5000</v>
          </cell>
        </row>
        <row r="73">
          <cell r="D73">
            <v>12</v>
          </cell>
          <cell r="G73">
            <v>779</v>
          </cell>
          <cell r="H73">
            <v>2</v>
          </cell>
          <cell r="J73">
            <v>3028</v>
          </cell>
          <cell r="K73">
            <v>1</v>
          </cell>
          <cell r="L73">
            <v>5000</v>
          </cell>
        </row>
        <row r="74">
          <cell r="D74">
            <v>5</v>
          </cell>
          <cell r="G74">
            <v>792</v>
          </cell>
          <cell r="H74">
            <v>0</v>
          </cell>
          <cell r="J74">
            <v>3130</v>
          </cell>
          <cell r="K74">
            <v>1</v>
          </cell>
          <cell r="L74">
            <v>5000</v>
          </cell>
        </row>
        <row r="75">
          <cell r="D75">
            <v>6</v>
          </cell>
          <cell r="G75">
            <v>796</v>
          </cell>
          <cell r="H75">
            <v>2</v>
          </cell>
          <cell r="J75">
            <v>3162</v>
          </cell>
          <cell r="K75">
            <v>0</v>
          </cell>
          <cell r="L75">
            <v>5000</v>
          </cell>
        </row>
        <row r="76">
          <cell r="D76">
            <v>9</v>
          </cell>
          <cell r="G76">
            <v>997</v>
          </cell>
          <cell r="H76">
            <v>4</v>
          </cell>
          <cell r="J76">
            <v>4966</v>
          </cell>
          <cell r="K76">
            <v>2</v>
          </cell>
          <cell r="L76">
            <v>5000</v>
          </cell>
        </row>
        <row r="77">
          <cell r="D77">
            <v>10</v>
          </cell>
          <cell r="G77">
            <v>790</v>
          </cell>
          <cell r="H77">
            <v>2</v>
          </cell>
          <cell r="J77">
            <v>3114</v>
          </cell>
          <cell r="K77">
            <v>0</v>
          </cell>
          <cell r="L77">
            <v>5000</v>
          </cell>
        </row>
        <row r="78">
          <cell r="D78">
            <v>14</v>
          </cell>
          <cell r="G78">
            <v>995</v>
          </cell>
          <cell r="H78">
            <v>4</v>
          </cell>
          <cell r="J78">
            <v>4948</v>
          </cell>
          <cell r="K78">
            <v>2</v>
          </cell>
          <cell r="L78">
            <v>5000</v>
          </cell>
        </row>
        <row r="79">
          <cell r="D79">
            <v>15</v>
          </cell>
          <cell r="G79">
            <v>787</v>
          </cell>
          <cell r="H79">
            <v>3</v>
          </cell>
          <cell r="J79">
            <v>3096</v>
          </cell>
          <cell r="K79">
            <v>4</v>
          </cell>
          <cell r="L79">
            <v>5000</v>
          </cell>
        </row>
        <row r="80">
          <cell r="D80">
            <v>16</v>
          </cell>
          <cell r="G80">
            <v>786</v>
          </cell>
          <cell r="H80">
            <v>1</v>
          </cell>
          <cell r="J80">
            <v>3086</v>
          </cell>
          <cell r="K80">
            <v>2</v>
          </cell>
          <cell r="L80">
            <v>5000</v>
          </cell>
        </row>
        <row r="81">
          <cell r="D81">
            <v>16</v>
          </cell>
          <cell r="G81">
            <v>783</v>
          </cell>
          <cell r="H81">
            <v>2</v>
          </cell>
          <cell r="J81">
            <v>3074</v>
          </cell>
          <cell r="K81">
            <v>4</v>
          </cell>
          <cell r="L81">
            <v>5000</v>
          </cell>
        </row>
        <row r="82">
          <cell r="D82">
            <v>12</v>
          </cell>
          <cell r="G82">
            <v>785</v>
          </cell>
          <cell r="H82">
            <v>0</v>
          </cell>
          <cell r="J82">
            <v>3072</v>
          </cell>
          <cell r="K82">
            <v>3</v>
          </cell>
          <cell r="L82">
            <v>5000</v>
          </cell>
        </row>
        <row r="83">
          <cell r="D83">
            <v>10</v>
          </cell>
          <cell r="G83">
            <v>761</v>
          </cell>
          <cell r="H83">
            <v>0</v>
          </cell>
          <cell r="J83">
            <v>2912</v>
          </cell>
          <cell r="K83">
            <v>1</v>
          </cell>
          <cell r="L83">
            <v>5000</v>
          </cell>
        </row>
        <row r="84">
          <cell r="D84">
            <v>6</v>
          </cell>
          <cell r="G84">
            <v>796</v>
          </cell>
          <cell r="H84">
            <v>0</v>
          </cell>
          <cell r="J84">
            <v>3170</v>
          </cell>
          <cell r="K84">
            <v>2</v>
          </cell>
          <cell r="L84">
            <v>5000</v>
          </cell>
        </row>
        <row r="85">
          <cell r="D85">
            <v>3</v>
          </cell>
          <cell r="G85">
            <v>788</v>
          </cell>
          <cell r="H85">
            <v>0</v>
          </cell>
          <cell r="J85">
            <v>3096</v>
          </cell>
          <cell r="K85">
            <v>0</v>
          </cell>
          <cell r="L85">
            <v>5000</v>
          </cell>
        </row>
        <row r="86">
          <cell r="D86">
            <v>2</v>
          </cell>
          <cell r="G86">
            <v>996</v>
          </cell>
          <cell r="H86">
            <v>0</v>
          </cell>
          <cell r="J86">
            <v>4964</v>
          </cell>
          <cell r="K86">
            <v>0</v>
          </cell>
          <cell r="L86">
            <v>5000</v>
          </cell>
        </row>
        <row r="87">
          <cell r="D87">
            <v>0</v>
          </cell>
          <cell r="G87">
            <v>995</v>
          </cell>
          <cell r="H87">
            <v>0</v>
          </cell>
          <cell r="J87">
            <v>4952</v>
          </cell>
          <cell r="K87">
            <v>0</v>
          </cell>
          <cell r="L87">
            <v>5000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SarahAPI-data"/>
    </sheetNames>
    <sheetDataSet>
      <sheetData sheetId="0" refreshError="1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2</v>
          </cell>
          <cell r="G3">
            <v>997</v>
          </cell>
          <cell r="H3">
            <v>0</v>
          </cell>
          <cell r="J3">
            <v>4966</v>
          </cell>
          <cell r="K3">
            <v>0</v>
          </cell>
          <cell r="L3">
            <v>5000</v>
          </cell>
        </row>
        <row r="4">
          <cell r="D4">
            <v>4</v>
          </cell>
          <cell r="G4">
            <v>997</v>
          </cell>
          <cell r="H4">
            <v>2</v>
          </cell>
          <cell r="J4">
            <v>4970</v>
          </cell>
          <cell r="K4">
            <v>0</v>
          </cell>
          <cell r="L4">
            <v>5000</v>
          </cell>
        </row>
        <row r="5">
          <cell r="D5">
            <v>6</v>
          </cell>
          <cell r="G5">
            <v>997</v>
          </cell>
          <cell r="H5">
            <v>2</v>
          </cell>
          <cell r="J5">
            <v>4970</v>
          </cell>
          <cell r="K5">
            <v>2</v>
          </cell>
          <cell r="L5">
            <v>5000</v>
          </cell>
        </row>
        <row r="6">
          <cell r="D6">
            <v>9</v>
          </cell>
          <cell r="G6">
            <v>793</v>
          </cell>
          <cell r="H6">
            <v>3</v>
          </cell>
          <cell r="J6">
            <v>3156</v>
          </cell>
          <cell r="K6">
            <v>0</v>
          </cell>
          <cell r="L6">
            <v>5000</v>
          </cell>
        </row>
        <row r="7">
          <cell r="D7">
            <v>17</v>
          </cell>
          <cell r="G7">
            <v>995</v>
          </cell>
          <cell r="H7">
            <v>8</v>
          </cell>
          <cell r="J7">
            <v>4948</v>
          </cell>
          <cell r="K7">
            <v>2</v>
          </cell>
          <cell r="L7">
            <v>5000</v>
          </cell>
        </row>
        <row r="8">
          <cell r="D8">
            <v>19</v>
          </cell>
          <cell r="G8">
            <v>802</v>
          </cell>
          <cell r="H8">
            <v>4</v>
          </cell>
          <cell r="J8">
            <v>3218</v>
          </cell>
          <cell r="K8">
            <v>2</v>
          </cell>
          <cell r="L8">
            <v>5000</v>
          </cell>
        </row>
        <row r="9">
          <cell r="D9">
            <v>29</v>
          </cell>
          <cell r="G9">
            <v>794</v>
          </cell>
          <cell r="H9">
            <v>10</v>
          </cell>
          <cell r="J9">
            <v>3154</v>
          </cell>
          <cell r="K9">
            <v>3</v>
          </cell>
          <cell r="L9">
            <v>5000</v>
          </cell>
        </row>
        <row r="10">
          <cell r="D10">
            <v>39</v>
          </cell>
          <cell r="G10">
            <v>782</v>
          </cell>
          <cell r="H10">
            <v>12</v>
          </cell>
          <cell r="J10">
            <v>3042</v>
          </cell>
          <cell r="K10">
            <v>8</v>
          </cell>
          <cell r="L10">
            <v>5000</v>
          </cell>
        </row>
        <row r="11">
          <cell r="D11">
            <v>51</v>
          </cell>
          <cell r="G11">
            <v>702</v>
          </cell>
          <cell r="H11">
            <v>14</v>
          </cell>
          <cell r="J11">
            <v>2452</v>
          </cell>
          <cell r="K11">
            <v>4</v>
          </cell>
          <cell r="L11">
            <v>5000</v>
          </cell>
        </row>
        <row r="12">
          <cell r="D12">
            <v>68</v>
          </cell>
          <cell r="G12">
            <v>787</v>
          </cell>
          <cell r="H12">
            <v>20</v>
          </cell>
          <cell r="J12">
            <v>3086</v>
          </cell>
          <cell r="K12">
            <v>10</v>
          </cell>
          <cell r="L12">
            <v>5000</v>
          </cell>
        </row>
        <row r="13">
          <cell r="D13">
            <v>89</v>
          </cell>
          <cell r="G13">
            <v>829</v>
          </cell>
          <cell r="H13">
            <v>29</v>
          </cell>
          <cell r="J13">
            <v>3418</v>
          </cell>
          <cell r="K13">
            <v>12</v>
          </cell>
          <cell r="L13">
            <v>5000</v>
          </cell>
        </row>
        <row r="14">
          <cell r="D14">
            <v>103</v>
          </cell>
          <cell r="G14">
            <v>580</v>
          </cell>
          <cell r="H14">
            <v>18</v>
          </cell>
          <cell r="J14">
            <v>1686</v>
          </cell>
          <cell r="K14">
            <v>14</v>
          </cell>
          <cell r="L14">
            <v>5000</v>
          </cell>
        </row>
        <row r="15">
          <cell r="D15">
            <v>102</v>
          </cell>
          <cell r="G15">
            <v>473</v>
          </cell>
          <cell r="H15">
            <v>9</v>
          </cell>
          <cell r="J15">
            <v>1098</v>
          </cell>
          <cell r="K15">
            <v>20</v>
          </cell>
          <cell r="L15">
            <v>5000</v>
          </cell>
        </row>
        <row r="16">
          <cell r="D16">
            <v>99</v>
          </cell>
          <cell r="G16">
            <v>554</v>
          </cell>
          <cell r="H16">
            <v>9</v>
          </cell>
          <cell r="J16">
            <v>1534</v>
          </cell>
          <cell r="K16">
            <v>29</v>
          </cell>
          <cell r="L16">
            <v>5000</v>
          </cell>
        </row>
        <row r="17">
          <cell r="D17">
            <v>88</v>
          </cell>
          <cell r="G17">
            <v>392</v>
          </cell>
          <cell r="H17">
            <v>3</v>
          </cell>
          <cell r="J17">
            <v>764</v>
          </cell>
          <cell r="K17">
            <v>18</v>
          </cell>
          <cell r="L17">
            <v>5000</v>
          </cell>
        </row>
        <row r="18">
          <cell r="D18">
            <v>71</v>
          </cell>
          <cell r="G18">
            <v>545</v>
          </cell>
          <cell r="H18">
            <v>3</v>
          </cell>
          <cell r="J18">
            <v>1480</v>
          </cell>
          <cell r="K18">
            <v>9</v>
          </cell>
          <cell r="L18">
            <v>5000</v>
          </cell>
        </row>
        <row r="19">
          <cell r="D19">
            <v>44</v>
          </cell>
          <cell r="G19">
            <v>687</v>
          </cell>
          <cell r="H19">
            <v>2</v>
          </cell>
          <cell r="J19">
            <v>2348</v>
          </cell>
          <cell r="K19">
            <v>9</v>
          </cell>
          <cell r="L19">
            <v>5000</v>
          </cell>
        </row>
        <row r="20">
          <cell r="D20">
            <v>30</v>
          </cell>
          <cell r="G20">
            <v>701</v>
          </cell>
          <cell r="H20">
            <v>4</v>
          </cell>
          <cell r="J20">
            <v>2464</v>
          </cell>
          <cell r="K20">
            <v>3</v>
          </cell>
          <cell r="L20">
            <v>5000</v>
          </cell>
        </row>
        <row r="21">
          <cell r="D21">
            <v>22</v>
          </cell>
          <cell r="G21">
            <v>772</v>
          </cell>
          <cell r="H21">
            <v>1</v>
          </cell>
          <cell r="J21">
            <v>2974</v>
          </cell>
          <cell r="K21">
            <v>3</v>
          </cell>
          <cell r="L21">
            <v>5000</v>
          </cell>
        </row>
        <row r="22">
          <cell r="D22">
            <v>18</v>
          </cell>
          <cell r="G22">
            <v>783</v>
          </cell>
          <cell r="H22">
            <v>5</v>
          </cell>
          <cell r="J22">
            <v>3054</v>
          </cell>
          <cell r="K22">
            <v>2</v>
          </cell>
          <cell r="L22">
            <v>5000</v>
          </cell>
        </row>
        <row r="23">
          <cell r="D23">
            <v>20</v>
          </cell>
          <cell r="G23">
            <v>797</v>
          </cell>
          <cell r="H23">
            <v>5</v>
          </cell>
          <cell r="J23">
            <v>3172</v>
          </cell>
          <cell r="K23">
            <v>4</v>
          </cell>
          <cell r="L23">
            <v>5000</v>
          </cell>
        </row>
        <row r="24">
          <cell r="D24">
            <v>22</v>
          </cell>
          <cell r="G24">
            <v>800</v>
          </cell>
          <cell r="H24">
            <v>5</v>
          </cell>
          <cell r="J24">
            <v>3198</v>
          </cell>
          <cell r="K24">
            <v>1</v>
          </cell>
          <cell r="L24">
            <v>5000</v>
          </cell>
        </row>
        <row r="25">
          <cell r="D25">
            <v>25</v>
          </cell>
          <cell r="G25">
            <v>795</v>
          </cell>
          <cell r="H25">
            <v>5</v>
          </cell>
          <cell r="J25">
            <v>3160</v>
          </cell>
          <cell r="K25">
            <v>5</v>
          </cell>
          <cell r="L25">
            <v>5000</v>
          </cell>
        </row>
        <row r="26">
          <cell r="D26">
            <v>23</v>
          </cell>
          <cell r="G26">
            <v>551</v>
          </cell>
          <cell r="H26">
            <v>2</v>
          </cell>
          <cell r="J26">
            <v>1516</v>
          </cell>
          <cell r="K26">
            <v>5</v>
          </cell>
          <cell r="L26">
            <v>5000</v>
          </cell>
        </row>
        <row r="27">
          <cell r="D27">
            <v>26</v>
          </cell>
          <cell r="G27">
            <v>550</v>
          </cell>
          <cell r="H27">
            <v>4</v>
          </cell>
          <cell r="J27">
            <v>1518</v>
          </cell>
          <cell r="K27">
            <v>5</v>
          </cell>
          <cell r="L27">
            <v>5000</v>
          </cell>
        </row>
        <row r="28">
          <cell r="D28">
            <v>22</v>
          </cell>
          <cell r="G28">
            <v>546</v>
          </cell>
          <cell r="H28">
            <v>1</v>
          </cell>
          <cell r="J28">
            <v>1474</v>
          </cell>
          <cell r="K28">
            <v>5</v>
          </cell>
          <cell r="L28">
            <v>5000</v>
          </cell>
        </row>
        <row r="29">
          <cell r="D29">
            <v>19</v>
          </cell>
          <cell r="G29">
            <v>548</v>
          </cell>
          <cell r="H29">
            <v>2</v>
          </cell>
          <cell r="J29">
            <v>1490</v>
          </cell>
          <cell r="K29">
            <v>2</v>
          </cell>
          <cell r="L29">
            <v>5000</v>
          </cell>
        </row>
        <row r="30">
          <cell r="D30">
            <v>15</v>
          </cell>
          <cell r="G30">
            <v>792</v>
          </cell>
          <cell r="H30">
            <v>1</v>
          </cell>
          <cell r="J30">
            <v>3148</v>
          </cell>
          <cell r="K30">
            <v>4</v>
          </cell>
          <cell r="L30">
            <v>5000</v>
          </cell>
        </row>
        <row r="31">
          <cell r="D31">
            <v>11</v>
          </cell>
          <cell r="G31">
            <v>805</v>
          </cell>
          <cell r="H31">
            <v>1</v>
          </cell>
          <cell r="J31">
            <v>3242</v>
          </cell>
          <cell r="K31">
            <v>1</v>
          </cell>
          <cell r="L31">
            <v>5000</v>
          </cell>
        </row>
        <row r="32">
          <cell r="D32">
            <v>11</v>
          </cell>
          <cell r="G32">
            <v>797</v>
          </cell>
          <cell r="H32">
            <v>2</v>
          </cell>
          <cell r="J32">
            <v>3172</v>
          </cell>
          <cell r="K32">
            <v>2</v>
          </cell>
          <cell r="L32">
            <v>5000</v>
          </cell>
        </row>
        <row r="33">
          <cell r="D33">
            <v>8</v>
          </cell>
          <cell r="G33">
            <v>794</v>
          </cell>
          <cell r="H33">
            <v>1</v>
          </cell>
          <cell r="J33">
            <v>3146</v>
          </cell>
          <cell r="K33">
            <v>1</v>
          </cell>
          <cell r="L33">
            <v>5000</v>
          </cell>
        </row>
        <row r="34">
          <cell r="D34">
            <v>11</v>
          </cell>
          <cell r="G34">
            <v>794</v>
          </cell>
          <cell r="H34">
            <v>4</v>
          </cell>
          <cell r="J34">
            <v>3152</v>
          </cell>
          <cell r="K34">
            <v>1</v>
          </cell>
          <cell r="L34">
            <v>5000</v>
          </cell>
        </row>
        <row r="35">
          <cell r="D35">
            <v>11</v>
          </cell>
          <cell r="G35">
            <v>794</v>
          </cell>
          <cell r="H35">
            <v>2</v>
          </cell>
          <cell r="J35">
            <v>3150</v>
          </cell>
          <cell r="K35">
            <v>2</v>
          </cell>
          <cell r="L35">
            <v>5000</v>
          </cell>
        </row>
        <row r="36">
          <cell r="D36">
            <v>12</v>
          </cell>
          <cell r="G36">
            <v>795</v>
          </cell>
          <cell r="H36">
            <v>2</v>
          </cell>
          <cell r="J36">
            <v>3162</v>
          </cell>
          <cell r="K36">
            <v>1</v>
          </cell>
          <cell r="L36">
            <v>5000</v>
          </cell>
        </row>
        <row r="37">
          <cell r="D37">
            <v>12</v>
          </cell>
          <cell r="G37">
            <v>798</v>
          </cell>
          <cell r="H37">
            <v>1</v>
          </cell>
          <cell r="J37">
            <v>3184</v>
          </cell>
          <cell r="K37">
            <v>4</v>
          </cell>
          <cell r="L37">
            <v>5000</v>
          </cell>
        </row>
        <row r="38">
          <cell r="D38">
            <v>12</v>
          </cell>
          <cell r="G38">
            <v>814</v>
          </cell>
          <cell r="H38">
            <v>2</v>
          </cell>
          <cell r="J38">
            <v>3316</v>
          </cell>
          <cell r="K38">
            <v>2</v>
          </cell>
          <cell r="L38">
            <v>5000</v>
          </cell>
        </row>
        <row r="39">
          <cell r="D39">
            <v>13</v>
          </cell>
          <cell r="G39">
            <v>780</v>
          </cell>
          <cell r="H39">
            <v>2</v>
          </cell>
          <cell r="J39">
            <v>3034</v>
          </cell>
          <cell r="K39">
            <v>2</v>
          </cell>
          <cell r="L39">
            <v>5000</v>
          </cell>
        </row>
        <row r="40">
          <cell r="D40">
            <v>12</v>
          </cell>
          <cell r="G40">
            <v>793</v>
          </cell>
          <cell r="H40">
            <v>3</v>
          </cell>
          <cell r="J40">
            <v>3140</v>
          </cell>
          <cell r="K40">
            <v>1</v>
          </cell>
          <cell r="L40">
            <v>5000</v>
          </cell>
        </row>
        <row r="41">
          <cell r="D41">
            <v>14</v>
          </cell>
          <cell r="G41">
            <v>805</v>
          </cell>
          <cell r="H41">
            <v>4</v>
          </cell>
          <cell r="J41">
            <v>3242</v>
          </cell>
          <cell r="K41">
            <v>2</v>
          </cell>
          <cell r="L41">
            <v>5000</v>
          </cell>
        </row>
        <row r="42">
          <cell r="D42">
            <v>14</v>
          </cell>
          <cell r="G42">
            <v>791</v>
          </cell>
          <cell r="H42">
            <v>2</v>
          </cell>
          <cell r="J42">
            <v>3122</v>
          </cell>
          <cell r="K42">
            <v>2</v>
          </cell>
          <cell r="L42">
            <v>5000</v>
          </cell>
        </row>
        <row r="43">
          <cell r="D43">
            <v>16</v>
          </cell>
          <cell r="G43">
            <v>793</v>
          </cell>
          <cell r="H43">
            <v>3</v>
          </cell>
          <cell r="J43">
            <v>3148</v>
          </cell>
          <cell r="K43">
            <v>3</v>
          </cell>
          <cell r="L43">
            <v>5000</v>
          </cell>
        </row>
        <row r="44">
          <cell r="D44">
            <v>16</v>
          </cell>
          <cell r="G44">
            <v>783</v>
          </cell>
          <cell r="H44">
            <v>2</v>
          </cell>
          <cell r="J44">
            <v>3070</v>
          </cell>
          <cell r="K44">
            <v>4</v>
          </cell>
          <cell r="L44">
            <v>5000</v>
          </cell>
        </row>
        <row r="45">
          <cell r="D45">
            <v>18</v>
          </cell>
          <cell r="G45">
            <v>796</v>
          </cell>
          <cell r="H45">
            <v>4</v>
          </cell>
          <cell r="J45">
            <v>3168</v>
          </cell>
          <cell r="K45">
            <v>2</v>
          </cell>
          <cell r="L45">
            <v>5000</v>
          </cell>
        </row>
        <row r="46">
          <cell r="D46">
            <v>17</v>
          </cell>
          <cell r="G46">
            <v>793</v>
          </cell>
          <cell r="H46">
            <v>2</v>
          </cell>
          <cell r="J46">
            <v>3144</v>
          </cell>
          <cell r="K46">
            <v>3</v>
          </cell>
          <cell r="L46">
            <v>5000</v>
          </cell>
        </row>
        <row r="47">
          <cell r="D47">
            <v>15</v>
          </cell>
          <cell r="G47">
            <v>782</v>
          </cell>
          <cell r="H47">
            <v>2</v>
          </cell>
          <cell r="J47">
            <v>3048</v>
          </cell>
          <cell r="K47">
            <v>2</v>
          </cell>
          <cell r="L47">
            <v>5000</v>
          </cell>
        </row>
        <row r="48">
          <cell r="D48">
            <v>14</v>
          </cell>
          <cell r="G48">
            <v>790</v>
          </cell>
          <cell r="H48">
            <v>1</v>
          </cell>
          <cell r="J48">
            <v>3120</v>
          </cell>
          <cell r="K48">
            <v>4</v>
          </cell>
          <cell r="L48">
            <v>5000</v>
          </cell>
        </row>
        <row r="49">
          <cell r="D49">
            <v>12</v>
          </cell>
          <cell r="G49">
            <v>810</v>
          </cell>
          <cell r="H49">
            <v>1</v>
          </cell>
          <cell r="J49">
            <v>3280</v>
          </cell>
          <cell r="K49">
            <v>2</v>
          </cell>
          <cell r="L49">
            <v>5000</v>
          </cell>
        </row>
        <row r="50">
          <cell r="D50">
            <v>12</v>
          </cell>
          <cell r="G50">
            <v>788</v>
          </cell>
          <cell r="H50">
            <v>2</v>
          </cell>
          <cell r="J50">
            <v>3106</v>
          </cell>
          <cell r="K50">
            <v>2</v>
          </cell>
          <cell r="L50">
            <v>5000</v>
          </cell>
        </row>
        <row r="51">
          <cell r="D51">
            <v>13</v>
          </cell>
          <cell r="G51">
            <v>794</v>
          </cell>
          <cell r="H51">
            <v>5</v>
          </cell>
          <cell r="J51">
            <v>3152</v>
          </cell>
          <cell r="K51">
            <v>1</v>
          </cell>
          <cell r="L51">
            <v>5000</v>
          </cell>
        </row>
        <row r="52">
          <cell r="D52">
            <v>13</v>
          </cell>
          <cell r="G52">
            <v>792</v>
          </cell>
          <cell r="H52">
            <v>2</v>
          </cell>
          <cell r="J52">
            <v>3136</v>
          </cell>
          <cell r="K52">
            <v>1</v>
          </cell>
          <cell r="L52">
            <v>5000</v>
          </cell>
        </row>
        <row r="53">
          <cell r="D53">
            <v>16</v>
          </cell>
          <cell r="G53">
            <v>802</v>
          </cell>
          <cell r="H53">
            <v>5</v>
          </cell>
          <cell r="J53">
            <v>3214</v>
          </cell>
          <cell r="K53">
            <v>2</v>
          </cell>
          <cell r="L53">
            <v>5000</v>
          </cell>
        </row>
        <row r="54">
          <cell r="D54">
            <v>20</v>
          </cell>
          <cell r="G54">
            <v>791</v>
          </cell>
          <cell r="H54">
            <v>5</v>
          </cell>
          <cell r="J54">
            <v>3120</v>
          </cell>
          <cell r="K54">
            <v>5</v>
          </cell>
          <cell r="L54">
            <v>5000</v>
          </cell>
        </row>
        <row r="55">
          <cell r="D55">
            <v>23</v>
          </cell>
          <cell r="G55">
            <v>545</v>
          </cell>
          <cell r="H55">
            <v>4</v>
          </cell>
          <cell r="J55">
            <v>1494</v>
          </cell>
          <cell r="K55">
            <v>2</v>
          </cell>
          <cell r="L55">
            <v>5000</v>
          </cell>
        </row>
        <row r="56">
          <cell r="D56">
            <v>25</v>
          </cell>
          <cell r="G56">
            <v>785</v>
          </cell>
          <cell r="H56">
            <v>4</v>
          </cell>
          <cell r="J56">
            <v>3078</v>
          </cell>
          <cell r="K56">
            <v>5</v>
          </cell>
          <cell r="L56">
            <v>5000</v>
          </cell>
        </row>
        <row r="57">
          <cell r="D57">
            <v>22</v>
          </cell>
          <cell r="G57">
            <v>552</v>
          </cell>
          <cell r="H57">
            <v>2</v>
          </cell>
          <cell r="J57">
            <v>1514</v>
          </cell>
          <cell r="K57">
            <v>5</v>
          </cell>
          <cell r="L57">
            <v>5000</v>
          </cell>
        </row>
        <row r="58">
          <cell r="D58">
            <v>24</v>
          </cell>
          <cell r="G58">
            <v>541</v>
          </cell>
          <cell r="H58">
            <v>4</v>
          </cell>
          <cell r="J58">
            <v>1464</v>
          </cell>
          <cell r="K58">
            <v>4</v>
          </cell>
          <cell r="L58">
            <v>5000</v>
          </cell>
        </row>
        <row r="59">
          <cell r="D59">
            <v>22</v>
          </cell>
          <cell r="G59">
            <v>802</v>
          </cell>
          <cell r="H59">
            <v>3</v>
          </cell>
          <cell r="J59">
            <v>3218</v>
          </cell>
          <cell r="K59">
            <v>4</v>
          </cell>
          <cell r="L59">
            <v>5000</v>
          </cell>
        </row>
        <row r="60">
          <cell r="D60">
            <v>18</v>
          </cell>
          <cell r="G60">
            <v>798</v>
          </cell>
          <cell r="H60">
            <v>1</v>
          </cell>
          <cell r="J60">
            <v>3182</v>
          </cell>
          <cell r="K60">
            <v>2</v>
          </cell>
          <cell r="L60">
            <v>5000</v>
          </cell>
        </row>
        <row r="61">
          <cell r="D61">
            <v>16</v>
          </cell>
          <cell r="G61">
            <v>789</v>
          </cell>
          <cell r="H61">
            <v>2</v>
          </cell>
          <cell r="J61">
            <v>3108</v>
          </cell>
          <cell r="K61">
            <v>4</v>
          </cell>
          <cell r="L61">
            <v>5000</v>
          </cell>
        </row>
        <row r="62">
          <cell r="D62">
            <v>14</v>
          </cell>
          <cell r="G62">
            <v>800</v>
          </cell>
          <cell r="H62">
            <v>2</v>
          </cell>
          <cell r="J62">
            <v>3200</v>
          </cell>
          <cell r="K62">
            <v>3</v>
          </cell>
          <cell r="L62">
            <v>5000</v>
          </cell>
        </row>
        <row r="63">
          <cell r="D63">
            <v>16</v>
          </cell>
          <cell r="G63">
            <v>786</v>
          </cell>
          <cell r="H63">
            <v>4</v>
          </cell>
          <cell r="J63">
            <v>3090</v>
          </cell>
          <cell r="K63">
            <v>1</v>
          </cell>
          <cell r="L63">
            <v>5000</v>
          </cell>
        </row>
        <row r="64">
          <cell r="D64">
            <v>16</v>
          </cell>
          <cell r="G64">
            <v>796</v>
          </cell>
          <cell r="H64">
            <v>4</v>
          </cell>
          <cell r="J64">
            <v>3170</v>
          </cell>
          <cell r="K64">
            <v>2</v>
          </cell>
          <cell r="L64">
            <v>5000</v>
          </cell>
        </row>
        <row r="65">
          <cell r="D65">
            <v>16</v>
          </cell>
          <cell r="G65">
            <v>793</v>
          </cell>
          <cell r="H65">
            <v>3</v>
          </cell>
          <cell r="J65">
            <v>3132</v>
          </cell>
          <cell r="K65">
            <v>2</v>
          </cell>
          <cell r="L65">
            <v>5000</v>
          </cell>
        </row>
        <row r="66">
          <cell r="D66">
            <v>17</v>
          </cell>
          <cell r="G66">
            <v>787</v>
          </cell>
          <cell r="H66">
            <v>2</v>
          </cell>
          <cell r="J66">
            <v>3084</v>
          </cell>
          <cell r="K66">
            <v>4</v>
          </cell>
          <cell r="L66">
            <v>5000</v>
          </cell>
        </row>
        <row r="67">
          <cell r="D67">
            <v>20</v>
          </cell>
          <cell r="G67">
            <v>802</v>
          </cell>
          <cell r="H67">
            <v>5</v>
          </cell>
          <cell r="J67">
            <v>3214</v>
          </cell>
          <cell r="K67">
            <v>4</v>
          </cell>
          <cell r="L67">
            <v>5000</v>
          </cell>
        </row>
        <row r="68">
          <cell r="D68">
            <v>22</v>
          </cell>
          <cell r="G68">
            <v>804</v>
          </cell>
          <cell r="H68">
            <v>4</v>
          </cell>
          <cell r="J68">
            <v>3232</v>
          </cell>
          <cell r="K68">
            <v>3</v>
          </cell>
          <cell r="L68">
            <v>5000</v>
          </cell>
        </row>
        <row r="69">
          <cell r="D69">
            <v>23</v>
          </cell>
          <cell r="G69">
            <v>775</v>
          </cell>
          <cell r="H69">
            <v>5</v>
          </cell>
          <cell r="J69">
            <v>3002</v>
          </cell>
          <cell r="K69">
            <v>2</v>
          </cell>
          <cell r="L69">
            <v>5000</v>
          </cell>
        </row>
        <row r="70">
          <cell r="D70">
            <v>24</v>
          </cell>
          <cell r="G70">
            <v>782</v>
          </cell>
          <cell r="H70">
            <v>5</v>
          </cell>
          <cell r="J70">
            <v>3060</v>
          </cell>
          <cell r="K70">
            <v>5</v>
          </cell>
          <cell r="L70">
            <v>5000</v>
          </cell>
        </row>
        <row r="71">
          <cell r="D71">
            <v>23</v>
          </cell>
          <cell r="G71">
            <v>542</v>
          </cell>
          <cell r="H71">
            <v>2</v>
          </cell>
          <cell r="J71">
            <v>1470</v>
          </cell>
          <cell r="K71">
            <v>4</v>
          </cell>
          <cell r="L71">
            <v>5000</v>
          </cell>
        </row>
        <row r="72">
          <cell r="D72">
            <v>21</v>
          </cell>
          <cell r="G72">
            <v>803</v>
          </cell>
          <cell r="H72">
            <v>0</v>
          </cell>
          <cell r="J72">
            <v>3222</v>
          </cell>
          <cell r="K72">
            <v>5</v>
          </cell>
          <cell r="L72">
            <v>5000</v>
          </cell>
        </row>
        <row r="73">
          <cell r="D73">
            <v>17</v>
          </cell>
          <cell r="G73">
            <v>549</v>
          </cell>
          <cell r="H73">
            <v>1</v>
          </cell>
          <cell r="J73">
            <v>1520</v>
          </cell>
          <cell r="K73">
            <v>5</v>
          </cell>
          <cell r="L73">
            <v>5000</v>
          </cell>
        </row>
        <row r="74">
          <cell r="D74">
            <v>14</v>
          </cell>
          <cell r="G74">
            <v>551</v>
          </cell>
          <cell r="H74">
            <v>1</v>
          </cell>
          <cell r="J74">
            <v>1514</v>
          </cell>
          <cell r="K74">
            <v>2</v>
          </cell>
          <cell r="L74">
            <v>5000</v>
          </cell>
        </row>
        <row r="75">
          <cell r="D75">
            <v>13</v>
          </cell>
          <cell r="G75">
            <v>789</v>
          </cell>
          <cell r="H75">
            <v>4</v>
          </cell>
          <cell r="J75">
            <v>3110</v>
          </cell>
          <cell r="K75">
            <v>0</v>
          </cell>
          <cell r="L75">
            <v>5000</v>
          </cell>
        </row>
        <row r="76">
          <cell r="D76">
            <v>10</v>
          </cell>
          <cell r="G76">
            <v>997</v>
          </cell>
          <cell r="H76">
            <v>2</v>
          </cell>
          <cell r="J76">
            <v>4968</v>
          </cell>
          <cell r="K76">
            <v>1</v>
          </cell>
          <cell r="L76">
            <v>5000</v>
          </cell>
        </row>
        <row r="77">
          <cell r="D77">
            <v>10</v>
          </cell>
          <cell r="G77">
            <v>810</v>
          </cell>
          <cell r="H77">
            <v>2</v>
          </cell>
          <cell r="J77">
            <v>3286</v>
          </cell>
          <cell r="K77">
            <v>1</v>
          </cell>
          <cell r="L77">
            <v>5000</v>
          </cell>
        </row>
        <row r="78">
          <cell r="D78">
            <v>11</v>
          </cell>
          <cell r="G78">
            <v>791</v>
          </cell>
          <cell r="H78">
            <v>1</v>
          </cell>
          <cell r="J78">
            <v>3116</v>
          </cell>
          <cell r="K78">
            <v>4</v>
          </cell>
          <cell r="L78">
            <v>5000</v>
          </cell>
        </row>
        <row r="79">
          <cell r="D79">
            <v>13</v>
          </cell>
          <cell r="G79">
            <v>803</v>
          </cell>
          <cell r="H79">
            <v>3</v>
          </cell>
          <cell r="J79">
            <v>3222</v>
          </cell>
          <cell r="K79">
            <v>2</v>
          </cell>
          <cell r="L79">
            <v>5000</v>
          </cell>
        </row>
        <row r="80">
          <cell r="D80">
            <v>15</v>
          </cell>
          <cell r="G80">
            <v>790</v>
          </cell>
          <cell r="H80">
            <v>3</v>
          </cell>
          <cell r="J80">
            <v>3122</v>
          </cell>
          <cell r="K80">
            <v>2</v>
          </cell>
          <cell r="L80">
            <v>5000</v>
          </cell>
        </row>
        <row r="81">
          <cell r="D81">
            <v>12</v>
          </cell>
          <cell r="G81">
            <v>796</v>
          </cell>
          <cell r="H81">
            <v>1</v>
          </cell>
          <cell r="J81">
            <v>3168</v>
          </cell>
          <cell r="K81">
            <v>1</v>
          </cell>
          <cell r="L81">
            <v>5000</v>
          </cell>
        </row>
        <row r="82">
          <cell r="D82">
            <v>12</v>
          </cell>
          <cell r="G82">
            <v>786</v>
          </cell>
          <cell r="H82">
            <v>2</v>
          </cell>
          <cell r="J82">
            <v>3086</v>
          </cell>
          <cell r="K82">
            <v>3</v>
          </cell>
          <cell r="L82">
            <v>5000</v>
          </cell>
        </row>
        <row r="83">
          <cell r="D83">
            <v>10</v>
          </cell>
          <cell r="G83">
            <v>789</v>
          </cell>
          <cell r="H83">
            <v>0</v>
          </cell>
          <cell r="J83">
            <v>3122</v>
          </cell>
          <cell r="K83">
            <v>3</v>
          </cell>
          <cell r="L83">
            <v>5000</v>
          </cell>
        </row>
        <row r="84">
          <cell r="D84">
            <v>9</v>
          </cell>
          <cell r="G84">
            <v>786</v>
          </cell>
          <cell r="H84">
            <v>0</v>
          </cell>
          <cell r="J84">
            <v>3092</v>
          </cell>
          <cell r="K84">
            <v>1</v>
          </cell>
          <cell r="L84">
            <v>5000</v>
          </cell>
        </row>
        <row r="85">
          <cell r="D85">
            <v>6</v>
          </cell>
          <cell r="G85">
            <v>787</v>
          </cell>
          <cell r="H85">
            <v>0</v>
          </cell>
          <cell r="J85">
            <v>3094</v>
          </cell>
          <cell r="K85">
            <v>2</v>
          </cell>
          <cell r="L85">
            <v>5000</v>
          </cell>
        </row>
        <row r="86">
          <cell r="D86">
            <v>4</v>
          </cell>
          <cell r="G86">
            <v>797</v>
          </cell>
          <cell r="H86">
            <v>1</v>
          </cell>
          <cell r="J86">
            <v>3172</v>
          </cell>
          <cell r="K86">
            <v>0</v>
          </cell>
          <cell r="L86">
            <v>5000</v>
          </cell>
        </row>
        <row r="87">
          <cell r="D87">
            <v>4</v>
          </cell>
          <cell r="G87">
            <v>996</v>
          </cell>
          <cell r="H87">
            <v>1</v>
          </cell>
          <cell r="J87">
            <v>4954</v>
          </cell>
          <cell r="K87">
            <v>0</v>
          </cell>
          <cell r="L87">
            <v>5000</v>
          </cell>
        </row>
        <row r="88">
          <cell r="D88">
            <v>5</v>
          </cell>
          <cell r="G88">
            <v>996</v>
          </cell>
          <cell r="H88">
            <v>3</v>
          </cell>
          <cell r="J88">
            <v>4960</v>
          </cell>
          <cell r="K88">
            <v>0</v>
          </cell>
          <cell r="L88">
            <v>5000</v>
          </cell>
        </row>
        <row r="89">
          <cell r="D89">
            <v>7</v>
          </cell>
          <cell r="G89">
            <v>996</v>
          </cell>
          <cell r="H89">
            <v>2</v>
          </cell>
          <cell r="J89">
            <v>4954</v>
          </cell>
          <cell r="K89">
            <v>1</v>
          </cell>
          <cell r="L89">
            <v>5000</v>
          </cell>
        </row>
        <row r="90">
          <cell r="D90">
            <v>10</v>
          </cell>
          <cell r="G90">
            <v>800</v>
          </cell>
          <cell r="H90">
            <v>3</v>
          </cell>
          <cell r="J90">
            <v>3200</v>
          </cell>
          <cell r="K90">
            <v>1</v>
          </cell>
          <cell r="L90">
            <v>5000</v>
          </cell>
        </row>
        <row r="91">
          <cell r="D91">
            <v>12</v>
          </cell>
          <cell r="G91">
            <v>803</v>
          </cell>
          <cell r="H91">
            <v>2</v>
          </cell>
          <cell r="J91">
            <v>3220</v>
          </cell>
          <cell r="K91">
            <v>3</v>
          </cell>
          <cell r="L91">
            <v>5000</v>
          </cell>
        </row>
        <row r="92">
          <cell r="D92">
            <v>11</v>
          </cell>
          <cell r="G92">
            <v>786</v>
          </cell>
          <cell r="H92">
            <v>0</v>
          </cell>
          <cell r="J92">
            <v>3098</v>
          </cell>
          <cell r="K92">
            <v>2</v>
          </cell>
          <cell r="L92">
            <v>5000</v>
          </cell>
        </row>
        <row r="93">
          <cell r="D93">
            <v>10</v>
          </cell>
          <cell r="G93">
            <v>799</v>
          </cell>
          <cell r="H93">
            <v>0</v>
          </cell>
          <cell r="J93">
            <v>3192</v>
          </cell>
          <cell r="K93">
            <v>3</v>
          </cell>
          <cell r="L93">
            <v>5000</v>
          </cell>
        </row>
        <row r="94">
          <cell r="D94">
            <v>7</v>
          </cell>
          <cell r="G94">
            <v>787</v>
          </cell>
          <cell r="H94">
            <v>0</v>
          </cell>
          <cell r="J94">
            <v>3108</v>
          </cell>
          <cell r="K94">
            <v>2</v>
          </cell>
          <cell r="L94">
            <v>5000</v>
          </cell>
        </row>
        <row r="95">
          <cell r="D95">
            <v>5</v>
          </cell>
          <cell r="G95">
            <v>796</v>
          </cell>
          <cell r="H95">
            <v>0</v>
          </cell>
          <cell r="J95">
            <v>3166</v>
          </cell>
          <cell r="K95">
            <v>0</v>
          </cell>
          <cell r="L95">
            <v>5000</v>
          </cell>
        </row>
        <row r="96">
          <cell r="D96">
            <v>3</v>
          </cell>
          <cell r="G96">
            <v>996</v>
          </cell>
          <cell r="H96">
            <v>1</v>
          </cell>
          <cell r="J96">
            <v>4960</v>
          </cell>
          <cell r="K96">
            <v>0</v>
          </cell>
          <cell r="L96">
            <v>5000</v>
          </cell>
        </row>
        <row r="97">
          <cell r="D97">
            <v>4</v>
          </cell>
          <cell r="G97">
            <v>998</v>
          </cell>
          <cell r="H97">
            <v>3</v>
          </cell>
          <cell r="J97">
            <v>4984</v>
          </cell>
          <cell r="K97">
            <v>0</v>
          </cell>
          <cell r="L97">
            <v>5000</v>
          </cell>
        </row>
        <row r="98">
          <cell r="D98">
            <v>6</v>
          </cell>
          <cell r="G98">
            <v>999</v>
          </cell>
          <cell r="H98">
            <v>2</v>
          </cell>
          <cell r="J98">
            <v>4988</v>
          </cell>
          <cell r="K98">
            <v>0</v>
          </cell>
          <cell r="L98">
            <v>5000</v>
          </cell>
        </row>
        <row r="99">
          <cell r="D99">
            <v>9</v>
          </cell>
          <cell r="G99">
            <v>999</v>
          </cell>
          <cell r="H99">
            <v>3</v>
          </cell>
          <cell r="J99">
            <v>4986</v>
          </cell>
          <cell r="K99">
            <v>1</v>
          </cell>
          <cell r="L99">
            <v>5000</v>
          </cell>
        </row>
        <row r="100">
          <cell r="D100">
            <v>9</v>
          </cell>
          <cell r="G100">
            <v>797</v>
          </cell>
          <cell r="H100">
            <v>0</v>
          </cell>
          <cell r="J100">
            <v>3176</v>
          </cell>
          <cell r="K100">
            <v>3</v>
          </cell>
          <cell r="L100">
            <v>5000</v>
          </cell>
        </row>
        <row r="101">
          <cell r="D101">
            <v>9</v>
          </cell>
          <cell r="G101">
            <v>788</v>
          </cell>
          <cell r="H101">
            <v>0</v>
          </cell>
          <cell r="J101">
            <v>3104</v>
          </cell>
          <cell r="K101">
            <v>2</v>
          </cell>
          <cell r="L101">
            <v>5000</v>
          </cell>
        </row>
        <row r="102">
          <cell r="D102">
            <v>8</v>
          </cell>
          <cell r="G102">
            <v>797</v>
          </cell>
          <cell r="H102">
            <v>0</v>
          </cell>
          <cell r="J102">
            <v>3178</v>
          </cell>
          <cell r="K102">
            <v>3</v>
          </cell>
          <cell r="L102">
            <v>5000</v>
          </cell>
        </row>
        <row r="103">
          <cell r="D103">
            <v>5</v>
          </cell>
          <cell r="G103">
            <v>786</v>
          </cell>
          <cell r="H103">
            <v>0</v>
          </cell>
          <cell r="J103">
            <v>3080</v>
          </cell>
          <cell r="K103">
            <v>0</v>
          </cell>
          <cell r="L103">
            <v>5000</v>
          </cell>
        </row>
        <row r="104">
          <cell r="D104">
            <v>5</v>
          </cell>
          <cell r="G104">
            <v>996</v>
          </cell>
          <cell r="H104">
            <v>2</v>
          </cell>
          <cell r="J104">
            <v>4964</v>
          </cell>
          <cell r="K104">
            <v>0</v>
          </cell>
          <cell r="L104">
            <v>5000</v>
          </cell>
        </row>
        <row r="105">
          <cell r="D105">
            <v>3</v>
          </cell>
          <cell r="G105">
            <v>995</v>
          </cell>
          <cell r="H105">
            <v>1</v>
          </cell>
          <cell r="J105">
            <v>4952</v>
          </cell>
          <cell r="K105">
            <v>0</v>
          </cell>
          <cell r="L105">
            <v>5000</v>
          </cell>
        </row>
        <row r="106">
          <cell r="D106">
            <v>4</v>
          </cell>
          <cell r="G106">
            <v>998</v>
          </cell>
          <cell r="H106">
            <v>1</v>
          </cell>
          <cell r="J106">
            <v>4974</v>
          </cell>
          <cell r="K106">
            <v>0</v>
          </cell>
          <cell r="L106">
            <v>5000</v>
          </cell>
        </row>
        <row r="107">
          <cell r="D107">
            <v>5</v>
          </cell>
          <cell r="G107">
            <v>996</v>
          </cell>
          <cell r="H107">
            <v>1</v>
          </cell>
          <cell r="J107">
            <v>4958</v>
          </cell>
          <cell r="K107">
            <v>2</v>
          </cell>
          <cell r="L107">
            <v>5000</v>
          </cell>
        </row>
        <row r="108">
          <cell r="D108">
            <v>6</v>
          </cell>
          <cell r="G108">
            <v>796</v>
          </cell>
          <cell r="H108">
            <v>1</v>
          </cell>
          <cell r="J108">
            <v>3170</v>
          </cell>
          <cell r="K108">
            <v>1</v>
          </cell>
          <cell r="L108">
            <v>5000</v>
          </cell>
        </row>
        <row r="109">
          <cell r="D109">
            <v>7</v>
          </cell>
          <cell r="G109">
            <v>800</v>
          </cell>
          <cell r="H109">
            <v>1</v>
          </cell>
          <cell r="J109">
            <v>3200</v>
          </cell>
          <cell r="K109">
            <v>1</v>
          </cell>
          <cell r="L109">
            <v>5000</v>
          </cell>
        </row>
        <row r="110">
          <cell r="D110">
            <v>6</v>
          </cell>
          <cell r="G110">
            <v>800</v>
          </cell>
          <cell r="H110">
            <v>1</v>
          </cell>
          <cell r="J110">
            <v>3198</v>
          </cell>
          <cell r="K110">
            <v>1</v>
          </cell>
          <cell r="L110">
            <v>5000</v>
          </cell>
        </row>
        <row r="111">
          <cell r="D111">
            <v>9</v>
          </cell>
          <cell r="G111">
            <v>802</v>
          </cell>
          <cell r="H111">
            <v>4</v>
          </cell>
          <cell r="J111">
            <v>3214</v>
          </cell>
          <cell r="K111">
            <v>1</v>
          </cell>
          <cell r="L111">
            <v>5000</v>
          </cell>
        </row>
        <row r="112">
          <cell r="D112">
            <v>11</v>
          </cell>
          <cell r="G112">
            <v>803</v>
          </cell>
          <cell r="H112">
            <v>3</v>
          </cell>
          <cell r="J112">
            <v>3222</v>
          </cell>
          <cell r="K112">
            <v>1</v>
          </cell>
          <cell r="L112">
            <v>5000</v>
          </cell>
        </row>
        <row r="113">
          <cell r="D113">
            <v>12</v>
          </cell>
          <cell r="G113">
            <v>806</v>
          </cell>
          <cell r="H113">
            <v>2</v>
          </cell>
          <cell r="J113">
            <v>3242</v>
          </cell>
          <cell r="K113">
            <v>1</v>
          </cell>
          <cell r="L113">
            <v>5000</v>
          </cell>
        </row>
        <row r="114">
          <cell r="D114">
            <v>15</v>
          </cell>
          <cell r="G114">
            <v>803</v>
          </cell>
          <cell r="H114">
            <v>4</v>
          </cell>
          <cell r="J114">
            <v>3222</v>
          </cell>
          <cell r="K114">
            <v>4</v>
          </cell>
          <cell r="L114">
            <v>5000</v>
          </cell>
        </row>
        <row r="115">
          <cell r="D115">
            <v>19</v>
          </cell>
          <cell r="G115">
            <v>803</v>
          </cell>
          <cell r="H115">
            <v>5</v>
          </cell>
          <cell r="J115">
            <v>3224</v>
          </cell>
          <cell r="K115">
            <v>3</v>
          </cell>
          <cell r="L115">
            <v>5000</v>
          </cell>
        </row>
        <row r="116">
          <cell r="D116">
            <v>20</v>
          </cell>
          <cell r="G116">
            <v>778</v>
          </cell>
          <cell r="H116">
            <v>2</v>
          </cell>
          <cell r="J116">
            <v>3036</v>
          </cell>
          <cell r="K116">
            <v>2</v>
          </cell>
          <cell r="L116">
            <v>5000</v>
          </cell>
        </row>
        <row r="117">
          <cell r="D117">
            <v>20</v>
          </cell>
          <cell r="G117">
            <v>784</v>
          </cell>
          <cell r="H117">
            <v>4</v>
          </cell>
          <cell r="J117">
            <v>3066</v>
          </cell>
          <cell r="K117">
            <v>4</v>
          </cell>
          <cell r="L117">
            <v>5000</v>
          </cell>
        </row>
        <row r="118">
          <cell r="D118">
            <v>19</v>
          </cell>
          <cell r="G118">
            <v>797</v>
          </cell>
          <cell r="H118">
            <v>2</v>
          </cell>
          <cell r="J118">
            <v>3170</v>
          </cell>
          <cell r="K118">
            <v>5</v>
          </cell>
          <cell r="L118">
            <v>5000</v>
          </cell>
        </row>
        <row r="119">
          <cell r="D119">
            <v>18</v>
          </cell>
          <cell r="G119">
            <v>548</v>
          </cell>
          <cell r="H119">
            <v>1</v>
          </cell>
          <cell r="J119">
            <v>1514</v>
          </cell>
          <cell r="K119">
            <v>2</v>
          </cell>
          <cell r="L119">
            <v>5000</v>
          </cell>
        </row>
        <row r="120">
          <cell r="D120">
            <v>14</v>
          </cell>
          <cell r="G120">
            <v>793</v>
          </cell>
          <cell r="H120">
            <v>0</v>
          </cell>
          <cell r="J120">
            <v>3150</v>
          </cell>
          <cell r="K120">
            <v>4</v>
          </cell>
          <cell r="L120">
            <v>5000</v>
          </cell>
        </row>
        <row r="121">
          <cell r="D121">
            <v>9</v>
          </cell>
          <cell r="G121">
            <v>804</v>
          </cell>
          <cell r="H121">
            <v>0</v>
          </cell>
          <cell r="J121">
            <v>3226</v>
          </cell>
          <cell r="K121">
            <v>2</v>
          </cell>
          <cell r="L121">
            <v>5000</v>
          </cell>
        </row>
        <row r="122">
          <cell r="D122">
            <v>7</v>
          </cell>
          <cell r="G122">
            <v>796</v>
          </cell>
          <cell r="H122">
            <v>0</v>
          </cell>
          <cell r="J122">
            <v>3162</v>
          </cell>
          <cell r="K122">
            <v>1</v>
          </cell>
          <cell r="L122">
            <v>5000</v>
          </cell>
        </row>
        <row r="123">
          <cell r="D123">
            <v>3</v>
          </cell>
          <cell r="G123">
            <v>794</v>
          </cell>
          <cell r="H123">
            <v>0</v>
          </cell>
          <cell r="J123">
            <v>3148</v>
          </cell>
          <cell r="K123">
            <v>0</v>
          </cell>
          <cell r="L123">
            <v>5000</v>
          </cell>
        </row>
        <row r="124">
          <cell r="D124">
            <v>1</v>
          </cell>
          <cell r="G124">
            <v>995</v>
          </cell>
          <cell r="H124">
            <v>0</v>
          </cell>
          <cell r="J124">
            <v>4940</v>
          </cell>
          <cell r="K124">
            <v>0</v>
          </cell>
          <cell r="L124">
            <v>5000</v>
          </cell>
        </row>
        <row r="125">
          <cell r="D125">
            <v>0</v>
          </cell>
          <cell r="G125">
            <v>998</v>
          </cell>
          <cell r="H125">
            <v>0</v>
          </cell>
          <cell r="J125">
            <v>4982</v>
          </cell>
          <cell r="K125">
            <v>0</v>
          </cell>
          <cell r="L125">
            <v>5000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savannah-data"/>
    </sheetNames>
    <sheetDataSet>
      <sheetData sheetId="0" refreshError="1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3</v>
          </cell>
          <cell r="G3">
            <v>995</v>
          </cell>
          <cell r="H3">
            <v>1</v>
          </cell>
          <cell r="J3">
            <v>4948</v>
          </cell>
          <cell r="K3">
            <v>0</v>
          </cell>
          <cell r="L3">
            <v>5000</v>
          </cell>
        </row>
        <row r="4">
          <cell r="D4">
            <v>5</v>
          </cell>
          <cell r="G4">
            <v>997</v>
          </cell>
          <cell r="H4">
            <v>2</v>
          </cell>
          <cell r="J4">
            <v>4964</v>
          </cell>
          <cell r="K4">
            <v>0</v>
          </cell>
          <cell r="L4">
            <v>5000</v>
          </cell>
        </row>
        <row r="5">
          <cell r="D5">
            <v>10</v>
          </cell>
          <cell r="G5">
            <v>997</v>
          </cell>
          <cell r="H5">
            <v>5</v>
          </cell>
          <cell r="J5">
            <v>4958</v>
          </cell>
          <cell r="K5">
            <v>2</v>
          </cell>
          <cell r="L5">
            <v>5000</v>
          </cell>
        </row>
        <row r="6">
          <cell r="D6">
            <v>14</v>
          </cell>
          <cell r="G6">
            <v>775</v>
          </cell>
          <cell r="H6">
            <v>4</v>
          </cell>
          <cell r="J6">
            <v>3016</v>
          </cell>
          <cell r="K6">
            <v>1</v>
          </cell>
          <cell r="L6">
            <v>5000</v>
          </cell>
        </row>
        <row r="7">
          <cell r="D7">
            <v>16</v>
          </cell>
          <cell r="G7">
            <v>803</v>
          </cell>
          <cell r="H7">
            <v>2</v>
          </cell>
          <cell r="J7">
            <v>3222</v>
          </cell>
          <cell r="K7">
            <v>2</v>
          </cell>
          <cell r="L7">
            <v>5000</v>
          </cell>
        </row>
        <row r="8">
          <cell r="D8">
            <v>19</v>
          </cell>
          <cell r="G8">
            <v>772</v>
          </cell>
          <cell r="H8">
            <v>5</v>
          </cell>
          <cell r="J8">
            <v>2964</v>
          </cell>
          <cell r="K8">
            <v>5</v>
          </cell>
          <cell r="L8">
            <v>5000</v>
          </cell>
        </row>
        <row r="9">
          <cell r="D9">
            <v>20</v>
          </cell>
          <cell r="G9">
            <v>550</v>
          </cell>
          <cell r="H9">
            <v>2</v>
          </cell>
          <cell r="J9">
            <v>1502</v>
          </cell>
          <cell r="K9">
            <v>4</v>
          </cell>
          <cell r="L9">
            <v>5000</v>
          </cell>
        </row>
        <row r="10">
          <cell r="D10">
            <v>25</v>
          </cell>
          <cell r="G10">
            <v>767</v>
          </cell>
          <cell r="H10">
            <v>7</v>
          </cell>
          <cell r="J10">
            <v>2952</v>
          </cell>
          <cell r="K10">
            <v>2</v>
          </cell>
          <cell r="L10">
            <v>5000</v>
          </cell>
        </row>
        <row r="11">
          <cell r="D11">
            <v>26</v>
          </cell>
          <cell r="G11">
            <v>766</v>
          </cell>
          <cell r="H11">
            <v>6</v>
          </cell>
          <cell r="J11">
            <v>2936</v>
          </cell>
          <cell r="K11">
            <v>5</v>
          </cell>
          <cell r="L11">
            <v>5000</v>
          </cell>
        </row>
        <row r="12">
          <cell r="D12">
            <v>29</v>
          </cell>
          <cell r="G12">
            <v>551</v>
          </cell>
          <cell r="H12">
            <v>7</v>
          </cell>
          <cell r="J12">
            <v>1514</v>
          </cell>
          <cell r="K12">
            <v>2</v>
          </cell>
          <cell r="L12">
            <v>5000</v>
          </cell>
        </row>
        <row r="13">
          <cell r="D13">
            <v>31</v>
          </cell>
          <cell r="G13">
            <v>759</v>
          </cell>
          <cell r="H13">
            <v>4</v>
          </cell>
          <cell r="J13">
            <v>2872</v>
          </cell>
          <cell r="K13">
            <v>7</v>
          </cell>
          <cell r="L13">
            <v>5000</v>
          </cell>
        </row>
        <row r="14">
          <cell r="D14">
            <v>33</v>
          </cell>
          <cell r="G14">
            <v>763</v>
          </cell>
          <cell r="H14">
            <v>7</v>
          </cell>
          <cell r="J14">
            <v>2904</v>
          </cell>
          <cell r="K14">
            <v>6</v>
          </cell>
          <cell r="L14">
            <v>5000</v>
          </cell>
        </row>
        <row r="15">
          <cell r="D15">
            <v>34</v>
          </cell>
          <cell r="G15">
            <v>712</v>
          </cell>
          <cell r="H15">
            <v>3</v>
          </cell>
          <cell r="J15">
            <v>2540</v>
          </cell>
          <cell r="K15">
            <v>7</v>
          </cell>
          <cell r="L15">
            <v>5000</v>
          </cell>
        </row>
        <row r="16">
          <cell r="D16">
            <v>33</v>
          </cell>
          <cell r="G16">
            <v>757</v>
          </cell>
          <cell r="H16">
            <v>6</v>
          </cell>
          <cell r="J16">
            <v>2862</v>
          </cell>
          <cell r="K16">
            <v>4</v>
          </cell>
          <cell r="L16">
            <v>5000</v>
          </cell>
        </row>
        <row r="17">
          <cell r="D17">
            <v>32</v>
          </cell>
          <cell r="G17">
            <v>755</v>
          </cell>
          <cell r="H17">
            <v>5</v>
          </cell>
          <cell r="J17">
            <v>2840</v>
          </cell>
          <cell r="K17">
            <v>7</v>
          </cell>
          <cell r="L17">
            <v>5000</v>
          </cell>
        </row>
        <row r="18">
          <cell r="D18">
            <v>28</v>
          </cell>
          <cell r="G18">
            <v>751</v>
          </cell>
          <cell r="H18">
            <v>3</v>
          </cell>
          <cell r="J18">
            <v>2820</v>
          </cell>
          <cell r="K18">
            <v>3</v>
          </cell>
          <cell r="L18">
            <v>5000</v>
          </cell>
        </row>
        <row r="19">
          <cell r="D19">
            <v>28</v>
          </cell>
          <cell r="G19">
            <v>735</v>
          </cell>
          <cell r="H19">
            <v>4</v>
          </cell>
          <cell r="J19">
            <v>2702</v>
          </cell>
          <cell r="K19">
            <v>6</v>
          </cell>
          <cell r="L19">
            <v>5000</v>
          </cell>
        </row>
        <row r="20">
          <cell r="D20">
            <v>27</v>
          </cell>
          <cell r="G20">
            <v>723</v>
          </cell>
          <cell r="H20">
            <v>6</v>
          </cell>
          <cell r="J20">
            <v>2626</v>
          </cell>
          <cell r="K20">
            <v>5</v>
          </cell>
          <cell r="L20">
            <v>5000</v>
          </cell>
        </row>
        <row r="21">
          <cell r="D21">
            <v>29</v>
          </cell>
          <cell r="G21">
            <v>554</v>
          </cell>
          <cell r="H21">
            <v>5</v>
          </cell>
          <cell r="J21">
            <v>1528</v>
          </cell>
          <cell r="K21">
            <v>3</v>
          </cell>
          <cell r="L21">
            <v>5000</v>
          </cell>
        </row>
        <row r="22">
          <cell r="D22">
            <v>31</v>
          </cell>
          <cell r="G22">
            <v>741</v>
          </cell>
          <cell r="H22">
            <v>8</v>
          </cell>
          <cell r="J22">
            <v>2746</v>
          </cell>
          <cell r="K22">
            <v>4</v>
          </cell>
          <cell r="L22">
            <v>5000</v>
          </cell>
        </row>
        <row r="23">
          <cell r="D23">
            <v>36</v>
          </cell>
          <cell r="G23">
            <v>773</v>
          </cell>
          <cell r="H23">
            <v>10</v>
          </cell>
          <cell r="J23">
            <v>2984</v>
          </cell>
          <cell r="K23">
            <v>6</v>
          </cell>
          <cell r="L23">
            <v>5000</v>
          </cell>
        </row>
        <row r="24">
          <cell r="D24">
            <v>43</v>
          </cell>
          <cell r="G24">
            <v>720</v>
          </cell>
          <cell r="H24">
            <v>10</v>
          </cell>
          <cell r="J24">
            <v>2618</v>
          </cell>
          <cell r="K24">
            <v>5</v>
          </cell>
          <cell r="L24">
            <v>5000</v>
          </cell>
        </row>
        <row r="25">
          <cell r="D25">
            <v>46</v>
          </cell>
          <cell r="G25">
            <v>540</v>
          </cell>
          <cell r="H25">
            <v>7</v>
          </cell>
          <cell r="J25">
            <v>1456</v>
          </cell>
          <cell r="K25">
            <v>8</v>
          </cell>
          <cell r="L25">
            <v>5000</v>
          </cell>
        </row>
        <row r="26">
          <cell r="D26">
            <v>47</v>
          </cell>
          <cell r="G26">
            <v>681</v>
          </cell>
          <cell r="H26">
            <v>7</v>
          </cell>
          <cell r="J26">
            <v>2320</v>
          </cell>
          <cell r="K26">
            <v>10</v>
          </cell>
          <cell r="L26">
            <v>5000</v>
          </cell>
        </row>
        <row r="27">
          <cell r="D27">
            <v>54</v>
          </cell>
          <cell r="G27">
            <v>836</v>
          </cell>
          <cell r="H27">
            <v>12</v>
          </cell>
          <cell r="J27">
            <v>3486</v>
          </cell>
          <cell r="K27">
            <v>10</v>
          </cell>
          <cell r="L27">
            <v>5000</v>
          </cell>
        </row>
        <row r="28">
          <cell r="D28">
            <v>64</v>
          </cell>
          <cell r="G28">
            <v>831</v>
          </cell>
          <cell r="H28">
            <v>18</v>
          </cell>
          <cell r="J28">
            <v>3480</v>
          </cell>
          <cell r="K28">
            <v>7</v>
          </cell>
          <cell r="L28">
            <v>5000</v>
          </cell>
        </row>
        <row r="29">
          <cell r="D29">
            <v>70</v>
          </cell>
          <cell r="G29">
            <v>745</v>
          </cell>
          <cell r="H29">
            <v>16</v>
          </cell>
          <cell r="J29">
            <v>2774</v>
          </cell>
          <cell r="K29">
            <v>7</v>
          </cell>
          <cell r="L29">
            <v>5000</v>
          </cell>
        </row>
        <row r="30">
          <cell r="D30">
            <v>79</v>
          </cell>
          <cell r="G30">
            <v>742</v>
          </cell>
          <cell r="H30">
            <v>19</v>
          </cell>
          <cell r="J30">
            <v>2770</v>
          </cell>
          <cell r="K30">
            <v>12</v>
          </cell>
          <cell r="L30">
            <v>5000</v>
          </cell>
        </row>
        <row r="31">
          <cell r="D31">
            <v>85</v>
          </cell>
          <cell r="G31">
            <v>540</v>
          </cell>
          <cell r="H31">
            <v>13</v>
          </cell>
          <cell r="J31">
            <v>1470</v>
          </cell>
          <cell r="K31">
            <v>18</v>
          </cell>
          <cell r="L31">
            <v>5000</v>
          </cell>
        </row>
        <row r="32">
          <cell r="D32">
            <v>88</v>
          </cell>
          <cell r="G32">
            <v>546</v>
          </cell>
          <cell r="H32">
            <v>10</v>
          </cell>
          <cell r="J32">
            <v>1496</v>
          </cell>
          <cell r="K32">
            <v>16</v>
          </cell>
          <cell r="L32">
            <v>5000</v>
          </cell>
        </row>
        <row r="33">
          <cell r="D33">
            <v>82</v>
          </cell>
          <cell r="G33">
            <v>452</v>
          </cell>
          <cell r="H33">
            <v>6</v>
          </cell>
          <cell r="J33">
            <v>1012</v>
          </cell>
          <cell r="K33">
            <v>19</v>
          </cell>
          <cell r="L33">
            <v>5000</v>
          </cell>
        </row>
        <row r="34">
          <cell r="D34">
            <v>71</v>
          </cell>
          <cell r="G34">
            <v>472</v>
          </cell>
          <cell r="H34">
            <v>7</v>
          </cell>
          <cell r="J34">
            <v>1108</v>
          </cell>
          <cell r="K34">
            <v>13</v>
          </cell>
          <cell r="L34">
            <v>5000</v>
          </cell>
        </row>
        <row r="35">
          <cell r="D35">
            <v>60</v>
          </cell>
          <cell r="G35">
            <v>430</v>
          </cell>
          <cell r="H35">
            <v>5</v>
          </cell>
          <cell r="J35">
            <v>944</v>
          </cell>
          <cell r="K35">
            <v>10</v>
          </cell>
          <cell r="L35">
            <v>5000</v>
          </cell>
        </row>
        <row r="36">
          <cell r="D36">
            <v>48</v>
          </cell>
          <cell r="G36">
            <v>817</v>
          </cell>
          <cell r="H36">
            <v>7</v>
          </cell>
          <cell r="J36">
            <v>3322</v>
          </cell>
          <cell r="K36">
            <v>6</v>
          </cell>
          <cell r="L36">
            <v>5000</v>
          </cell>
        </row>
        <row r="37">
          <cell r="D37">
            <v>42</v>
          </cell>
          <cell r="G37">
            <v>699</v>
          </cell>
          <cell r="H37">
            <v>7</v>
          </cell>
          <cell r="J37">
            <v>2422</v>
          </cell>
          <cell r="K37">
            <v>7</v>
          </cell>
          <cell r="L37">
            <v>5000</v>
          </cell>
        </row>
        <row r="38">
          <cell r="D38">
            <v>41</v>
          </cell>
          <cell r="G38">
            <v>751</v>
          </cell>
          <cell r="H38">
            <v>9</v>
          </cell>
          <cell r="J38">
            <v>2834</v>
          </cell>
          <cell r="K38">
            <v>5</v>
          </cell>
          <cell r="L38">
            <v>5000</v>
          </cell>
        </row>
        <row r="39">
          <cell r="D39">
            <v>38</v>
          </cell>
          <cell r="G39">
            <v>547</v>
          </cell>
          <cell r="H39">
            <v>3</v>
          </cell>
          <cell r="J39">
            <v>1492</v>
          </cell>
          <cell r="K39">
            <v>7</v>
          </cell>
          <cell r="L39">
            <v>5000</v>
          </cell>
        </row>
        <row r="40">
          <cell r="D40">
            <v>39</v>
          </cell>
          <cell r="G40">
            <v>755</v>
          </cell>
          <cell r="H40">
            <v>8</v>
          </cell>
          <cell r="J40">
            <v>2878</v>
          </cell>
          <cell r="K40">
            <v>7</v>
          </cell>
          <cell r="L40">
            <v>5000</v>
          </cell>
        </row>
        <row r="41">
          <cell r="D41">
            <v>37</v>
          </cell>
          <cell r="G41">
            <v>755</v>
          </cell>
          <cell r="H41">
            <v>3</v>
          </cell>
          <cell r="J41">
            <v>2832</v>
          </cell>
          <cell r="K41">
            <v>9</v>
          </cell>
          <cell r="L41">
            <v>5000</v>
          </cell>
        </row>
        <row r="42">
          <cell r="D42">
            <v>35</v>
          </cell>
          <cell r="G42">
            <v>694</v>
          </cell>
          <cell r="H42">
            <v>5</v>
          </cell>
          <cell r="J42">
            <v>2398</v>
          </cell>
          <cell r="K42">
            <v>3</v>
          </cell>
          <cell r="L42">
            <v>5000</v>
          </cell>
        </row>
        <row r="43">
          <cell r="D43">
            <v>33</v>
          </cell>
          <cell r="G43">
            <v>728</v>
          </cell>
          <cell r="H43">
            <v>5</v>
          </cell>
          <cell r="J43">
            <v>2634</v>
          </cell>
          <cell r="K43">
            <v>8</v>
          </cell>
          <cell r="L43">
            <v>5000</v>
          </cell>
        </row>
        <row r="44">
          <cell r="D44">
            <v>27</v>
          </cell>
          <cell r="G44">
            <v>692</v>
          </cell>
          <cell r="H44">
            <v>3</v>
          </cell>
          <cell r="J44">
            <v>2386</v>
          </cell>
          <cell r="K44">
            <v>3</v>
          </cell>
          <cell r="L44">
            <v>5000</v>
          </cell>
        </row>
        <row r="45">
          <cell r="D45">
            <v>27</v>
          </cell>
          <cell r="G45">
            <v>739</v>
          </cell>
          <cell r="H45">
            <v>3</v>
          </cell>
          <cell r="J45">
            <v>2720</v>
          </cell>
          <cell r="K45">
            <v>5</v>
          </cell>
          <cell r="L45">
            <v>5000</v>
          </cell>
        </row>
        <row r="46">
          <cell r="D46">
            <v>21</v>
          </cell>
          <cell r="G46">
            <v>544</v>
          </cell>
          <cell r="H46">
            <v>2</v>
          </cell>
          <cell r="J46">
            <v>1472</v>
          </cell>
          <cell r="K46">
            <v>5</v>
          </cell>
          <cell r="L46">
            <v>5000</v>
          </cell>
        </row>
        <row r="47">
          <cell r="D47">
            <v>19</v>
          </cell>
          <cell r="G47">
            <v>536</v>
          </cell>
          <cell r="H47">
            <v>1</v>
          </cell>
          <cell r="J47">
            <v>1434</v>
          </cell>
          <cell r="K47">
            <v>3</v>
          </cell>
          <cell r="L47">
            <v>5000</v>
          </cell>
        </row>
        <row r="48">
          <cell r="D48">
            <v>16</v>
          </cell>
          <cell r="G48">
            <v>742</v>
          </cell>
          <cell r="H48">
            <v>2</v>
          </cell>
          <cell r="J48">
            <v>2766</v>
          </cell>
          <cell r="K48">
            <v>3</v>
          </cell>
          <cell r="L48">
            <v>5000</v>
          </cell>
        </row>
        <row r="49">
          <cell r="D49">
            <v>14</v>
          </cell>
          <cell r="G49">
            <v>733</v>
          </cell>
          <cell r="H49">
            <v>3</v>
          </cell>
          <cell r="J49">
            <v>2672</v>
          </cell>
          <cell r="K49">
            <v>2</v>
          </cell>
          <cell r="L49">
            <v>5000</v>
          </cell>
        </row>
        <row r="50">
          <cell r="D50">
            <v>12</v>
          </cell>
          <cell r="G50">
            <v>772</v>
          </cell>
          <cell r="H50">
            <v>1</v>
          </cell>
          <cell r="J50">
            <v>2988</v>
          </cell>
          <cell r="K50">
            <v>1</v>
          </cell>
          <cell r="L50">
            <v>5000</v>
          </cell>
        </row>
        <row r="51">
          <cell r="D51">
            <v>12</v>
          </cell>
          <cell r="G51">
            <v>807</v>
          </cell>
          <cell r="H51">
            <v>3</v>
          </cell>
          <cell r="J51">
            <v>3250</v>
          </cell>
          <cell r="K51">
            <v>2</v>
          </cell>
          <cell r="L51">
            <v>5000</v>
          </cell>
        </row>
        <row r="52">
          <cell r="D52">
            <v>10</v>
          </cell>
          <cell r="G52">
            <v>765</v>
          </cell>
          <cell r="H52">
            <v>0</v>
          </cell>
          <cell r="J52">
            <v>2926</v>
          </cell>
          <cell r="K52">
            <v>3</v>
          </cell>
          <cell r="L52">
            <v>5000</v>
          </cell>
        </row>
        <row r="53">
          <cell r="D53">
            <v>9</v>
          </cell>
          <cell r="G53">
            <v>744</v>
          </cell>
          <cell r="H53">
            <v>0</v>
          </cell>
          <cell r="J53">
            <v>2756</v>
          </cell>
          <cell r="K53">
            <v>1</v>
          </cell>
          <cell r="L53">
            <v>5000</v>
          </cell>
        </row>
        <row r="54">
          <cell r="D54">
            <v>8</v>
          </cell>
          <cell r="G54">
            <v>803</v>
          </cell>
          <cell r="H54">
            <v>1</v>
          </cell>
          <cell r="J54">
            <v>3220</v>
          </cell>
          <cell r="K54">
            <v>3</v>
          </cell>
          <cell r="L54">
            <v>5000</v>
          </cell>
        </row>
        <row r="55">
          <cell r="D55">
            <v>5</v>
          </cell>
          <cell r="G55">
            <v>747</v>
          </cell>
          <cell r="H55">
            <v>0</v>
          </cell>
          <cell r="J55">
            <v>2798</v>
          </cell>
          <cell r="K55">
            <v>0</v>
          </cell>
          <cell r="L55">
            <v>5000</v>
          </cell>
        </row>
        <row r="56">
          <cell r="D56">
            <v>4</v>
          </cell>
          <cell r="G56">
            <v>993</v>
          </cell>
          <cell r="H56">
            <v>0</v>
          </cell>
          <cell r="J56">
            <v>4934</v>
          </cell>
          <cell r="K56">
            <v>0</v>
          </cell>
          <cell r="L56">
            <v>5000</v>
          </cell>
        </row>
        <row r="57">
          <cell r="D57">
            <v>4</v>
          </cell>
          <cell r="G57">
            <v>996</v>
          </cell>
          <cell r="H57">
            <v>3</v>
          </cell>
          <cell r="J57">
            <v>4964</v>
          </cell>
          <cell r="K57">
            <v>1</v>
          </cell>
          <cell r="L57">
            <v>5000</v>
          </cell>
        </row>
        <row r="58">
          <cell r="D58">
            <v>5</v>
          </cell>
          <cell r="G58">
            <v>813</v>
          </cell>
          <cell r="H58">
            <v>1</v>
          </cell>
          <cell r="J58">
            <v>3298</v>
          </cell>
          <cell r="K58">
            <v>0</v>
          </cell>
          <cell r="L58">
            <v>5000</v>
          </cell>
        </row>
        <row r="59">
          <cell r="D59">
            <v>8</v>
          </cell>
          <cell r="G59">
            <v>997</v>
          </cell>
          <cell r="H59">
            <v>3</v>
          </cell>
          <cell r="J59">
            <v>4968</v>
          </cell>
          <cell r="K59">
            <v>0</v>
          </cell>
          <cell r="L59">
            <v>5000</v>
          </cell>
        </row>
        <row r="60">
          <cell r="D60">
            <v>9</v>
          </cell>
          <cell r="G60">
            <v>997</v>
          </cell>
          <cell r="H60">
            <v>2</v>
          </cell>
          <cell r="J60">
            <v>4968</v>
          </cell>
          <cell r="K60">
            <v>3</v>
          </cell>
          <cell r="L60">
            <v>5000</v>
          </cell>
        </row>
        <row r="61">
          <cell r="D61">
            <v>11</v>
          </cell>
          <cell r="G61">
            <v>753</v>
          </cell>
          <cell r="H61">
            <v>2</v>
          </cell>
          <cell r="J61">
            <v>2856</v>
          </cell>
          <cell r="K61">
            <v>1</v>
          </cell>
          <cell r="L61">
            <v>5000</v>
          </cell>
        </row>
        <row r="62">
          <cell r="D62">
            <v>12</v>
          </cell>
          <cell r="G62">
            <v>804</v>
          </cell>
          <cell r="H62">
            <v>1</v>
          </cell>
          <cell r="J62">
            <v>3230</v>
          </cell>
          <cell r="K62">
            <v>3</v>
          </cell>
          <cell r="L62">
            <v>5000</v>
          </cell>
        </row>
        <row r="63">
          <cell r="D63">
            <v>11</v>
          </cell>
          <cell r="G63">
            <v>749</v>
          </cell>
          <cell r="H63">
            <v>2</v>
          </cell>
          <cell r="J63">
            <v>2798</v>
          </cell>
          <cell r="K63">
            <v>2</v>
          </cell>
          <cell r="L63">
            <v>5000</v>
          </cell>
        </row>
        <row r="64">
          <cell r="D64">
            <v>11</v>
          </cell>
          <cell r="G64">
            <v>774</v>
          </cell>
          <cell r="H64">
            <v>1</v>
          </cell>
          <cell r="J64">
            <v>2998</v>
          </cell>
          <cell r="K64">
            <v>2</v>
          </cell>
          <cell r="L64">
            <v>5000</v>
          </cell>
        </row>
        <row r="65">
          <cell r="D65">
            <v>9</v>
          </cell>
          <cell r="G65">
            <v>769</v>
          </cell>
          <cell r="H65">
            <v>1</v>
          </cell>
          <cell r="J65">
            <v>2956</v>
          </cell>
          <cell r="K65">
            <v>1</v>
          </cell>
          <cell r="L65">
            <v>5000</v>
          </cell>
        </row>
        <row r="66">
          <cell r="D66">
            <v>9</v>
          </cell>
          <cell r="G66">
            <v>806</v>
          </cell>
          <cell r="H66">
            <v>2</v>
          </cell>
          <cell r="J66">
            <v>3244</v>
          </cell>
          <cell r="K66">
            <v>2</v>
          </cell>
          <cell r="L66">
            <v>5000</v>
          </cell>
        </row>
        <row r="67">
          <cell r="D67">
            <v>9</v>
          </cell>
          <cell r="G67">
            <v>774</v>
          </cell>
          <cell r="H67">
            <v>2</v>
          </cell>
          <cell r="J67">
            <v>3008</v>
          </cell>
          <cell r="K67">
            <v>1</v>
          </cell>
          <cell r="L67">
            <v>5000</v>
          </cell>
        </row>
        <row r="68">
          <cell r="D68">
            <v>11</v>
          </cell>
          <cell r="G68">
            <v>816</v>
          </cell>
          <cell r="H68">
            <v>3</v>
          </cell>
          <cell r="J68">
            <v>3334</v>
          </cell>
          <cell r="K68">
            <v>1</v>
          </cell>
          <cell r="L68">
            <v>5000</v>
          </cell>
        </row>
        <row r="69">
          <cell r="D69">
            <v>10</v>
          </cell>
          <cell r="G69">
            <v>800</v>
          </cell>
          <cell r="H69">
            <v>1</v>
          </cell>
          <cell r="J69">
            <v>3200</v>
          </cell>
          <cell r="K69">
            <v>2</v>
          </cell>
          <cell r="L69">
            <v>5000</v>
          </cell>
        </row>
        <row r="70">
          <cell r="D70">
            <v>9</v>
          </cell>
          <cell r="G70">
            <v>782</v>
          </cell>
          <cell r="H70">
            <v>0</v>
          </cell>
          <cell r="J70">
            <v>3064</v>
          </cell>
          <cell r="K70">
            <v>2</v>
          </cell>
          <cell r="L70">
            <v>5000</v>
          </cell>
        </row>
        <row r="71">
          <cell r="D71">
            <v>11</v>
          </cell>
          <cell r="G71">
            <v>772</v>
          </cell>
          <cell r="H71">
            <v>3</v>
          </cell>
          <cell r="J71">
            <v>2982</v>
          </cell>
          <cell r="K71">
            <v>3</v>
          </cell>
          <cell r="L71">
            <v>5000</v>
          </cell>
        </row>
        <row r="72">
          <cell r="D72">
            <v>11</v>
          </cell>
          <cell r="G72">
            <v>741</v>
          </cell>
          <cell r="H72">
            <v>2</v>
          </cell>
          <cell r="J72">
            <v>2740</v>
          </cell>
          <cell r="K72">
            <v>1</v>
          </cell>
          <cell r="L72">
            <v>5000</v>
          </cell>
        </row>
        <row r="73">
          <cell r="D73">
            <v>11</v>
          </cell>
          <cell r="G73">
            <v>800</v>
          </cell>
          <cell r="H73">
            <v>2</v>
          </cell>
          <cell r="J73">
            <v>3198</v>
          </cell>
          <cell r="K73">
            <v>0</v>
          </cell>
          <cell r="L73">
            <v>5000</v>
          </cell>
        </row>
        <row r="74">
          <cell r="D74">
            <v>16</v>
          </cell>
          <cell r="G74">
            <v>993</v>
          </cell>
          <cell r="H74">
            <v>8</v>
          </cell>
          <cell r="J74">
            <v>4936</v>
          </cell>
          <cell r="K74">
            <v>3</v>
          </cell>
          <cell r="L74">
            <v>5000</v>
          </cell>
        </row>
        <row r="75">
          <cell r="D75">
            <v>15</v>
          </cell>
          <cell r="G75">
            <v>741</v>
          </cell>
          <cell r="H75">
            <v>0</v>
          </cell>
          <cell r="J75">
            <v>2730</v>
          </cell>
          <cell r="K75">
            <v>2</v>
          </cell>
          <cell r="L75">
            <v>5000</v>
          </cell>
        </row>
        <row r="76">
          <cell r="D76">
            <v>17</v>
          </cell>
          <cell r="G76">
            <v>771</v>
          </cell>
          <cell r="H76">
            <v>2</v>
          </cell>
          <cell r="J76">
            <v>2970</v>
          </cell>
          <cell r="K76">
            <v>2</v>
          </cell>
          <cell r="L76">
            <v>5000</v>
          </cell>
        </row>
        <row r="77">
          <cell r="D77">
            <v>15</v>
          </cell>
          <cell r="G77">
            <v>774</v>
          </cell>
          <cell r="H77">
            <v>1</v>
          </cell>
          <cell r="J77">
            <v>2988</v>
          </cell>
          <cell r="K77">
            <v>8</v>
          </cell>
          <cell r="L77">
            <v>5000</v>
          </cell>
        </row>
        <row r="78">
          <cell r="D78">
            <v>13</v>
          </cell>
          <cell r="G78">
            <v>697</v>
          </cell>
          <cell r="H78">
            <v>0</v>
          </cell>
          <cell r="J78">
            <v>2426</v>
          </cell>
          <cell r="K78">
            <v>0</v>
          </cell>
          <cell r="L78">
            <v>5000</v>
          </cell>
        </row>
        <row r="79">
          <cell r="D79">
            <v>12</v>
          </cell>
          <cell r="G79">
            <v>986</v>
          </cell>
          <cell r="H79">
            <v>1</v>
          </cell>
          <cell r="J79">
            <v>4858</v>
          </cell>
          <cell r="K79">
            <v>2</v>
          </cell>
          <cell r="L79">
            <v>5000</v>
          </cell>
        </row>
        <row r="80">
          <cell r="D80">
            <v>4</v>
          </cell>
          <cell r="G80">
            <v>769</v>
          </cell>
          <cell r="H80">
            <v>0</v>
          </cell>
          <cell r="J80">
            <v>2952</v>
          </cell>
          <cell r="K80">
            <v>1</v>
          </cell>
          <cell r="L80">
            <v>5000</v>
          </cell>
        </row>
        <row r="81">
          <cell r="D81">
            <v>4</v>
          </cell>
          <cell r="G81">
            <v>819</v>
          </cell>
          <cell r="H81">
            <v>0</v>
          </cell>
          <cell r="J81">
            <v>3346</v>
          </cell>
          <cell r="K81">
            <v>0</v>
          </cell>
          <cell r="L81">
            <v>5000</v>
          </cell>
        </row>
        <row r="82">
          <cell r="D82">
            <v>4</v>
          </cell>
          <cell r="G82">
            <v>995</v>
          </cell>
          <cell r="H82">
            <v>2</v>
          </cell>
          <cell r="J82">
            <v>4950</v>
          </cell>
          <cell r="K82">
            <v>1</v>
          </cell>
          <cell r="L82">
            <v>5000</v>
          </cell>
        </row>
        <row r="83">
          <cell r="D83">
            <v>4</v>
          </cell>
          <cell r="G83">
            <v>808</v>
          </cell>
          <cell r="H83">
            <v>1</v>
          </cell>
          <cell r="J83">
            <v>3274</v>
          </cell>
          <cell r="K83">
            <v>0</v>
          </cell>
          <cell r="L83">
            <v>5000</v>
          </cell>
        </row>
        <row r="84">
          <cell r="D84">
            <v>4</v>
          </cell>
          <cell r="G84">
            <v>996</v>
          </cell>
          <cell r="H84">
            <v>0</v>
          </cell>
          <cell r="J84">
            <v>4960</v>
          </cell>
          <cell r="K84">
            <v>0</v>
          </cell>
          <cell r="L84">
            <v>5000</v>
          </cell>
        </row>
        <row r="85">
          <cell r="D85">
            <v>4</v>
          </cell>
          <cell r="G85">
            <v>997</v>
          </cell>
          <cell r="H85">
            <v>1</v>
          </cell>
          <cell r="J85">
            <v>4964</v>
          </cell>
          <cell r="K85">
            <v>2</v>
          </cell>
          <cell r="L85">
            <v>5000</v>
          </cell>
        </row>
        <row r="86">
          <cell r="D86">
            <v>4</v>
          </cell>
          <cell r="G86">
            <v>782</v>
          </cell>
          <cell r="H86">
            <v>0</v>
          </cell>
          <cell r="J86">
            <v>3062</v>
          </cell>
          <cell r="K86">
            <v>1</v>
          </cell>
          <cell r="L86">
            <v>5000</v>
          </cell>
        </row>
        <row r="87">
          <cell r="D87">
            <v>4</v>
          </cell>
          <cell r="G87">
            <v>812</v>
          </cell>
          <cell r="H87">
            <v>0</v>
          </cell>
          <cell r="J87">
            <v>3288</v>
          </cell>
          <cell r="K87">
            <v>0</v>
          </cell>
          <cell r="L87">
            <v>5000</v>
          </cell>
        </row>
        <row r="88">
          <cell r="D88">
            <v>2</v>
          </cell>
          <cell r="G88">
            <v>996</v>
          </cell>
          <cell r="H88">
            <v>0</v>
          </cell>
          <cell r="J88">
            <v>4954</v>
          </cell>
          <cell r="K88">
            <v>1</v>
          </cell>
          <cell r="L88">
            <v>5000</v>
          </cell>
        </row>
        <row r="89">
          <cell r="D89">
            <v>1</v>
          </cell>
          <cell r="G89">
            <v>998</v>
          </cell>
          <cell r="H89">
            <v>0</v>
          </cell>
          <cell r="J89">
            <v>4982</v>
          </cell>
          <cell r="K89">
            <v>0</v>
          </cell>
          <cell r="L89">
            <v>5000</v>
          </cell>
        </row>
        <row r="90">
          <cell r="D90">
            <v>1</v>
          </cell>
          <cell r="G90">
            <v>999</v>
          </cell>
          <cell r="H90">
            <v>0</v>
          </cell>
          <cell r="J90">
            <v>4990</v>
          </cell>
          <cell r="K90">
            <v>0</v>
          </cell>
          <cell r="L90">
            <v>5000</v>
          </cell>
        </row>
        <row r="91">
          <cell r="D91">
            <v>0</v>
          </cell>
          <cell r="G91">
            <v>999</v>
          </cell>
          <cell r="H91">
            <v>0</v>
          </cell>
          <cell r="J91">
            <v>4990</v>
          </cell>
          <cell r="K91">
            <v>0</v>
          </cell>
          <cell r="L91">
            <v>5000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MitchellAPI-data"/>
    </sheetNames>
    <sheetDataSet>
      <sheetData sheetId="0" refreshError="1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5</v>
          </cell>
          <cell r="G3">
            <v>999</v>
          </cell>
          <cell r="H3">
            <v>3</v>
          </cell>
          <cell r="J3">
            <v>4988</v>
          </cell>
          <cell r="K3">
            <v>0</v>
          </cell>
          <cell r="L3">
            <v>5000</v>
          </cell>
        </row>
        <row r="4">
          <cell r="D4">
            <v>12</v>
          </cell>
          <cell r="G4">
            <v>998</v>
          </cell>
          <cell r="H4">
            <v>7</v>
          </cell>
          <cell r="J4">
            <v>4978</v>
          </cell>
          <cell r="K4">
            <v>0</v>
          </cell>
          <cell r="L4">
            <v>5000</v>
          </cell>
        </row>
        <row r="5">
          <cell r="D5">
            <v>23</v>
          </cell>
          <cell r="G5">
            <v>999</v>
          </cell>
          <cell r="H5">
            <v>11</v>
          </cell>
          <cell r="J5">
            <v>4984</v>
          </cell>
          <cell r="K5">
            <v>2</v>
          </cell>
          <cell r="L5">
            <v>5000</v>
          </cell>
        </row>
        <row r="6">
          <cell r="D6">
            <v>31</v>
          </cell>
          <cell r="G6">
            <v>784</v>
          </cell>
          <cell r="H6">
            <v>8</v>
          </cell>
          <cell r="J6">
            <v>3070</v>
          </cell>
          <cell r="K6">
            <v>3</v>
          </cell>
          <cell r="L6">
            <v>5000</v>
          </cell>
        </row>
        <row r="7">
          <cell r="D7">
            <v>44</v>
          </cell>
          <cell r="G7">
            <v>762</v>
          </cell>
          <cell r="H7">
            <v>13</v>
          </cell>
          <cell r="J7">
            <v>2904</v>
          </cell>
          <cell r="K7">
            <v>7</v>
          </cell>
          <cell r="L7">
            <v>5000</v>
          </cell>
        </row>
        <row r="8">
          <cell r="D8">
            <v>56</v>
          </cell>
          <cell r="G8">
            <v>769</v>
          </cell>
          <cell r="H8">
            <v>14</v>
          </cell>
          <cell r="J8">
            <v>2960</v>
          </cell>
          <cell r="K8">
            <v>11</v>
          </cell>
          <cell r="L8">
            <v>5000</v>
          </cell>
        </row>
        <row r="9">
          <cell r="D9">
            <v>67</v>
          </cell>
          <cell r="G9">
            <v>672</v>
          </cell>
          <cell r="H9">
            <v>14</v>
          </cell>
          <cell r="J9">
            <v>2246</v>
          </cell>
          <cell r="K9">
            <v>8</v>
          </cell>
          <cell r="L9">
            <v>5000</v>
          </cell>
        </row>
        <row r="10">
          <cell r="D10">
            <v>67</v>
          </cell>
          <cell r="G10">
            <v>691</v>
          </cell>
          <cell r="H10">
            <v>7</v>
          </cell>
          <cell r="J10">
            <v>2374</v>
          </cell>
          <cell r="K10">
            <v>13</v>
          </cell>
          <cell r="L10">
            <v>5000</v>
          </cell>
        </row>
        <row r="11">
          <cell r="D11">
            <v>64</v>
          </cell>
          <cell r="G11">
            <v>460</v>
          </cell>
          <cell r="H11">
            <v>8</v>
          </cell>
          <cell r="J11">
            <v>1062</v>
          </cell>
          <cell r="K11">
            <v>14</v>
          </cell>
          <cell r="L11">
            <v>5000</v>
          </cell>
        </row>
        <row r="12">
          <cell r="D12">
            <v>61</v>
          </cell>
          <cell r="G12">
            <v>458</v>
          </cell>
          <cell r="H12">
            <v>5</v>
          </cell>
          <cell r="J12">
            <v>1046</v>
          </cell>
          <cell r="K12">
            <v>14</v>
          </cell>
          <cell r="L12">
            <v>5000</v>
          </cell>
        </row>
        <row r="13">
          <cell r="D13">
            <v>54</v>
          </cell>
          <cell r="G13">
            <v>460</v>
          </cell>
          <cell r="H13">
            <v>6</v>
          </cell>
          <cell r="J13">
            <v>1066</v>
          </cell>
          <cell r="K13">
            <v>7</v>
          </cell>
          <cell r="L13">
            <v>5000</v>
          </cell>
        </row>
        <row r="14">
          <cell r="D14">
            <v>44</v>
          </cell>
          <cell r="G14">
            <v>741</v>
          </cell>
          <cell r="H14">
            <v>4</v>
          </cell>
          <cell r="J14">
            <v>2724</v>
          </cell>
          <cell r="K14">
            <v>8</v>
          </cell>
          <cell r="L14">
            <v>5000</v>
          </cell>
        </row>
        <row r="15">
          <cell r="D15">
            <v>35</v>
          </cell>
          <cell r="G15">
            <v>677</v>
          </cell>
          <cell r="H15">
            <v>5</v>
          </cell>
          <cell r="J15">
            <v>2314</v>
          </cell>
          <cell r="K15">
            <v>5</v>
          </cell>
          <cell r="L15">
            <v>5000</v>
          </cell>
        </row>
        <row r="16">
          <cell r="D16">
            <v>30</v>
          </cell>
          <cell r="G16">
            <v>518</v>
          </cell>
          <cell r="H16">
            <v>2</v>
          </cell>
          <cell r="J16">
            <v>1332</v>
          </cell>
          <cell r="K16">
            <v>6</v>
          </cell>
          <cell r="L16">
            <v>5000</v>
          </cell>
        </row>
        <row r="17">
          <cell r="D17">
            <v>25</v>
          </cell>
          <cell r="G17">
            <v>725</v>
          </cell>
          <cell r="H17">
            <v>3</v>
          </cell>
          <cell r="J17">
            <v>2628</v>
          </cell>
          <cell r="K17">
            <v>4</v>
          </cell>
          <cell r="L17">
            <v>5000</v>
          </cell>
        </row>
        <row r="18">
          <cell r="D18">
            <v>25</v>
          </cell>
          <cell r="G18">
            <v>774</v>
          </cell>
          <cell r="H18">
            <v>5</v>
          </cell>
          <cell r="J18">
            <v>2990</v>
          </cell>
          <cell r="K18">
            <v>5</v>
          </cell>
          <cell r="L18">
            <v>5000</v>
          </cell>
        </row>
        <row r="19">
          <cell r="D19">
            <v>21</v>
          </cell>
          <cell r="G19">
            <v>530</v>
          </cell>
          <cell r="H19">
            <v>2</v>
          </cell>
          <cell r="J19">
            <v>1394</v>
          </cell>
          <cell r="K19">
            <v>2</v>
          </cell>
          <cell r="L19">
            <v>5000</v>
          </cell>
        </row>
        <row r="20">
          <cell r="D20">
            <v>20</v>
          </cell>
          <cell r="G20">
            <v>782</v>
          </cell>
          <cell r="H20">
            <v>3</v>
          </cell>
          <cell r="J20">
            <v>3042</v>
          </cell>
          <cell r="K20">
            <v>3</v>
          </cell>
          <cell r="L20">
            <v>5000</v>
          </cell>
        </row>
        <row r="21">
          <cell r="D21">
            <v>22</v>
          </cell>
          <cell r="G21">
            <v>765</v>
          </cell>
          <cell r="H21">
            <v>7</v>
          </cell>
          <cell r="J21">
            <v>2930</v>
          </cell>
          <cell r="K21">
            <v>5</v>
          </cell>
          <cell r="L21">
            <v>5000</v>
          </cell>
        </row>
        <row r="22">
          <cell r="D22">
            <v>21</v>
          </cell>
          <cell r="G22">
            <v>533</v>
          </cell>
          <cell r="H22">
            <v>1</v>
          </cell>
          <cell r="J22">
            <v>1434</v>
          </cell>
          <cell r="K22">
            <v>2</v>
          </cell>
          <cell r="L22">
            <v>5000</v>
          </cell>
        </row>
        <row r="23">
          <cell r="D23">
            <v>22</v>
          </cell>
          <cell r="G23">
            <v>784</v>
          </cell>
          <cell r="H23">
            <v>4</v>
          </cell>
          <cell r="J23">
            <v>3074</v>
          </cell>
          <cell r="K23">
            <v>3</v>
          </cell>
          <cell r="L23">
            <v>5000</v>
          </cell>
        </row>
        <row r="24">
          <cell r="D24">
            <v>21</v>
          </cell>
          <cell r="G24">
            <v>767</v>
          </cell>
          <cell r="H24">
            <v>4</v>
          </cell>
          <cell r="J24">
            <v>2944</v>
          </cell>
          <cell r="K24">
            <v>7</v>
          </cell>
          <cell r="L24">
            <v>5000</v>
          </cell>
        </row>
        <row r="25">
          <cell r="D25">
            <v>22</v>
          </cell>
          <cell r="G25">
            <v>779</v>
          </cell>
          <cell r="H25">
            <v>3</v>
          </cell>
          <cell r="J25">
            <v>3034</v>
          </cell>
          <cell r="K25">
            <v>1</v>
          </cell>
          <cell r="L25">
            <v>5000</v>
          </cell>
        </row>
        <row r="26">
          <cell r="D26">
            <v>22</v>
          </cell>
          <cell r="G26">
            <v>794</v>
          </cell>
          <cell r="H26">
            <v>3</v>
          </cell>
          <cell r="J26">
            <v>3146</v>
          </cell>
          <cell r="K26">
            <v>4</v>
          </cell>
          <cell r="L26">
            <v>5000</v>
          </cell>
        </row>
        <row r="27">
          <cell r="D27">
            <v>15</v>
          </cell>
          <cell r="G27">
            <v>775</v>
          </cell>
          <cell r="H27">
            <v>0</v>
          </cell>
          <cell r="J27">
            <v>3006</v>
          </cell>
          <cell r="K27">
            <v>4</v>
          </cell>
          <cell r="L27">
            <v>5000</v>
          </cell>
        </row>
        <row r="28">
          <cell r="D28">
            <v>16</v>
          </cell>
          <cell r="G28">
            <v>782</v>
          </cell>
          <cell r="H28">
            <v>2</v>
          </cell>
          <cell r="J28">
            <v>3060</v>
          </cell>
          <cell r="K28">
            <v>3</v>
          </cell>
          <cell r="L28">
            <v>5000</v>
          </cell>
        </row>
        <row r="29">
          <cell r="D29">
            <v>13</v>
          </cell>
          <cell r="G29">
            <v>772</v>
          </cell>
          <cell r="H29">
            <v>1</v>
          </cell>
          <cell r="J29">
            <v>2982</v>
          </cell>
          <cell r="K29">
            <v>3</v>
          </cell>
          <cell r="L29">
            <v>5000</v>
          </cell>
        </row>
        <row r="30">
          <cell r="D30">
            <v>9</v>
          </cell>
          <cell r="G30">
            <v>771</v>
          </cell>
          <cell r="H30">
            <v>0</v>
          </cell>
          <cell r="J30">
            <v>2954</v>
          </cell>
          <cell r="K30">
            <v>0</v>
          </cell>
          <cell r="L30">
            <v>5000</v>
          </cell>
        </row>
        <row r="31">
          <cell r="D31">
            <v>11</v>
          </cell>
          <cell r="G31">
            <v>996</v>
          </cell>
          <cell r="H31">
            <v>5</v>
          </cell>
          <cell r="J31">
            <v>4954</v>
          </cell>
          <cell r="K31">
            <v>2</v>
          </cell>
          <cell r="L31">
            <v>5000</v>
          </cell>
        </row>
        <row r="32">
          <cell r="D32">
            <v>13</v>
          </cell>
          <cell r="G32">
            <v>792</v>
          </cell>
          <cell r="H32">
            <v>5</v>
          </cell>
          <cell r="J32">
            <v>3138</v>
          </cell>
          <cell r="K32">
            <v>1</v>
          </cell>
          <cell r="L32">
            <v>5000</v>
          </cell>
        </row>
        <row r="33">
          <cell r="D33">
            <v>19</v>
          </cell>
          <cell r="G33">
            <v>808</v>
          </cell>
          <cell r="H33">
            <v>6</v>
          </cell>
          <cell r="J33">
            <v>3260</v>
          </cell>
          <cell r="K33">
            <v>0</v>
          </cell>
          <cell r="L33">
            <v>5000</v>
          </cell>
        </row>
        <row r="34">
          <cell r="D34">
            <v>33</v>
          </cell>
          <cell r="G34">
            <v>995</v>
          </cell>
          <cell r="H34">
            <v>16</v>
          </cell>
          <cell r="J34">
            <v>4948</v>
          </cell>
          <cell r="K34">
            <v>5</v>
          </cell>
          <cell r="L34">
            <v>5000</v>
          </cell>
        </row>
        <row r="35">
          <cell r="D35">
            <v>36</v>
          </cell>
          <cell r="G35">
            <v>543</v>
          </cell>
          <cell r="H35">
            <v>4</v>
          </cell>
          <cell r="J35">
            <v>1470</v>
          </cell>
          <cell r="K35">
            <v>5</v>
          </cell>
          <cell r="L35">
            <v>5000</v>
          </cell>
        </row>
        <row r="36">
          <cell r="D36">
            <v>44</v>
          </cell>
          <cell r="G36">
            <v>536</v>
          </cell>
          <cell r="H36">
            <v>8</v>
          </cell>
          <cell r="J36">
            <v>1442</v>
          </cell>
          <cell r="K36">
            <v>6</v>
          </cell>
          <cell r="L36">
            <v>5000</v>
          </cell>
        </row>
        <row r="37">
          <cell r="D37">
            <v>50</v>
          </cell>
          <cell r="G37">
            <v>725</v>
          </cell>
          <cell r="H37">
            <v>11</v>
          </cell>
          <cell r="J37">
            <v>2620</v>
          </cell>
          <cell r="K37">
            <v>16</v>
          </cell>
          <cell r="L37">
            <v>5000</v>
          </cell>
        </row>
        <row r="38">
          <cell r="D38">
            <v>49</v>
          </cell>
          <cell r="G38">
            <v>475</v>
          </cell>
          <cell r="H38">
            <v>4</v>
          </cell>
          <cell r="J38">
            <v>1122</v>
          </cell>
          <cell r="K38">
            <v>4</v>
          </cell>
          <cell r="L38">
            <v>5000</v>
          </cell>
        </row>
        <row r="39">
          <cell r="D39">
            <v>48</v>
          </cell>
          <cell r="G39">
            <v>771</v>
          </cell>
          <cell r="H39">
            <v>5</v>
          </cell>
          <cell r="J39">
            <v>2970</v>
          </cell>
          <cell r="K39">
            <v>8</v>
          </cell>
          <cell r="L39">
            <v>5000</v>
          </cell>
        </row>
        <row r="40">
          <cell r="D40">
            <v>39</v>
          </cell>
          <cell r="G40">
            <v>666</v>
          </cell>
          <cell r="H40">
            <v>7</v>
          </cell>
          <cell r="J40">
            <v>2206</v>
          </cell>
          <cell r="K40">
            <v>11</v>
          </cell>
          <cell r="L40">
            <v>5000</v>
          </cell>
        </row>
        <row r="41">
          <cell r="D41">
            <v>39</v>
          </cell>
          <cell r="G41">
            <v>673</v>
          </cell>
          <cell r="H41">
            <v>4</v>
          </cell>
          <cell r="J41">
            <v>2270</v>
          </cell>
          <cell r="K41">
            <v>4</v>
          </cell>
          <cell r="L41">
            <v>5000</v>
          </cell>
        </row>
        <row r="42">
          <cell r="D42">
            <v>41</v>
          </cell>
          <cell r="G42">
            <v>776</v>
          </cell>
          <cell r="H42">
            <v>10</v>
          </cell>
          <cell r="J42">
            <v>3024</v>
          </cell>
          <cell r="K42">
            <v>5</v>
          </cell>
          <cell r="L42">
            <v>5000</v>
          </cell>
        </row>
        <row r="43">
          <cell r="D43">
            <v>33</v>
          </cell>
          <cell r="G43">
            <v>521</v>
          </cell>
          <cell r="H43">
            <v>3</v>
          </cell>
          <cell r="J43">
            <v>1366</v>
          </cell>
          <cell r="K43">
            <v>7</v>
          </cell>
          <cell r="L43">
            <v>5000</v>
          </cell>
        </row>
        <row r="44">
          <cell r="D44">
            <v>35</v>
          </cell>
          <cell r="G44">
            <v>778</v>
          </cell>
          <cell r="H44">
            <v>6</v>
          </cell>
          <cell r="J44">
            <v>3028</v>
          </cell>
          <cell r="K44">
            <v>4</v>
          </cell>
          <cell r="L44">
            <v>5000</v>
          </cell>
        </row>
        <row r="45">
          <cell r="D45">
            <v>38</v>
          </cell>
          <cell r="G45">
            <v>771</v>
          </cell>
          <cell r="H45">
            <v>8</v>
          </cell>
          <cell r="J45">
            <v>2970</v>
          </cell>
          <cell r="K45">
            <v>10</v>
          </cell>
          <cell r="L45">
            <v>5000</v>
          </cell>
        </row>
        <row r="46">
          <cell r="D46">
            <v>39</v>
          </cell>
          <cell r="G46">
            <v>867</v>
          </cell>
          <cell r="H46">
            <v>8</v>
          </cell>
          <cell r="J46">
            <v>3770</v>
          </cell>
          <cell r="K46">
            <v>3</v>
          </cell>
          <cell r="L46">
            <v>5000</v>
          </cell>
        </row>
        <row r="47">
          <cell r="D47">
            <v>43</v>
          </cell>
          <cell r="G47">
            <v>757</v>
          </cell>
          <cell r="H47">
            <v>8</v>
          </cell>
          <cell r="J47">
            <v>2862</v>
          </cell>
          <cell r="K47">
            <v>6</v>
          </cell>
          <cell r="L47">
            <v>5000</v>
          </cell>
        </row>
        <row r="48">
          <cell r="D48">
            <v>42</v>
          </cell>
          <cell r="G48">
            <v>713</v>
          </cell>
          <cell r="H48">
            <v>9</v>
          </cell>
          <cell r="J48">
            <v>2530</v>
          </cell>
          <cell r="K48">
            <v>8</v>
          </cell>
          <cell r="L48">
            <v>5000</v>
          </cell>
        </row>
        <row r="49">
          <cell r="D49">
            <v>49</v>
          </cell>
          <cell r="G49">
            <v>683</v>
          </cell>
          <cell r="H49">
            <v>10</v>
          </cell>
          <cell r="J49">
            <v>2324</v>
          </cell>
          <cell r="K49">
            <v>8</v>
          </cell>
          <cell r="L49">
            <v>5000</v>
          </cell>
        </row>
        <row r="50">
          <cell r="D50">
            <v>54</v>
          </cell>
          <cell r="G50">
            <v>684</v>
          </cell>
          <cell r="H50">
            <v>11</v>
          </cell>
          <cell r="J50">
            <v>2352</v>
          </cell>
          <cell r="K50">
            <v>8</v>
          </cell>
          <cell r="L50">
            <v>5000</v>
          </cell>
        </row>
        <row r="51">
          <cell r="D51">
            <v>56</v>
          </cell>
          <cell r="G51">
            <v>678</v>
          </cell>
          <cell r="H51">
            <v>10</v>
          </cell>
          <cell r="J51">
            <v>2302</v>
          </cell>
          <cell r="K51">
            <v>9</v>
          </cell>
          <cell r="L51">
            <v>5000</v>
          </cell>
        </row>
        <row r="52">
          <cell r="D52">
            <v>56</v>
          </cell>
          <cell r="G52">
            <v>697</v>
          </cell>
          <cell r="H52">
            <v>8</v>
          </cell>
          <cell r="J52">
            <v>2440</v>
          </cell>
          <cell r="K52">
            <v>10</v>
          </cell>
          <cell r="L52">
            <v>5000</v>
          </cell>
        </row>
        <row r="53">
          <cell r="D53">
            <v>62</v>
          </cell>
          <cell r="G53">
            <v>852</v>
          </cell>
          <cell r="H53">
            <v>14</v>
          </cell>
          <cell r="J53">
            <v>3640</v>
          </cell>
          <cell r="K53">
            <v>11</v>
          </cell>
          <cell r="L53">
            <v>5000</v>
          </cell>
        </row>
        <row r="54">
          <cell r="D54">
            <v>63</v>
          </cell>
          <cell r="G54">
            <v>661</v>
          </cell>
          <cell r="H54">
            <v>10</v>
          </cell>
          <cell r="J54">
            <v>2172</v>
          </cell>
          <cell r="K54">
            <v>10</v>
          </cell>
          <cell r="L54">
            <v>5000</v>
          </cell>
        </row>
        <row r="55">
          <cell r="D55">
            <v>68</v>
          </cell>
          <cell r="G55">
            <v>859</v>
          </cell>
          <cell r="H55">
            <v>15</v>
          </cell>
          <cell r="J55">
            <v>3702</v>
          </cell>
          <cell r="K55">
            <v>8</v>
          </cell>
          <cell r="L55">
            <v>5000</v>
          </cell>
        </row>
        <row r="56">
          <cell r="D56">
            <v>65</v>
          </cell>
          <cell r="G56">
            <v>677</v>
          </cell>
          <cell r="H56">
            <v>8</v>
          </cell>
          <cell r="J56">
            <v>2302</v>
          </cell>
          <cell r="K56">
            <v>14</v>
          </cell>
          <cell r="L56">
            <v>5000</v>
          </cell>
        </row>
        <row r="57">
          <cell r="D57">
            <v>62</v>
          </cell>
          <cell r="G57">
            <v>462</v>
          </cell>
          <cell r="H57">
            <v>7</v>
          </cell>
          <cell r="J57">
            <v>1068</v>
          </cell>
          <cell r="K57">
            <v>10</v>
          </cell>
          <cell r="L57">
            <v>5000</v>
          </cell>
        </row>
        <row r="58">
          <cell r="D58">
            <v>61</v>
          </cell>
          <cell r="G58">
            <v>843</v>
          </cell>
          <cell r="H58">
            <v>7</v>
          </cell>
          <cell r="J58">
            <v>3552</v>
          </cell>
          <cell r="K58">
            <v>15</v>
          </cell>
          <cell r="L58">
            <v>5000</v>
          </cell>
        </row>
        <row r="59">
          <cell r="D59">
            <v>48</v>
          </cell>
          <cell r="G59">
            <v>360</v>
          </cell>
          <cell r="H59">
            <v>1</v>
          </cell>
          <cell r="J59">
            <v>642</v>
          </cell>
          <cell r="K59">
            <v>8</v>
          </cell>
          <cell r="L59">
            <v>5000</v>
          </cell>
        </row>
        <row r="60">
          <cell r="D60">
            <v>42</v>
          </cell>
          <cell r="G60">
            <v>680</v>
          </cell>
          <cell r="H60">
            <v>4</v>
          </cell>
          <cell r="J60">
            <v>2298</v>
          </cell>
          <cell r="K60">
            <v>7</v>
          </cell>
          <cell r="L60">
            <v>5000</v>
          </cell>
        </row>
        <row r="61">
          <cell r="D61">
            <v>27</v>
          </cell>
          <cell r="G61">
            <v>766</v>
          </cell>
          <cell r="H61">
            <v>0</v>
          </cell>
          <cell r="J61">
            <v>2946</v>
          </cell>
          <cell r="K61">
            <v>7</v>
          </cell>
          <cell r="L61">
            <v>5000</v>
          </cell>
        </row>
        <row r="62">
          <cell r="D62">
            <v>19</v>
          </cell>
          <cell r="G62">
            <v>760</v>
          </cell>
          <cell r="H62">
            <v>0</v>
          </cell>
          <cell r="J62">
            <v>2894</v>
          </cell>
          <cell r="K62">
            <v>1</v>
          </cell>
          <cell r="L62">
            <v>5000</v>
          </cell>
        </row>
        <row r="63">
          <cell r="D63">
            <v>12</v>
          </cell>
          <cell r="G63">
            <v>791</v>
          </cell>
          <cell r="H63">
            <v>0</v>
          </cell>
          <cell r="J63">
            <v>3132</v>
          </cell>
          <cell r="K63">
            <v>4</v>
          </cell>
          <cell r="L63">
            <v>5000</v>
          </cell>
        </row>
        <row r="64">
          <cell r="D64">
            <v>5</v>
          </cell>
          <cell r="G64">
            <v>792</v>
          </cell>
          <cell r="H64">
            <v>0</v>
          </cell>
          <cell r="J64">
            <v>3134</v>
          </cell>
          <cell r="K64">
            <v>0</v>
          </cell>
          <cell r="L64">
            <v>5000</v>
          </cell>
        </row>
        <row r="65">
          <cell r="D65">
            <v>4</v>
          </cell>
          <cell r="G65">
            <v>994</v>
          </cell>
          <cell r="H65">
            <v>0</v>
          </cell>
          <cell r="J65">
            <v>4932</v>
          </cell>
          <cell r="K65">
            <v>0</v>
          </cell>
          <cell r="L65">
            <v>5000</v>
          </cell>
        </row>
        <row r="66">
          <cell r="D66">
            <v>2</v>
          </cell>
          <cell r="G66">
            <v>998</v>
          </cell>
          <cell r="H66">
            <v>2</v>
          </cell>
          <cell r="J66">
            <v>4976</v>
          </cell>
          <cell r="K66">
            <v>0</v>
          </cell>
          <cell r="L66">
            <v>5000</v>
          </cell>
        </row>
        <row r="67">
          <cell r="D67">
            <v>2</v>
          </cell>
          <cell r="G67">
            <v>998</v>
          </cell>
          <cell r="H67">
            <v>0</v>
          </cell>
          <cell r="J67">
            <v>4982</v>
          </cell>
          <cell r="K67">
            <v>0</v>
          </cell>
          <cell r="L67">
            <v>5000</v>
          </cell>
        </row>
        <row r="68">
          <cell r="D68">
            <v>3</v>
          </cell>
          <cell r="G68">
            <v>999</v>
          </cell>
          <cell r="H68">
            <v>1</v>
          </cell>
          <cell r="J68">
            <v>4990</v>
          </cell>
          <cell r="K68">
            <v>0</v>
          </cell>
          <cell r="L68">
            <v>5000</v>
          </cell>
        </row>
        <row r="69">
          <cell r="D69">
            <v>5</v>
          </cell>
          <cell r="G69">
            <v>997</v>
          </cell>
          <cell r="H69">
            <v>2</v>
          </cell>
          <cell r="J69">
            <v>4972</v>
          </cell>
          <cell r="K69">
            <v>2</v>
          </cell>
          <cell r="L69">
            <v>5000</v>
          </cell>
        </row>
        <row r="70">
          <cell r="D70">
            <v>6</v>
          </cell>
          <cell r="G70">
            <v>783</v>
          </cell>
          <cell r="H70">
            <v>1</v>
          </cell>
          <cell r="J70">
            <v>3056</v>
          </cell>
          <cell r="K70">
            <v>0</v>
          </cell>
          <cell r="L70">
            <v>5000</v>
          </cell>
        </row>
        <row r="71">
          <cell r="D71">
            <v>11</v>
          </cell>
          <cell r="G71">
            <v>996</v>
          </cell>
          <cell r="H71">
            <v>5</v>
          </cell>
          <cell r="J71">
            <v>4962</v>
          </cell>
          <cell r="K71">
            <v>1</v>
          </cell>
          <cell r="L71">
            <v>5000</v>
          </cell>
        </row>
        <row r="72">
          <cell r="D72">
            <v>11</v>
          </cell>
          <cell r="G72">
            <v>794</v>
          </cell>
          <cell r="H72">
            <v>2</v>
          </cell>
          <cell r="J72">
            <v>3152</v>
          </cell>
          <cell r="K72">
            <v>2</v>
          </cell>
          <cell r="L72">
            <v>5000</v>
          </cell>
        </row>
        <row r="73">
          <cell r="D73">
            <v>11</v>
          </cell>
          <cell r="G73">
            <v>788</v>
          </cell>
          <cell r="H73">
            <v>0</v>
          </cell>
          <cell r="J73">
            <v>3102</v>
          </cell>
          <cell r="K73">
            <v>1</v>
          </cell>
          <cell r="L73">
            <v>5000</v>
          </cell>
        </row>
        <row r="74">
          <cell r="D74">
            <v>12</v>
          </cell>
          <cell r="G74">
            <v>808</v>
          </cell>
          <cell r="H74">
            <v>2</v>
          </cell>
          <cell r="J74">
            <v>3268</v>
          </cell>
          <cell r="K74">
            <v>5</v>
          </cell>
          <cell r="L74">
            <v>5000</v>
          </cell>
        </row>
        <row r="75">
          <cell r="D75">
            <v>10</v>
          </cell>
          <cell r="G75">
            <v>537</v>
          </cell>
          <cell r="H75">
            <v>0</v>
          </cell>
          <cell r="J75">
            <v>1438</v>
          </cell>
          <cell r="K75">
            <v>2</v>
          </cell>
          <cell r="L75">
            <v>5000</v>
          </cell>
        </row>
        <row r="76">
          <cell r="D76">
            <v>11</v>
          </cell>
          <cell r="G76">
            <v>782</v>
          </cell>
          <cell r="H76">
            <v>2</v>
          </cell>
          <cell r="J76">
            <v>3064</v>
          </cell>
          <cell r="K76">
            <v>0</v>
          </cell>
          <cell r="L76">
            <v>5000</v>
          </cell>
        </row>
        <row r="77">
          <cell r="D77">
            <v>14</v>
          </cell>
          <cell r="G77">
            <v>995</v>
          </cell>
          <cell r="H77">
            <v>8</v>
          </cell>
          <cell r="J77">
            <v>4948</v>
          </cell>
          <cell r="K77">
            <v>2</v>
          </cell>
          <cell r="L77">
            <v>5000</v>
          </cell>
        </row>
        <row r="78">
          <cell r="D78">
            <v>15</v>
          </cell>
          <cell r="G78">
            <v>788</v>
          </cell>
          <cell r="H78">
            <v>3</v>
          </cell>
          <cell r="J78">
            <v>3104</v>
          </cell>
          <cell r="K78">
            <v>0</v>
          </cell>
          <cell r="L78">
            <v>5000</v>
          </cell>
        </row>
        <row r="79">
          <cell r="D79">
            <v>29</v>
          </cell>
          <cell r="G79">
            <v>998</v>
          </cell>
          <cell r="H79">
            <v>14</v>
          </cell>
          <cell r="J79">
            <v>4974</v>
          </cell>
          <cell r="K79">
            <v>2</v>
          </cell>
          <cell r="L79">
            <v>5000</v>
          </cell>
        </row>
        <row r="80">
          <cell r="D80">
            <v>33</v>
          </cell>
          <cell r="G80">
            <v>776</v>
          </cell>
          <cell r="H80">
            <v>6</v>
          </cell>
          <cell r="J80">
            <v>3002</v>
          </cell>
          <cell r="K80">
            <v>8</v>
          </cell>
          <cell r="L80">
            <v>5000</v>
          </cell>
        </row>
        <row r="81">
          <cell r="D81">
            <v>34</v>
          </cell>
          <cell r="G81">
            <v>709</v>
          </cell>
          <cell r="H81">
            <v>1</v>
          </cell>
          <cell r="J81">
            <v>2494</v>
          </cell>
          <cell r="K81">
            <v>3</v>
          </cell>
          <cell r="L81">
            <v>5000</v>
          </cell>
        </row>
        <row r="82">
          <cell r="D82">
            <v>36</v>
          </cell>
          <cell r="G82">
            <v>761</v>
          </cell>
          <cell r="H82">
            <v>4</v>
          </cell>
          <cell r="J82">
            <v>2882</v>
          </cell>
          <cell r="K82">
            <v>14</v>
          </cell>
          <cell r="L82">
            <v>5000</v>
          </cell>
        </row>
        <row r="83">
          <cell r="D83">
            <v>29</v>
          </cell>
          <cell r="G83">
            <v>466</v>
          </cell>
          <cell r="H83">
            <v>1</v>
          </cell>
          <cell r="J83">
            <v>1094</v>
          </cell>
          <cell r="K83">
            <v>6</v>
          </cell>
          <cell r="L83">
            <v>5000</v>
          </cell>
        </row>
        <row r="84">
          <cell r="D84">
            <v>27</v>
          </cell>
          <cell r="G84">
            <v>729</v>
          </cell>
          <cell r="H84">
            <v>1</v>
          </cell>
          <cell r="J84">
            <v>2644</v>
          </cell>
          <cell r="K84">
            <v>1</v>
          </cell>
          <cell r="L84">
            <v>5000</v>
          </cell>
        </row>
        <row r="85">
          <cell r="D85">
            <v>13</v>
          </cell>
          <cell r="G85">
            <v>787</v>
          </cell>
          <cell r="H85">
            <v>0</v>
          </cell>
          <cell r="J85">
            <v>3092</v>
          </cell>
          <cell r="K85">
            <v>4</v>
          </cell>
          <cell r="L85">
            <v>5000</v>
          </cell>
        </row>
        <row r="86">
          <cell r="D86">
            <v>8</v>
          </cell>
          <cell r="G86">
            <v>791</v>
          </cell>
          <cell r="H86">
            <v>1</v>
          </cell>
          <cell r="J86">
            <v>3136</v>
          </cell>
          <cell r="K86">
            <v>1</v>
          </cell>
          <cell r="L86">
            <v>5000</v>
          </cell>
        </row>
        <row r="87">
          <cell r="D87">
            <v>8</v>
          </cell>
          <cell r="G87">
            <v>801</v>
          </cell>
          <cell r="H87">
            <v>1</v>
          </cell>
          <cell r="J87">
            <v>3208</v>
          </cell>
          <cell r="K87">
            <v>1</v>
          </cell>
          <cell r="L87">
            <v>5000</v>
          </cell>
        </row>
        <row r="88">
          <cell r="D88">
            <v>4</v>
          </cell>
          <cell r="G88">
            <v>799</v>
          </cell>
          <cell r="H88">
            <v>0</v>
          </cell>
          <cell r="J88">
            <v>3192</v>
          </cell>
          <cell r="K88">
            <v>0</v>
          </cell>
          <cell r="L88">
            <v>5000</v>
          </cell>
        </row>
        <row r="89">
          <cell r="D89">
            <v>5</v>
          </cell>
          <cell r="G89">
            <v>997</v>
          </cell>
          <cell r="H89">
            <v>2</v>
          </cell>
          <cell r="J89">
            <v>4966</v>
          </cell>
          <cell r="K89">
            <v>1</v>
          </cell>
          <cell r="L89">
            <v>5000</v>
          </cell>
        </row>
        <row r="90">
          <cell r="D90">
            <v>5</v>
          </cell>
          <cell r="G90">
            <v>807</v>
          </cell>
          <cell r="H90">
            <v>1</v>
          </cell>
          <cell r="J90">
            <v>3266</v>
          </cell>
          <cell r="K90">
            <v>1</v>
          </cell>
          <cell r="L90">
            <v>5000</v>
          </cell>
        </row>
        <row r="91">
          <cell r="D91">
            <v>5</v>
          </cell>
          <cell r="G91">
            <v>807</v>
          </cell>
          <cell r="H91">
            <v>0</v>
          </cell>
          <cell r="J91">
            <v>3256</v>
          </cell>
          <cell r="K91">
            <v>0</v>
          </cell>
          <cell r="L91">
            <v>5000</v>
          </cell>
        </row>
        <row r="92">
          <cell r="D92">
            <v>12</v>
          </cell>
          <cell r="G92">
            <v>996</v>
          </cell>
          <cell r="H92">
            <v>8</v>
          </cell>
          <cell r="J92">
            <v>4952</v>
          </cell>
          <cell r="K92">
            <v>2</v>
          </cell>
          <cell r="L92">
            <v>5000</v>
          </cell>
        </row>
        <row r="93">
          <cell r="D93">
            <v>12</v>
          </cell>
          <cell r="G93">
            <v>792</v>
          </cell>
          <cell r="H93">
            <v>1</v>
          </cell>
          <cell r="J93">
            <v>3130</v>
          </cell>
          <cell r="K93">
            <v>1</v>
          </cell>
          <cell r="L93">
            <v>5000</v>
          </cell>
        </row>
        <row r="94">
          <cell r="D94">
            <v>14</v>
          </cell>
          <cell r="G94">
            <v>809</v>
          </cell>
          <cell r="H94">
            <v>2</v>
          </cell>
          <cell r="J94">
            <v>3272</v>
          </cell>
          <cell r="K94">
            <v>0</v>
          </cell>
          <cell r="L94">
            <v>5000</v>
          </cell>
        </row>
        <row r="95">
          <cell r="D95">
            <v>19</v>
          </cell>
          <cell r="G95">
            <v>996</v>
          </cell>
          <cell r="H95">
            <v>7</v>
          </cell>
          <cell r="J95">
            <v>4960</v>
          </cell>
          <cell r="K95">
            <v>8</v>
          </cell>
          <cell r="L95">
            <v>5000</v>
          </cell>
        </row>
        <row r="96">
          <cell r="D96">
            <v>22</v>
          </cell>
          <cell r="G96">
            <v>695</v>
          </cell>
          <cell r="H96">
            <v>4</v>
          </cell>
          <cell r="J96">
            <v>2420</v>
          </cell>
          <cell r="K96">
            <v>1</v>
          </cell>
          <cell r="L96">
            <v>5000</v>
          </cell>
        </row>
        <row r="97">
          <cell r="D97">
            <v>24</v>
          </cell>
          <cell r="G97">
            <v>814</v>
          </cell>
          <cell r="H97">
            <v>2</v>
          </cell>
          <cell r="J97">
            <v>3292</v>
          </cell>
          <cell r="K97">
            <v>2</v>
          </cell>
          <cell r="L97">
            <v>5000</v>
          </cell>
        </row>
        <row r="98">
          <cell r="D98">
            <v>17</v>
          </cell>
          <cell r="G98">
            <v>785</v>
          </cell>
          <cell r="H98">
            <v>1</v>
          </cell>
          <cell r="J98">
            <v>3074</v>
          </cell>
          <cell r="K98">
            <v>7</v>
          </cell>
          <cell r="L98">
            <v>5000</v>
          </cell>
        </row>
        <row r="99">
          <cell r="D99">
            <v>20</v>
          </cell>
          <cell r="G99">
            <v>774</v>
          </cell>
          <cell r="H99">
            <v>4</v>
          </cell>
          <cell r="J99">
            <v>2988</v>
          </cell>
          <cell r="K99">
            <v>4</v>
          </cell>
          <cell r="L99">
            <v>5000</v>
          </cell>
        </row>
        <row r="100">
          <cell r="D100">
            <v>19</v>
          </cell>
          <cell r="G100">
            <v>796</v>
          </cell>
          <cell r="H100">
            <v>1</v>
          </cell>
          <cell r="J100">
            <v>3168</v>
          </cell>
          <cell r="K100">
            <v>2</v>
          </cell>
          <cell r="L100">
            <v>5000</v>
          </cell>
        </row>
        <row r="101">
          <cell r="D101">
            <v>14</v>
          </cell>
          <cell r="G101">
            <v>783</v>
          </cell>
          <cell r="H101">
            <v>2</v>
          </cell>
          <cell r="J101">
            <v>3064</v>
          </cell>
          <cell r="K101">
            <v>1</v>
          </cell>
          <cell r="L101">
            <v>5000</v>
          </cell>
        </row>
        <row r="102">
          <cell r="D102">
            <v>11</v>
          </cell>
          <cell r="G102">
            <v>802</v>
          </cell>
          <cell r="H102">
            <v>1</v>
          </cell>
          <cell r="J102">
            <v>3216</v>
          </cell>
          <cell r="K102">
            <v>4</v>
          </cell>
          <cell r="L102">
            <v>5000</v>
          </cell>
        </row>
        <row r="103">
          <cell r="D103">
            <v>9</v>
          </cell>
          <cell r="G103">
            <v>787</v>
          </cell>
          <cell r="H103">
            <v>0</v>
          </cell>
          <cell r="J103">
            <v>3110</v>
          </cell>
          <cell r="K103">
            <v>1</v>
          </cell>
          <cell r="L103">
            <v>5000</v>
          </cell>
        </row>
        <row r="104">
          <cell r="D104">
            <v>8</v>
          </cell>
          <cell r="G104">
            <v>801</v>
          </cell>
          <cell r="H104">
            <v>0</v>
          </cell>
          <cell r="J104">
            <v>3208</v>
          </cell>
          <cell r="K104">
            <v>2</v>
          </cell>
          <cell r="L104">
            <v>5000</v>
          </cell>
        </row>
        <row r="105">
          <cell r="D105">
            <v>4</v>
          </cell>
          <cell r="G105">
            <v>786</v>
          </cell>
          <cell r="H105">
            <v>0</v>
          </cell>
          <cell r="J105">
            <v>3088</v>
          </cell>
          <cell r="K105">
            <v>1</v>
          </cell>
          <cell r="L105">
            <v>5000</v>
          </cell>
        </row>
        <row r="106">
          <cell r="D106">
            <v>3</v>
          </cell>
          <cell r="G106">
            <v>805</v>
          </cell>
          <cell r="H106">
            <v>0</v>
          </cell>
          <cell r="J106">
            <v>3234</v>
          </cell>
          <cell r="K106">
            <v>0</v>
          </cell>
          <cell r="L106">
            <v>5000</v>
          </cell>
        </row>
        <row r="107">
          <cell r="D107">
            <v>3</v>
          </cell>
          <cell r="G107">
            <v>997</v>
          </cell>
          <cell r="H107">
            <v>2</v>
          </cell>
          <cell r="J107">
            <v>4966</v>
          </cell>
          <cell r="K107">
            <v>0</v>
          </cell>
          <cell r="L107">
            <v>5000</v>
          </cell>
        </row>
        <row r="108">
          <cell r="D108">
            <v>3</v>
          </cell>
          <cell r="G108">
            <v>999</v>
          </cell>
          <cell r="H108">
            <v>1</v>
          </cell>
          <cell r="J108">
            <v>4986</v>
          </cell>
          <cell r="K108">
            <v>0</v>
          </cell>
          <cell r="L108">
            <v>5000</v>
          </cell>
        </row>
        <row r="109">
          <cell r="D109">
            <v>4</v>
          </cell>
          <cell r="G109">
            <v>1000</v>
          </cell>
          <cell r="H109">
            <v>1</v>
          </cell>
          <cell r="J109">
            <v>4998</v>
          </cell>
          <cell r="K109">
            <v>0</v>
          </cell>
          <cell r="L109">
            <v>5000</v>
          </cell>
        </row>
        <row r="110">
          <cell r="D110">
            <v>5</v>
          </cell>
          <cell r="G110">
            <v>998</v>
          </cell>
          <cell r="H110">
            <v>1</v>
          </cell>
          <cell r="J110">
            <v>4974</v>
          </cell>
          <cell r="K110">
            <v>2</v>
          </cell>
          <cell r="L110">
            <v>5000</v>
          </cell>
        </row>
        <row r="111">
          <cell r="D111">
            <v>6</v>
          </cell>
          <cell r="G111">
            <v>789</v>
          </cell>
          <cell r="H111">
            <v>1</v>
          </cell>
          <cell r="J111">
            <v>3110</v>
          </cell>
          <cell r="K111">
            <v>1</v>
          </cell>
          <cell r="L111">
            <v>5000</v>
          </cell>
        </row>
        <row r="112">
          <cell r="D112">
            <v>6</v>
          </cell>
          <cell r="G112">
            <v>811</v>
          </cell>
          <cell r="H112">
            <v>0</v>
          </cell>
          <cell r="J112">
            <v>3278</v>
          </cell>
          <cell r="K112">
            <v>1</v>
          </cell>
          <cell r="L112">
            <v>5000</v>
          </cell>
        </row>
        <row r="113">
          <cell r="D113">
            <v>4</v>
          </cell>
          <cell r="G113">
            <v>807</v>
          </cell>
          <cell r="H113">
            <v>0</v>
          </cell>
          <cell r="J113">
            <v>3260</v>
          </cell>
          <cell r="K113">
            <v>1</v>
          </cell>
          <cell r="L113">
            <v>5000</v>
          </cell>
        </row>
        <row r="114">
          <cell r="D114">
            <v>3</v>
          </cell>
          <cell r="G114">
            <v>799</v>
          </cell>
          <cell r="H114">
            <v>0</v>
          </cell>
          <cell r="J114">
            <v>3190</v>
          </cell>
          <cell r="K114">
            <v>1</v>
          </cell>
          <cell r="L114">
            <v>5000</v>
          </cell>
        </row>
        <row r="115">
          <cell r="D115">
            <v>2</v>
          </cell>
          <cell r="G115">
            <v>803</v>
          </cell>
          <cell r="H115">
            <v>0</v>
          </cell>
          <cell r="J115">
            <v>3224</v>
          </cell>
          <cell r="K115">
            <v>0</v>
          </cell>
          <cell r="L115">
            <v>5000</v>
          </cell>
        </row>
        <row r="116">
          <cell r="D116">
            <v>1</v>
          </cell>
          <cell r="G116">
            <v>997</v>
          </cell>
          <cell r="H116">
            <v>0</v>
          </cell>
          <cell r="J116">
            <v>4966</v>
          </cell>
          <cell r="K116">
            <v>0</v>
          </cell>
          <cell r="L116">
            <v>5000</v>
          </cell>
        </row>
        <row r="117">
          <cell r="D117">
            <v>0</v>
          </cell>
          <cell r="G117">
            <v>999</v>
          </cell>
          <cell r="H117">
            <v>0</v>
          </cell>
          <cell r="J117">
            <v>4990</v>
          </cell>
          <cell r="K117">
            <v>0</v>
          </cell>
          <cell r="L117">
            <v>5000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BM_R03_SudipaAPI-data"/>
    </sheetNames>
    <sheetDataSet>
      <sheetData sheetId="0" refreshError="1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5</v>
          </cell>
          <cell r="G3">
            <v>996</v>
          </cell>
          <cell r="H3">
            <v>3</v>
          </cell>
          <cell r="J3">
            <v>4964</v>
          </cell>
          <cell r="K3">
            <v>0</v>
          </cell>
          <cell r="L3">
            <v>5000</v>
          </cell>
        </row>
        <row r="4">
          <cell r="D4">
            <v>7</v>
          </cell>
          <cell r="G4">
            <v>997</v>
          </cell>
          <cell r="H4">
            <v>2</v>
          </cell>
          <cell r="J4">
            <v>4974</v>
          </cell>
          <cell r="K4">
            <v>0</v>
          </cell>
          <cell r="L4">
            <v>5000</v>
          </cell>
        </row>
        <row r="5">
          <cell r="D5">
            <v>12</v>
          </cell>
          <cell r="G5">
            <v>995</v>
          </cell>
          <cell r="H5">
            <v>5</v>
          </cell>
          <cell r="J5">
            <v>4954</v>
          </cell>
          <cell r="K5">
            <v>2</v>
          </cell>
          <cell r="L5">
            <v>5000</v>
          </cell>
        </row>
        <row r="6">
          <cell r="D6">
            <v>13</v>
          </cell>
          <cell r="G6">
            <v>783</v>
          </cell>
          <cell r="H6">
            <v>1</v>
          </cell>
          <cell r="J6">
            <v>3064</v>
          </cell>
          <cell r="K6">
            <v>3</v>
          </cell>
          <cell r="L6">
            <v>5000</v>
          </cell>
        </row>
        <row r="7">
          <cell r="D7">
            <v>17</v>
          </cell>
          <cell r="G7">
            <v>772</v>
          </cell>
          <cell r="H7">
            <v>4</v>
          </cell>
          <cell r="J7">
            <v>2986</v>
          </cell>
          <cell r="K7">
            <v>2</v>
          </cell>
          <cell r="L7">
            <v>5000</v>
          </cell>
        </row>
        <row r="8">
          <cell r="D8">
            <v>18</v>
          </cell>
          <cell r="G8">
            <v>778</v>
          </cell>
          <cell r="H8">
            <v>3</v>
          </cell>
          <cell r="J8">
            <v>3046</v>
          </cell>
          <cell r="K8">
            <v>5</v>
          </cell>
          <cell r="L8">
            <v>5000</v>
          </cell>
        </row>
        <row r="9">
          <cell r="D9">
            <v>18</v>
          </cell>
          <cell r="G9">
            <v>571</v>
          </cell>
          <cell r="H9">
            <v>3</v>
          </cell>
          <cell r="J9">
            <v>1626</v>
          </cell>
          <cell r="K9">
            <v>1</v>
          </cell>
          <cell r="L9">
            <v>5000</v>
          </cell>
        </row>
        <row r="10">
          <cell r="D10">
            <v>19</v>
          </cell>
          <cell r="G10">
            <v>788</v>
          </cell>
          <cell r="H10">
            <v>3</v>
          </cell>
          <cell r="J10">
            <v>3102</v>
          </cell>
          <cell r="K10">
            <v>4</v>
          </cell>
          <cell r="L10">
            <v>5000</v>
          </cell>
        </row>
        <row r="11">
          <cell r="D11">
            <v>16</v>
          </cell>
          <cell r="G11">
            <v>804</v>
          </cell>
          <cell r="H11">
            <v>2</v>
          </cell>
          <cell r="J11">
            <v>3230</v>
          </cell>
          <cell r="K11">
            <v>3</v>
          </cell>
          <cell r="L11">
            <v>5000</v>
          </cell>
        </row>
        <row r="12">
          <cell r="D12">
            <v>21</v>
          </cell>
          <cell r="G12">
            <v>757</v>
          </cell>
          <cell r="H12">
            <v>6</v>
          </cell>
          <cell r="J12">
            <v>2856</v>
          </cell>
          <cell r="K12">
            <v>3</v>
          </cell>
          <cell r="L12">
            <v>5000</v>
          </cell>
        </row>
        <row r="13">
          <cell r="D13">
            <v>22</v>
          </cell>
          <cell r="G13">
            <v>756</v>
          </cell>
          <cell r="H13">
            <v>5</v>
          </cell>
          <cell r="J13">
            <v>2838</v>
          </cell>
          <cell r="K13">
            <v>3</v>
          </cell>
          <cell r="L13">
            <v>5000</v>
          </cell>
        </row>
        <row r="14">
          <cell r="D14">
            <v>34</v>
          </cell>
          <cell r="G14">
            <v>763</v>
          </cell>
          <cell r="H14">
            <v>15</v>
          </cell>
          <cell r="J14">
            <v>2900</v>
          </cell>
          <cell r="K14">
            <v>2</v>
          </cell>
          <cell r="L14">
            <v>5000</v>
          </cell>
        </row>
        <row r="15">
          <cell r="D15">
            <v>44</v>
          </cell>
          <cell r="G15">
            <v>775</v>
          </cell>
          <cell r="H15">
            <v>13</v>
          </cell>
          <cell r="J15">
            <v>3000</v>
          </cell>
          <cell r="K15">
            <v>6</v>
          </cell>
          <cell r="L15">
            <v>5000</v>
          </cell>
        </row>
        <row r="16">
          <cell r="D16">
            <v>65</v>
          </cell>
          <cell r="G16">
            <v>749</v>
          </cell>
          <cell r="H16">
            <v>24</v>
          </cell>
          <cell r="J16">
            <v>2818</v>
          </cell>
          <cell r="K16">
            <v>5</v>
          </cell>
          <cell r="L16">
            <v>5000</v>
          </cell>
        </row>
        <row r="17">
          <cell r="D17">
            <v>75</v>
          </cell>
          <cell r="G17">
            <v>553</v>
          </cell>
          <cell r="H17">
            <v>12</v>
          </cell>
          <cell r="J17">
            <v>1528</v>
          </cell>
          <cell r="K17">
            <v>15</v>
          </cell>
          <cell r="L17">
            <v>5000</v>
          </cell>
        </row>
        <row r="18">
          <cell r="D18">
            <v>73</v>
          </cell>
          <cell r="G18">
            <v>357</v>
          </cell>
          <cell r="H18">
            <v>4</v>
          </cell>
          <cell r="J18">
            <v>644</v>
          </cell>
          <cell r="K18">
            <v>13</v>
          </cell>
          <cell r="L18">
            <v>5000</v>
          </cell>
        </row>
        <row r="19">
          <cell r="D19">
            <v>74</v>
          </cell>
          <cell r="G19">
            <v>436</v>
          </cell>
          <cell r="H19">
            <v>6</v>
          </cell>
          <cell r="J19">
            <v>950</v>
          </cell>
          <cell r="K19">
            <v>24</v>
          </cell>
          <cell r="L19">
            <v>5000</v>
          </cell>
        </row>
        <row r="20">
          <cell r="D20">
            <v>59</v>
          </cell>
          <cell r="G20">
            <v>213</v>
          </cell>
          <cell r="H20">
            <v>0</v>
          </cell>
          <cell r="J20">
            <v>230</v>
          </cell>
          <cell r="K20">
            <v>12</v>
          </cell>
          <cell r="L20">
            <v>5000</v>
          </cell>
        </row>
        <row r="21">
          <cell r="D21">
            <v>48</v>
          </cell>
          <cell r="G21">
            <v>565</v>
          </cell>
          <cell r="H21">
            <v>2</v>
          </cell>
          <cell r="J21">
            <v>1598</v>
          </cell>
          <cell r="K21">
            <v>4</v>
          </cell>
          <cell r="L21">
            <v>5000</v>
          </cell>
        </row>
        <row r="22">
          <cell r="D22">
            <v>26</v>
          </cell>
          <cell r="G22">
            <v>767</v>
          </cell>
          <cell r="H22">
            <v>2</v>
          </cell>
          <cell r="J22">
            <v>2954</v>
          </cell>
          <cell r="K22">
            <v>6</v>
          </cell>
          <cell r="L22">
            <v>5000</v>
          </cell>
        </row>
        <row r="23">
          <cell r="D23">
            <v>14</v>
          </cell>
          <cell r="G23">
            <v>740</v>
          </cell>
          <cell r="H23">
            <v>0</v>
          </cell>
          <cell r="J23">
            <v>2744</v>
          </cell>
          <cell r="K23">
            <v>0</v>
          </cell>
          <cell r="L23">
            <v>5000</v>
          </cell>
        </row>
        <row r="24">
          <cell r="D24">
            <v>19</v>
          </cell>
          <cell r="G24">
            <v>990</v>
          </cell>
          <cell r="H24">
            <v>9</v>
          </cell>
          <cell r="J24">
            <v>4910</v>
          </cell>
          <cell r="K24">
            <v>2</v>
          </cell>
          <cell r="L24">
            <v>5000</v>
          </cell>
        </row>
        <row r="25">
          <cell r="D25">
            <v>19</v>
          </cell>
          <cell r="G25">
            <v>781</v>
          </cell>
          <cell r="H25">
            <v>6</v>
          </cell>
          <cell r="J25">
            <v>3052</v>
          </cell>
          <cell r="K25">
            <v>2</v>
          </cell>
          <cell r="L25">
            <v>5000</v>
          </cell>
        </row>
        <row r="26">
          <cell r="D26">
            <v>28</v>
          </cell>
          <cell r="G26">
            <v>791</v>
          </cell>
          <cell r="H26">
            <v>9</v>
          </cell>
          <cell r="J26">
            <v>3126</v>
          </cell>
          <cell r="K26">
            <v>0</v>
          </cell>
          <cell r="L26">
            <v>5000</v>
          </cell>
        </row>
        <row r="27">
          <cell r="D27">
            <v>47</v>
          </cell>
          <cell r="G27">
            <v>994</v>
          </cell>
          <cell r="H27">
            <v>21</v>
          </cell>
          <cell r="J27">
            <v>4948</v>
          </cell>
          <cell r="K27">
            <v>9</v>
          </cell>
          <cell r="L27">
            <v>5000</v>
          </cell>
        </row>
        <row r="28">
          <cell r="D28">
            <v>54</v>
          </cell>
          <cell r="G28">
            <v>717</v>
          </cell>
          <cell r="H28">
            <v>9</v>
          </cell>
          <cell r="J28">
            <v>2578</v>
          </cell>
          <cell r="K28">
            <v>6</v>
          </cell>
          <cell r="L28">
            <v>5000</v>
          </cell>
        </row>
        <row r="29">
          <cell r="D29">
            <v>69</v>
          </cell>
          <cell r="G29">
            <v>729</v>
          </cell>
          <cell r="H29">
            <v>15</v>
          </cell>
          <cell r="J29">
            <v>2654</v>
          </cell>
          <cell r="K29">
            <v>9</v>
          </cell>
          <cell r="L29">
            <v>5000</v>
          </cell>
        </row>
        <row r="30">
          <cell r="D30">
            <v>75</v>
          </cell>
          <cell r="G30">
            <v>698</v>
          </cell>
          <cell r="H30">
            <v>15</v>
          </cell>
          <cell r="J30">
            <v>2442</v>
          </cell>
          <cell r="K30">
            <v>21</v>
          </cell>
          <cell r="L30">
            <v>5000</v>
          </cell>
        </row>
        <row r="31">
          <cell r="D31">
            <v>74</v>
          </cell>
          <cell r="G31">
            <v>415</v>
          </cell>
          <cell r="H31">
            <v>5</v>
          </cell>
          <cell r="J31">
            <v>864</v>
          </cell>
          <cell r="K31">
            <v>9</v>
          </cell>
          <cell r="L31">
            <v>5000</v>
          </cell>
        </row>
        <row r="32">
          <cell r="D32">
            <v>71</v>
          </cell>
          <cell r="G32">
            <v>698</v>
          </cell>
          <cell r="H32">
            <v>6</v>
          </cell>
          <cell r="J32">
            <v>2468</v>
          </cell>
          <cell r="K32">
            <v>15</v>
          </cell>
          <cell r="L32">
            <v>5000</v>
          </cell>
        </row>
        <row r="33">
          <cell r="D33">
            <v>52</v>
          </cell>
          <cell r="G33">
            <v>353</v>
          </cell>
          <cell r="H33">
            <v>2</v>
          </cell>
          <cell r="J33">
            <v>624</v>
          </cell>
          <cell r="K33">
            <v>15</v>
          </cell>
          <cell r="L33">
            <v>5000</v>
          </cell>
        </row>
        <row r="34">
          <cell r="D34">
            <v>43</v>
          </cell>
          <cell r="G34">
            <v>354</v>
          </cell>
          <cell r="H34">
            <v>0</v>
          </cell>
          <cell r="J34">
            <v>618</v>
          </cell>
          <cell r="K34">
            <v>5</v>
          </cell>
          <cell r="L34">
            <v>5000</v>
          </cell>
        </row>
        <row r="35">
          <cell r="D35">
            <v>28</v>
          </cell>
          <cell r="G35">
            <v>546</v>
          </cell>
          <cell r="H35">
            <v>0</v>
          </cell>
          <cell r="J35">
            <v>1482</v>
          </cell>
          <cell r="K35">
            <v>6</v>
          </cell>
          <cell r="L35">
            <v>5000</v>
          </cell>
        </row>
        <row r="36">
          <cell r="D36">
            <v>13</v>
          </cell>
          <cell r="G36">
            <v>722</v>
          </cell>
          <cell r="H36">
            <v>0</v>
          </cell>
          <cell r="J36">
            <v>2604</v>
          </cell>
          <cell r="K36">
            <v>2</v>
          </cell>
          <cell r="L36">
            <v>5000</v>
          </cell>
        </row>
        <row r="37">
          <cell r="D37">
            <v>8</v>
          </cell>
          <cell r="G37">
            <v>766</v>
          </cell>
          <cell r="H37">
            <v>0</v>
          </cell>
          <cell r="J37">
            <v>2932</v>
          </cell>
          <cell r="K37">
            <v>0</v>
          </cell>
          <cell r="L37">
            <v>5000</v>
          </cell>
        </row>
        <row r="38">
          <cell r="D38">
            <v>4</v>
          </cell>
          <cell r="G38">
            <v>994</v>
          </cell>
          <cell r="H38">
            <v>2</v>
          </cell>
          <cell r="J38">
            <v>4946</v>
          </cell>
          <cell r="K38">
            <v>0</v>
          </cell>
          <cell r="L38">
            <v>5000</v>
          </cell>
        </row>
        <row r="39">
          <cell r="D39">
            <v>3</v>
          </cell>
          <cell r="G39">
            <v>996</v>
          </cell>
          <cell r="H39">
            <v>1</v>
          </cell>
          <cell r="J39">
            <v>4958</v>
          </cell>
          <cell r="K39">
            <v>0</v>
          </cell>
          <cell r="L39">
            <v>5000</v>
          </cell>
        </row>
        <row r="40">
          <cell r="D40">
            <v>3</v>
          </cell>
          <cell r="G40">
            <v>997</v>
          </cell>
          <cell r="H40">
            <v>0</v>
          </cell>
          <cell r="J40">
            <v>4966</v>
          </cell>
          <cell r="K40">
            <v>0</v>
          </cell>
          <cell r="L40">
            <v>5000</v>
          </cell>
        </row>
        <row r="41">
          <cell r="D41">
            <v>3</v>
          </cell>
          <cell r="G41">
            <v>995</v>
          </cell>
          <cell r="H41">
            <v>0</v>
          </cell>
          <cell r="J41">
            <v>4950</v>
          </cell>
          <cell r="K41">
            <v>2</v>
          </cell>
          <cell r="L41">
            <v>5000</v>
          </cell>
        </row>
        <row r="42">
          <cell r="D42">
            <v>3</v>
          </cell>
          <cell r="G42">
            <v>788</v>
          </cell>
          <cell r="H42">
            <v>0</v>
          </cell>
          <cell r="J42">
            <v>3106</v>
          </cell>
          <cell r="K42">
            <v>1</v>
          </cell>
          <cell r="L42">
            <v>5000</v>
          </cell>
        </row>
        <row r="43">
          <cell r="D43">
            <v>3</v>
          </cell>
          <cell r="G43">
            <v>780</v>
          </cell>
          <cell r="H43">
            <v>0</v>
          </cell>
          <cell r="J43">
            <v>3050</v>
          </cell>
          <cell r="K43">
            <v>0</v>
          </cell>
          <cell r="L43">
            <v>5000</v>
          </cell>
        </row>
        <row r="44">
          <cell r="D44">
            <v>5</v>
          </cell>
          <cell r="G44">
            <v>995</v>
          </cell>
          <cell r="H44">
            <v>4</v>
          </cell>
          <cell r="J44">
            <v>4948</v>
          </cell>
          <cell r="K44">
            <v>0</v>
          </cell>
          <cell r="L44">
            <v>5000</v>
          </cell>
        </row>
        <row r="45">
          <cell r="D45">
            <v>11</v>
          </cell>
          <cell r="G45">
            <v>998</v>
          </cell>
          <cell r="H45">
            <v>7</v>
          </cell>
          <cell r="J45">
            <v>4980</v>
          </cell>
          <cell r="K45">
            <v>0</v>
          </cell>
          <cell r="L45">
            <v>5000</v>
          </cell>
        </row>
        <row r="46">
          <cell r="D46">
            <v>19</v>
          </cell>
          <cell r="G46">
            <v>995</v>
          </cell>
          <cell r="H46">
            <v>8</v>
          </cell>
          <cell r="J46">
            <v>4948</v>
          </cell>
          <cell r="K46">
            <v>0</v>
          </cell>
          <cell r="L46">
            <v>5000</v>
          </cell>
        </row>
        <row r="47">
          <cell r="D47">
            <v>36</v>
          </cell>
          <cell r="G47">
            <v>994</v>
          </cell>
          <cell r="H47">
            <v>17</v>
          </cell>
          <cell r="J47">
            <v>4942</v>
          </cell>
          <cell r="K47">
            <v>4</v>
          </cell>
          <cell r="L47">
            <v>5000</v>
          </cell>
        </row>
        <row r="48">
          <cell r="D48">
            <v>49</v>
          </cell>
          <cell r="G48">
            <v>808</v>
          </cell>
          <cell r="H48">
            <v>13</v>
          </cell>
          <cell r="J48">
            <v>3266</v>
          </cell>
          <cell r="K48">
            <v>7</v>
          </cell>
          <cell r="L48">
            <v>5000</v>
          </cell>
        </row>
        <row r="49">
          <cell r="D49">
            <v>66</v>
          </cell>
          <cell r="G49">
            <v>770</v>
          </cell>
          <cell r="H49">
            <v>17</v>
          </cell>
          <cell r="J49">
            <v>2968</v>
          </cell>
          <cell r="K49">
            <v>8</v>
          </cell>
          <cell r="L49">
            <v>5000</v>
          </cell>
        </row>
        <row r="50">
          <cell r="D50">
            <v>74</v>
          </cell>
          <cell r="G50">
            <v>691</v>
          </cell>
          <cell r="H50">
            <v>12</v>
          </cell>
          <cell r="J50">
            <v>2398</v>
          </cell>
          <cell r="K50">
            <v>17</v>
          </cell>
          <cell r="L50">
            <v>5000</v>
          </cell>
        </row>
        <row r="51">
          <cell r="D51">
            <v>70</v>
          </cell>
          <cell r="G51">
            <v>445</v>
          </cell>
          <cell r="H51">
            <v>3</v>
          </cell>
          <cell r="J51">
            <v>998</v>
          </cell>
          <cell r="K51">
            <v>13</v>
          </cell>
          <cell r="L51">
            <v>5000</v>
          </cell>
        </row>
        <row r="52">
          <cell r="D52">
            <v>68</v>
          </cell>
          <cell r="G52">
            <v>440</v>
          </cell>
          <cell r="H52">
            <v>6</v>
          </cell>
          <cell r="J52">
            <v>982</v>
          </cell>
          <cell r="K52">
            <v>17</v>
          </cell>
          <cell r="L52">
            <v>5000</v>
          </cell>
        </row>
        <row r="53">
          <cell r="D53">
            <v>54</v>
          </cell>
          <cell r="G53">
            <v>432</v>
          </cell>
          <cell r="H53">
            <v>3</v>
          </cell>
          <cell r="J53">
            <v>928</v>
          </cell>
          <cell r="K53">
            <v>12</v>
          </cell>
          <cell r="L53">
            <v>5000</v>
          </cell>
        </row>
        <row r="54">
          <cell r="D54">
            <v>43</v>
          </cell>
          <cell r="G54">
            <v>565</v>
          </cell>
          <cell r="H54">
            <v>2</v>
          </cell>
          <cell r="J54">
            <v>1610</v>
          </cell>
          <cell r="K54">
            <v>3</v>
          </cell>
          <cell r="L54">
            <v>5000</v>
          </cell>
        </row>
        <row r="55">
          <cell r="D55">
            <v>29</v>
          </cell>
          <cell r="G55">
            <v>744</v>
          </cell>
          <cell r="H55">
            <v>3</v>
          </cell>
          <cell r="J55">
            <v>2762</v>
          </cell>
          <cell r="K55">
            <v>6</v>
          </cell>
          <cell r="L55">
            <v>5000</v>
          </cell>
        </row>
        <row r="56">
          <cell r="D56">
            <v>18</v>
          </cell>
          <cell r="G56">
            <v>734</v>
          </cell>
          <cell r="H56">
            <v>1</v>
          </cell>
          <cell r="J56">
            <v>2664</v>
          </cell>
          <cell r="K56">
            <v>3</v>
          </cell>
          <cell r="L56">
            <v>5000</v>
          </cell>
        </row>
        <row r="57">
          <cell r="D57">
            <v>17</v>
          </cell>
          <cell r="G57">
            <v>755</v>
          </cell>
          <cell r="H57">
            <v>2</v>
          </cell>
          <cell r="J57">
            <v>2864</v>
          </cell>
          <cell r="K57">
            <v>2</v>
          </cell>
          <cell r="L57">
            <v>5000</v>
          </cell>
        </row>
        <row r="58">
          <cell r="D58">
            <v>12</v>
          </cell>
          <cell r="G58">
            <v>777</v>
          </cell>
          <cell r="H58">
            <v>1</v>
          </cell>
          <cell r="J58">
            <v>3028</v>
          </cell>
          <cell r="K58">
            <v>3</v>
          </cell>
          <cell r="L58">
            <v>5000</v>
          </cell>
        </row>
        <row r="59">
          <cell r="D59">
            <v>10</v>
          </cell>
          <cell r="G59">
            <v>762</v>
          </cell>
          <cell r="H59">
            <v>1</v>
          </cell>
          <cell r="J59">
            <v>2908</v>
          </cell>
          <cell r="K59">
            <v>1</v>
          </cell>
          <cell r="L59">
            <v>5000</v>
          </cell>
        </row>
        <row r="60">
          <cell r="D60">
            <v>12</v>
          </cell>
          <cell r="G60">
            <v>776</v>
          </cell>
          <cell r="H60">
            <v>4</v>
          </cell>
          <cell r="J60">
            <v>3000</v>
          </cell>
          <cell r="K60">
            <v>2</v>
          </cell>
          <cell r="L60">
            <v>5000</v>
          </cell>
        </row>
        <row r="61">
          <cell r="D61">
            <v>11</v>
          </cell>
          <cell r="G61">
            <v>779</v>
          </cell>
          <cell r="H61">
            <v>2</v>
          </cell>
          <cell r="J61">
            <v>3030</v>
          </cell>
          <cell r="K61">
            <v>1</v>
          </cell>
          <cell r="L61">
            <v>5000</v>
          </cell>
        </row>
        <row r="62">
          <cell r="D62">
            <v>12</v>
          </cell>
          <cell r="G62">
            <v>792</v>
          </cell>
          <cell r="H62">
            <v>2</v>
          </cell>
          <cell r="J62">
            <v>3134</v>
          </cell>
          <cell r="K62">
            <v>1</v>
          </cell>
          <cell r="L62">
            <v>5000</v>
          </cell>
        </row>
        <row r="63">
          <cell r="D63">
            <v>11</v>
          </cell>
          <cell r="G63">
            <v>790</v>
          </cell>
          <cell r="H63">
            <v>1</v>
          </cell>
          <cell r="J63">
            <v>3118</v>
          </cell>
          <cell r="K63">
            <v>4</v>
          </cell>
          <cell r="L63">
            <v>5000</v>
          </cell>
        </row>
        <row r="64">
          <cell r="D64">
            <v>12</v>
          </cell>
          <cell r="G64">
            <v>808</v>
          </cell>
          <cell r="H64">
            <v>2</v>
          </cell>
          <cell r="J64">
            <v>3260</v>
          </cell>
          <cell r="K64">
            <v>2</v>
          </cell>
          <cell r="L64">
            <v>5000</v>
          </cell>
        </row>
        <row r="65">
          <cell r="D65">
            <v>12</v>
          </cell>
          <cell r="G65">
            <v>781</v>
          </cell>
          <cell r="H65">
            <v>1</v>
          </cell>
          <cell r="J65">
            <v>3056</v>
          </cell>
          <cell r="K65">
            <v>2</v>
          </cell>
          <cell r="L65">
            <v>5000</v>
          </cell>
        </row>
        <row r="66">
          <cell r="D66">
            <v>8</v>
          </cell>
          <cell r="G66">
            <v>787</v>
          </cell>
          <cell r="H66">
            <v>0</v>
          </cell>
          <cell r="J66">
            <v>3096</v>
          </cell>
          <cell r="K66">
            <v>1</v>
          </cell>
          <cell r="L66">
            <v>5000</v>
          </cell>
        </row>
        <row r="67">
          <cell r="D67">
            <v>6</v>
          </cell>
          <cell r="G67">
            <v>780</v>
          </cell>
          <cell r="H67">
            <v>0</v>
          </cell>
          <cell r="J67">
            <v>3040</v>
          </cell>
          <cell r="K67">
            <v>2</v>
          </cell>
          <cell r="L67">
            <v>5000</v>
          </cell>
        </row>
        <row r="68">
          <cell r="D68">
            <v>4</v>
          </cell>
          <cell r="G68">
            <v>785</v>
          </cell>
          <cell r="H68">
            <v>0</v>
          </cell>
          <cell r="J68">
            <v>3080</v>
          </cell>
          <cell r="K68">
            <v>1</v>
          </cell>
          <cell r="L68">
            <v>5000</v>
          </cell>
        </row>
        <row r="69">
          <cell r="D69">
            <v>3</v>
          </cell>
          <cell r="G69">
            <v>786</v>
          </cell>
          <cell r="H69">
            <v>0</v>
          </cell>
          <cell r="J69">
            <v>3092</v>
          </cell>
          <cell r="K69">
            <v>0</v>
          </cell>
          <cell r="L69">
            <v>5000</v>
          </cell>
        </row>
        <row r="70">
          <cell r="D70">
            <v>4</v>
          </cell>
          <cell r="G70">
            <v>994</v>
          </cell>
          <cell r="H70">
            <v>3</v>
          </cell>
          <cell r="J70">
            <v>4928</v>
          </cell>
          <cell r="K70">
            <v>0</v>
          </cell>
          <cell r="L70">
            <v>5000</v>
          </cell>
        </row>
        <row r="71">
          <cell r="D71">
            <v>3</v>
          </cell>
          <cell r="G71">
            <v>997</v>
          </cell>
          <cell r="H71">
            <v>0</v>
          </cell>
          <cell r="J71">
            <v>4966</v>
          </cell>
          <cell r="K71">
            <v>0</v>
          </cell>
          <cell r="L71">
            <v>5000</v>
          </cell>
        </row>
        <row r="72">
          <cell r="D72">
            <v>3</v>
          </cell>
          <cell r="G72">
            <v>998</v>
          </cell>
          <cell r="H72">
            <v>0</v>
          </cell>
          <cell r="J72">
            <v>4974</v>
          </cell>
          <cell r="K72">
            <v>0</v>
          </cell>
          <cell r="L72">
            <v>5000</v>
          </cell>
        </row>
        <row r="73">
          <cell r="D73">
            <v>4</v>
          </cell>
          <cell r="G73">
            <v>998</v>
          </cell>
          <cell r="H73">
            <v>1</v>
          </cell>
          <cell r="J73">
            <v>4978</v>
          </cell>
          <cell r="K73">
            <v>3</v>
          </cell>
          <cell r="L73">
            <v>5000</v>
          </cell>
        </row>
        <row r="74">
          <cell r="D74">
            <v>4</v>
          </cell>
          <cell r="G74">
            <v>774</v>
          </cell>
          <cell r="H74">
            <v>0</v>
          </cell>
          <cell r="J74">
            <v>2988</v>
          </cell>
          <cell r="K74">
            <v>0</v>
          </cell>
          <cell r="L74">
            <v>5000</v>
          </cell>
        </row>
        <row r="75">
          <cell r="D75">
            <v>4</v>
          </cell>
          <cell r="G75">
            <v>994</v>
          </cell>
          <cell r="H75">
            <v>0</v>
          </cell>
          <cell r="J75">
            <v>4940</v>
          </cell>
          <cell r="K75">
            <v>0</v>
          </cell>
          <cell r="L75">
            <v>5000</v>
          </cell>
        </row>
        <row r="76">
          <cell r="D76">
            <v>2</v>
          </cell>
          <cell r="G76">
            <v>993</v>
          </cell>
          <cell r="H76">
            <v>1</v>
          </cell>
          <cell r="J76">
            <v>4936</v>
          </cell>
          <cell r="K76">
            <v>1</v>
          </cell>
          <cell r="L76">
            <v>5000</v>
          </cell>
        </row>
        <row r="77">
          <cell r="D77">
            <v>2</v>
          </cell>
          <cell r="G77">
            <v>790</v>
          </cell>
          <cell r="H77">
            <v>0</v>
          </cell>
          <cell r="J77">
            <v>3114</v>
          </cell>
          <cell r="K77">
            <v>0</v>
          </cell>
          <cell r="L77">
            <v>5000</v>
          </cell>
        </row>
        <row r="78">
          <cell r="D78">
            <v>3</v>
          </cell>
          <cell r="G78">
            <v>994</v>
          </cell>
          <cell r="H78">
            <v>1</v>
          </cell>
          <cell r="J78">
            <v>4940</v>
          </cell>
          <cell r="K78">
            <v>0</v>
          </cell>
          <cell r="L78">
            <v>5000</v>
          </cell>
        </row>
        <row r="79">
          <cell r="D79">
            <v>2</v>
          </cell>
          <cell r="G79">
            <v>994</v>
          </cell>
          <cell r="H79">
            <v>0</v>
          </cell>
          <cell r="J79">
            <v>4934</v>
          </cell>
          <cell r="K79">
            <v>1</v>
          </cell>
          <cell r="L79">
            <v>5000</v>
          </cell>
        </row>
        <row r="80">
          <cell r="D80">
            <v>2</v>
          </cell>
          <cell r="G80">
            <v>783</v>
          </cell>
          <cell r="H80">
            <v>0</v>
          </cell>
          <cell r="J80">
            <v>3066</v>
          </cell>
          <cell r="K80">
            <v>0</v>
          </cell>
          <cell r="L80">
            <v>5000</v>
          </cell>
        </row>
        <row r="81">
          <cell r="D81">
            <v>3</v>
          </cell>
          <cell r="G81">
            <v>995</v>
          </cell>
          <cell r="H81">
            <v>1</v>
          </cell>
          <cell r="J81">
            <v>4958</v>
          </cell>
          <cell r="K81">
            <v>1</v>
          </cell>
          <cell r="L81">
            <v>5000</v>
          </cell>
        </row>
        <row r="82">
          <cell r="D82">
            <v>3</v>
          </cell>
          <cell r="G82">
            <v>792</v>
          </cell>
          <cell r="H82">
            <v>1</v>
          </cell>
          <cell r="J82">
            <v>3134</v>
          </cell>
          <cell r="K82">
            <v>0</v>
          </cell>
          <cell r="L82">
            <v>5000</v>
          </cell>
        </row>
        <row r="83">
          <cell r="D83">
            <v>4</v>
          </cell>
          <cell r="G83">
            <v>995</v>
          </cell>
          <cell r="H83">
            <v>1</v>
          </cell>
          <cell r="J83">
            <v>4948</v>
          </cell>
          <cell r="K83">
            <v>0</v>
          </cell>
          <cell r="L83">
            <v>5000</v>
          </cell>
        </row>
        <row r="84">
          <cell r="D84">
            <v>6</v>
          </cell>
          <cell r="G84">
            <v>995</v>
          </cell>
          <cell r="H84">
            <v>3</v>
          </cell>
          <cell r="J84">
            <v>4952</v>
          </cell>
          <cell r="K84">
            <v>1</v>
          </cell>
          <cell r="L84">
            <v>5000</v>
          </cell>
        </row>
        <row r="85">
          <cell r="D85">
            <v>9</v>
          </cell>
          <cell r="G85">
            <v>782</v>
          </cell>
          <cell r="H85">
            <v>3</v>
          </cell>
          <cell r="J85">
            <v>3054</v>
          </cell>
          <cell r="K85">
            <v>1</v>
          </cell>
          <cell r="L85">
            <v>5000</v>
          </cell>
        </row>
        <row r="86">
          <cell r="D86">
            <v>10</v>
          </cell>
          <cell r="G86">
            <v>783</v>
          </cell>
          <cell r="H86">
            <v>1</v>
          </cell>
          <cell r="J86">
            <v>3060</v>
          </cell>
          <cell r="K86">
            <v>1</v>
          </cell>
          <cell r="L86">
            <v>5000</v>
          </cell>
        </row>
        <row r="87">
          <cell r="D87">
            <v>10</v>
          </cell>
          <cell r="G87">
            <v>788</v>
          </cell>
          <cell r="H87">
            <v>1</v>
          </cell>
          <cell r="J87">
            <v>3104</v>
          </cell>
          <cell r="K87">
            <v>3</v>
          </cell>
          <cell r="L87">
            <v>5000</v>
          </cell>
        </row>
        <row r="88">
          <cell r="D88">
            <v>9</v>
          </cell>
          <cell r="G88">
            <v>765</v>
          </cell>
          <cell r="H88">
            <v>0</v>
          </cell>
          <cell r="J88">
            <v>2920</v>
          </cell>
          <cell r="K88">
            <v>3</v>
          </cell>
          <cell r="L88">
            <v>5000</v>
          </cell>
        </row>
        <row r="89">
          <cell r="D89">
            <v>9</v>
          </cell>
          <cell r="G89">
            <v>764</v>
          </cell>
          <cell r="H89">
            <v>1</v>
          </cell>
          <cell r="J89">
            <v>2890</v>
          </cell>
          <cell r="K89">
            <v>1</v>
          </cell>
          <cell r="L89">
            <v>5000</v>
          </cell>
        </row>
        <row r="90">
          <cell r="D90">
            <v>7</v>
          </cell>
          <cell r="G90">
            <v>783</v>
          </cell>
          <cell r="H90">
            <v>1</v>
          </cell>
          <cell r="J90">
            <v>3056</v>
          </cell>
          <cell r="K90">
            <v>1</v>
          </cell>
          <cell r="L90">
            <v>5000</v>
          </cell>
        </row>
        <row r="91">
          <cell r="D91">
            <v>4</v>
          </cell>
          <cell r="G91">
            <v>782</v>
          </cell>
          <cell r="H91">
            <v>0</v>
          </cell>
          <cell r="J91">
            <v>3066</v>
          </cell>
          <cell r="K91">
            <v>0</v>
          </cell>
          <cell r="L91">
            <v>5000</v>
          </cell>
        </row>
        <row r="92">
          <cell r="D92">
            <v>4</v>
          </cell>
          <cell r="G92">
            <v>997</v>
          </cell>
          <cell r="H92">
            <v>1</v>
          </cell>
          <cell r="J92">
            <v>4968</v>
          </cell>
          <cell r="K92">
            <v>1</v>
          </cell>
          <cell r="L92">
            <v>5000</v>
          </cell>
        </row>
        <row r="93">
          <cell r="D93">
            <v>4</v>
          </cell>
          <cell r="G93">
            <v>785</v>
          </cell>
          <cell r="H93">
            <v>1</v>
          </cell>
          <cell r="J93">
            <v>3086</v>
          </cell>
          <cell r="K93">
            <v>1</v>
          </cell>
          <cell r="L93">
            <v>5000</v>
          </cell>
        </row>
        <row r="94">
          <cell r="D94">
            <v>6</v>
          </cell>
          <cell r="G94">
            <v>787</v>
          </cell>
          <cell r="H94">
            <v>2</v>
          </cell>
          <cell r="J94">
            <v>3098</v>
          </cell>
          <cell r="K94">
            <v>0</v>
          </cell>
          <cell r="L94">
            <v>5000</v>
          </cell>
        </row>
        <row r="95">
          <cell r="D95">
            <v>6</v>
          </cell>
          <cell r="G95">
            <v>995</v>
          </cell>
          <cell r="H95">
            <v>1</v>
          </cell>
          <cell r="J95">
            <v>4944</v>
          </cell>
          <cell r="K95">
            <v>1</v>
          </cell>
          <cell r="L95">
            <v>5000</v>
          </cell>
        </row>
        <row r="96">
          <cell r="D96">
            <v>6</v>
          </cell>
          <cell r="G96">
            <v>786</v>
          </cell>
          <cell r="H96">
            <v>1</v>
          </cell>
          <cell r="J96">
            <v>3096</v>
          </cell>
          <cell r="K96">
            <v>1</v>
          </cell>
          <cell r="L96">
            <v>5000</v>
          </cell>
        </row>
        <row r="97">
          <cell r="D97">
            <v>6</v>
          </cell>
          <cell r="G97">
            <v>782</v>
          </cell>
          <cell r="H97">
            <v>0</v>
          </cell>
          <cell r="J97">
            <v>3050</v>
          </cell>
          <cell r="K97">
            <v>2</v>
          </cell>
          <cell r="L97">
            <v>5000</v>
          </cell>
        </row>
        <row r="98">
          <cell r="D98">
            <v>5</v>
          </cell>
          <cell r="G98">
            <v>775</v>
          </cell>
          <cell r="H98">
            <v>0</v>
          </cell>
          <cell r="J98">
            <v>3004</v>
          </cell>
          <cell r="K98">
            <v>1</v>
          </cell>
          <cell r="L98">
            <v>5000</v>
          </cell>
        </row>
        <row r="99">
          <cell r="D99">
            <v>4</v>
          </cell>
          <cell r="G99">
            <v>792</v>
          </cell>
          <cell r="H99">
            <v>0</v>
          </cell>
          <cell r="J99">
            <v>3140</v>
          </cell>
          <cell r="K99">
            <v>1</v>
          </cell>
          <cell r="L99">
            <v>5000</v>
          </cell>
        </row>
        <row r="100">
          <cell r="D100">
            <v>2</v>
          </cell>
          <cell r="G100">
            <v>785</v>
          </cell>
          <cell r="H100">
            <v>0</v>
          </cell>
          <cell r="J100">
            <v>3080</v>
          </cell>
          <cell r="K100">
            <v>0</v>
          </cell>
          <cell r="L100">
            <v>5000</v>
          </cell>
        </row>
        <row r="101">
          <cell r="D101">
            <v>3</v>
          </cell>
          <cell r="G101">
            <v>996</v>
          </cell>
          <cell r="H101">
            <v>2</v>
          </cell>
          <cell r="J101">
            <v>4962</v>
          </cell>
          <cell r="K101">
            <v>0</v>
          </cell>
          <cell r="L101">
            <v>5000</v>
          </cell>
        </row>
        <row r="102">
          <cell r="D102">
            <v>3</v>
          </cell>
          <cell r="G102">
            <v>996</v>
          </cell>
          <cell r="H102">
            <v>1</v>
          </cell>
          <cell r="J102">
            <v>4960</v>
          </cell>
          <cell r="K102">
            <v>0</v>
          </cell>
          <cell r="L102">
            <v>5000</v>
          </cell>
        </row>
        <row r="103">
          <cell r="D103">
            <v>3</v>
          </cell>
          <cell r="G103">
            <v>995</v>
          </cell>
          <cell r="H103">
            <v>0</v>
          </cell>
          <cell r="J103">
            <v>4944</v>
          </cell>
          <cell r="K103">
            <v>0</v>
          </cell>
          <cell r="L103">
            <v>5000</v>
          </cell>
        </row>
        <row r="104">
          <cell r="D104">
            <v>3</v>
          </cell>
          <cell r="G104">
            <v>996</v>
          </cell>
          <cell r="H104">
            <v>0</v>
          </cell>
          <cell r="J104">
            <v>4964</v>
          </cell>
          <cell r="K104">
            <v>2</v>
          </cell>
          <cell r="L104">
            <v>5000</v>
          </cell>
        </row>
        <row r="105">
          <cell r="D105">
            <v>3</v>
          </cell>
          <cell r="G105">
            <v>795</v>
          </cell>
          <cell r="H105">
            <v>0</v>
          </cell>
          <cell r="J105">
            <v>3162</v>
          </cell>
          <cell r="K105">
            <v>1</v>
          </cell>
          <cell r="L105">
            <v>5000</v>
          </cell>
        </row>
        <row r="106">
          <cell r="D106">
            <v>3</v>
          </cell>
          <cell r="G106">
            <v>780</v>
          </cell>
          <cell r="H106">
            <v>0</v>
          </cell>
          <cell r="J106">
            <v>3028</v>
          </cell>
          <cell r="K106">
            <v>0</v>
          </cell>
          <cell r="L106">
            <v>5000</v>
          </cell>
        </row>
        <row r="107">
          <cell r="D107">
            <v>3</v>
          </cell>
          <cell r="G107">
            <v>993</v>
          </cell>
          <cell r="H107">
            <v>2</v>
          </cell>
          <cell r="J107">
            <v>4932</v>
          </cell>
          <cell r="K107">
            <v>0</v>
          </cell>
          <cell r="L107">
            <v>5000</v>
          </cell>
        </row>
        <row r="108">
          <cell r="D108">
            <v>3</v>
          </cell>
          <cell r="G108">
            <v>996</v>
          </cell>
          <cell r="H108">
            <v>1</v>
          </cell>
          <cell r="J108">
            <v>4964</v>
          </cell>
          <cell r="K108">
            <v>0</v>
          </cell>
          <cell r="L108">
            <v>5000</v>
          </cell>
        </row>
        <row r="109">
          <cell r="D109">
            <v>3</v>
          </cell>
          <cell r="G109">
            <v>996</v>
          </cell>
          <cell r="H109">
            <v>0</v>
          </cell>
          <cell r="J109">
            <v>4962</v>
          </cell>
          <cell r="K109">
            <v>0</v>
          </cell>
          <cell r="L109">
            <v>5000</v>
          </cell>
        </row>
        <row r="110">
          <cell r="D110">
            <v>6</v>
          </cell>
          <cell r="G110">
            <v>996</v>
          </cell>
          <cell r="H110">
            <v>3</v>
          </cell>
          <cell r="J110">
            <v>4962</v>
          </cell>
          <cell r="K110">
            <v>2</v>
          </cell>
          <cell r="L110">
            <v>5000</v>
          </cell>
        </row>
        <row r="111">
          <cell r="D111">
            <v>7</v>
          </cell>
          <cell r="G111">
            <v>793</v>
          </cell>
          <cell r="H111">
            <v>1</v>
          </cell>
          <cell r="J111">
            <v>3142</v>
          </cell>
          <cell r="K111">
            <v>1</v>
          </cell>
          <cell r="L111">
            <v>5000</v>
          </cell>
        </row>
        <row r="112">
          <cell r="D112">
            <v>7</v>
          </cell>
          <cell r="G112">
            <v>787</v>
          </cell>
          <cell r="H112">
            <v>0</v>
          </cell>
          <cell r="J112">
            <v>3100</v>
          </cell>
          <cell r="K112">
            <v>0</v>
          </cell>
          <cell r="L112">
            <v>5000</v>
          </cell>
        </row>
        <row r="113">
          <cell r="D113">
            <v>7</v>
          </cell>
          <cell r="G113">
            <v>997</v>
          </cell>
          <cell r="H113">
            <v>2</v>
          </cell>
          <cell r="J113">
            <v>4966</v>
          </cell>
          <cell r="K113">
            <v>3</v>
          </cell>
          <cell r="L113">
            <v>5000</v>
          </cell>
        </row>
        <row r="114">
          <cell r="D114">
            <v>8</v>
          </cell>
          <cell r="G114">
            <v>766</v>
          </cell>
          <cell r="H114">
            <v>2</v>
          </cell>
          <cell r="J114">
            <v>2910</v>
          </cell>
          <cell r="K114">
            <v>1</v>
          </cell>
          <cell r="L114">
            <v>5000</v>
          </cell>
        </row>
        <row r="115">
          <cell r="D115">
            <v>9</v>
          </cell>
          <cell r="G115">
            <v>785</v>
          </cell>
          <cell r="H115">
            <v>1</v>
          </cell>
          <cell r="J115">
            <v>3088</v>
          </cell>
          <cell r="K115">
            <v>0</v>
          </cell>
          <cell r="L115">
            <v>5000</v>
          </cell>
        </row>
        <row r="116">
          <cell r="D116">
            <v>15</v>
          </cell>
          <cell r="G116">
            <v>994</v>
          </cell>
          <cell r="H116">
            <v>9</v>
          </cell>
          <cell r="J116">
            <v>4936</v>
          </cell>
          <cell r="K116">
            <v>2</v>
          </cell>
          <cell r="L116">
            <v>5000</v>
          </cell>
        </row>
        <row r="117">
          <cell r="D117">
            <v>16</v>
          </cell>
          <cell r="G117">
            <v>787</v>
          </cell>
          <cell r="H117">
            <v>2</v>
          </cell>
          <cell r="J117">
            <v>3092</v>
          </cell>
          <cell r="K117">
            <v>2</v>
          </cell>
          <cell r="L117">
            <v>5000</v>
          </cell>
        </row>
        <row r="118">
          <cell r="D118">
            <v>18</v>
          </cell>
          <cell r="G118">
            <v>783</v>
          </cell>
          <cell r="H118">
            <v>2</v>
          </cell>
          <cell r="J118">
            <v>3070</v>
          </cell>
          <cell r="K118">
            <v>1</v>
          </cell>
          <cell r="L118">
            <v>5000</v>
          </cell>
        </row>
        <row r="119">
          <cell r="D119">
            <v>18</v>
          </cell>
          <cell r="G119">
            <v>772</v>
          </cell>
          <cell r="H119">
            <v>2</v>
          </cell>
          <cell r="J119">
            <v>2976</v>
          </cell>
          <cell r="K119">
            <v>9</v>
          </cell>
          <cell r="L119">
            <v>5000</v>
          </cell>
        </row>
        <row r="120">
          <cell r="D120">
            <v>17</v>
          </cell>
          <cell r="G120">
            <v>717</v>
          </cell>
          <cell r="H120">
            <v>1</v>
          </cell>
          <cell r="J120">
            <v>2564</v>
          </cell>
          <cell r="K120">
            <v>2</v>
          </cell>
          <cell r="L120">
            <v>5000</v>
          </cell>
        </row>
        <row r="121">
          <cell r="D121">
            <v>19</v>
          </cell>
          <cell r="G121">
            <v>769</v>
          </cell>
          <cell r="H121">
            <v>3</v>
          </cell>
          <cell r="J121">
            <v>2962</v>
          </cell>
          <cell r="K121">
            <v>2</v>
          </cell>
          <cell r="L121">
            <v>5000</v>
          </cell>
        </row>
        <row r="122">
          <cell r="D122">
            <v>12</v>
          </cell>
          <cell r="G122">
            <v>772</v>
          </cell>
          <cell r="H122">
            <v>2</v>
          </cell>
          <cell r="J122">
            <v>2962</v>
          </cell>
          <cell r="K122">
            <v>2</v>
          </cell>
          <cell r="L122">
            <v>5000</v>
          </cell>
        </row>
        <row r="123">
          <cell r="D123">
            <v>14</v>
          </cell>
          <cell r="G123">
            <v>780</v>
          </cell>
          <cell r="H123">
            <v>4</v>
          </cell>
          <cell r="J123">
            <v>3036</v>
          </cell>
          <cell r="K123">
            <v>1</v>
          </cell>
          <cell r="L123">
            <v>5000</v>
          </cell>
        </row>
        <row r="124">
          <cell r="D124">
            <v>15</v>
          </cell>
          <cell r="G124">
            <v>784</v>
          </cell>
          <cell r="H124">
            <v>3</v>
          </cell>
          <cell r="J124">
            <v>3068</v>
          </cell>
          <cell r="K124">
            <v>3</v>
          </cell>
          <cell r="L124">
            <v>5000</v>
          </cell>
        </row>
        <row r="125">
          <cell r="D125">
            <v>18</v>
          </cell>
          <cell r="G125">
            <v>758</v>
          </cell>
          <cell r="H125">
            <v>5</v>
          </cell>
          <cell r="J125">
            <v>2896</v>
          </cell>
          <cell r="K125">
            <v>2</v>
          </cell>
          <cell r="L125">
            <v>5000</v>
          </cell>
        </row>
        <row r="126">
          <cell r="D126">
            <v>20</v>
          </cell>
          <cell r="G126">
            <v>786</v>
          </cell>
          <cell r="H126">
            <v>3</v>
          </cell>
          <cell r="J126">
            <v>3094</v>
          </cell>
          <cell r="K126">
            <v>4</v>
          </cell>
          <cell r="L126">
            <v>5000</v>
          </cell>
        </row>
        <row r="127">
          <cell r="D127">
            <v>18</v>
          </cell>
          <cell r="G127">
            <v>806</v>
          </cell>
          <cell r="H127">
            <v>1</v>
          </cell>
          <cell r="J127">
            <v>3254</v>
          </cell>
          <cell r="K127">
            <v>3</v>
          </cell>
          <cell r="L127">
            <v>5000</v>
          </cell>
        </row>
        <row r="128">
          <cell r="D128">
            <v>16</v>
          </cell>
          <cell r="G128">
            <v>760</v>
          </cell>
          <cell r="H128">
            <v>0</v>
          </cell>
          <cell r="J128">
            <v>2880</v>
          </cell>
          <cell r="K128">
            <v>5</v>
          </cell>
          <cell r="L128">
            <v>5000</v>
          </cell>
        </row>
        <row r="129">
          <cell r="D129">
            <v>12</v>
          </cell>
          <cell r="G129">
            <v>557</v>
          </cell>
          <cell r="H129">
            <v>0</v>
          </cell>
          <cell r="J129">
            <v>1542</v>
          </cell>
          <cell r="K129">
            <v>3</v>
          </cell>
          <cell r="L129">
            <v>5000</v>
          </cell>
        </row>
        <row r="130">
          <cell r="D130">
            <v>9</v>
          </cell>
          <cell r="G130">
            <v>760</v>
          </cell>
          <cell r="H130">
            <v>0</v>
          </cell>
          <cell r="J130">
            <v>2868</v>
          </cell>
          <cell r="K130">
            <v>1</v>
          </cell>
          <cell r="L130">
            <v>5000</v>
          </cell>
        </row>
        <row r="131">
          <cell r="D131">
            <v>4</v>
          </cell>
          <cell r="G131">
            <v>780</v>
          </cell>
          <cell r="H131">
            <v>0</v>
          </cell>
          <cell r="J131">
            <v>3050</v>
          </cell>
          <cell r="K131">
            <v>0</v>
          </cell>
          <cell r="L131">
            <v>5000</v>
          </cell>
        </row>
        <row r="132">
          <cell r="D132">
            <v>1</v>
          </cell>
          <cell r="G132">
            <v>993</v>
          </cell>
          <cell r="H132">
            <v>0</v>
          </cell>
          <cell r="J132">
            <v>4924</v>
          </cell>
          <cell r="K132">
            <v>0</v>
          </cell>
          <cell r="L132">
            <v>5000</v>
          </cell>
        </row>
        <row r="133">
          <cell r="D133">
            <v>2</v>
          </cell>
          <cell r="G133">
            <v>997</v>
          </cell>
          <cell r="H133">
            <v>2</v>
          </cell>
          <cell r="J133">
            <v>4962</v>
          </cell>
          <cell r="K133">
            <v>0</v>
          </cell>
          <cell r="L133">
            <v>5000</v>
          </cell>
        </row>
        <row r="134">
          <cell r="D134">
            <v>3</v>
          </cell>
          <cell r="G134">
            <v>997</v>
          </cell>
          <cell r="H134">
            <v>1</v>
          </cell>
          <cell r="J134">
            <v>4968</v>
          </cell>
          <cell r="K134">
            <v>0</v>
          </cell>
          <cell r="L134">
            <v>5000</v>
          </cell>
        </row>
        <row r="135">
          <cell r="D135">
            <v>5</v>
          </cell>
          <cell r="G135">
            <v>997</v>
          </cell>
          <cell r="H135">
            <v>2</v>
          </cell>
          <cell r="J135">
            <v>4972</v>
          </cell>
          <cell r="K135">
            <v>0</v>
          </cell>
          <cell r="L135">
            <v>5000</v>
          </cell>
        </row>
        <row r="136">
          <cell r="D136">
            <v>8</v>
          </cell>
          <cell r="G136">
            <v>995</v>
          </cell>
          <cell r="H136">
            <v>3</v>
          </cell>
          <cell r="J136">
            <v>4954</v>
          </cell>
          <cell r="K136">
            <v>2</v>
          </cell>
          <cell r="L136">
            <v>5000</v>
          </cell>
        </row>
        <row r="137">
          <cell r="D137">
            <v>8</v>
          </cell>
          <cell r="G137">
            <v>786</v>
          </cell>
          <cell r="H137">
            <v>0</v>
          </cell>
          <cell r="J137">
            <v>3088</v>
          </cell>
          <cell r="K137">
            <v>1</v>
          </cell>
          <cell r="L137">
            <v>5000</v>
          </cell>
        </row>
        <row r="138">
          <cell r="D138">
            <v>8</v>
          </cell>
          <cell r="G138">
            <v>789</v>
          </cell>
          <cell r="H138">
            <v>0</v>
          </cell>
          <cell r="J138">
            <v>3120</v>
          </cell>
          <cell r="K138">
            <v>2</v>
          </cell>
          <cell r="L138">
            <v>5000</v>
          </cell>
        </row>
        <row r="139">
          <cell r="D139">
            <v>6</v>
          </cell>
          <cell r="G139">
            <v>782</v>
          </cell>
          <cell r="H139">
            <v>0</v>
          </cell>
          <cell r="J139">
            <v>3054</v>
          </cell>
          <cell r="K139">
            <v>3</v>
          </cell>
          <cell r="L139">
            <v>5000</v>
          </cell>
        </row>
        <row r="140">
          <cell r="D140">
            <v>5</v>
          </cell>
          <cell r="G140">
            <v>762</v>
          </cell>
          <cell r="H140">
            <v>0</v>
          </cell>
          <cell r="J140">
            <v>2902</v>
          </cell>
          <cell r="K140">
            <v>0</v>
          </cell>
          <cell r="L140">
            <v>5000</v>
          </cell>
        </row>
        <row r="141">
          <cell r="D141">
            <v>3</v>
          </cell>
          <cell r="G141">
            <v>992</v>
          </cell>
          <cell r="H141">
            <v>0</v>
          </cell>
          <cell r="J141">
            <v>4914</v>
          </cell>
          <cell r="K141">
            <v>0</v>
          </cell>
          <cell r="L141">
            <v>5000</v>
          </cell>
        </row>
        <row r="142">
          <cell r="D142">
            <v>2</v>
          </cell>
          <cell r="G142">
            <v>995</v>
          </cell>
          <cell r="H142">
            <v>2</v>
          </cell>
          <cell r="J142">
            <v>4942</v>
          </cell>
          <cell r="K142">
            <v>0</v>
          </cell>
          <cell r="L142">
            <v>5000</v>
          </cell>
        </row>
        <row r="143">
          <cell r="D143">
            <v>3</v>
          </cell>
          <cell r="G143">
            <v>995</v>
          </cell>
          <cell r="H143">
            <v>1</v>
          </cell>
          <cell r="J143">
            <v>4944</v>
          </cell>
          <cell r="K143">
            <v>0</v>
          </cell>
          <cell r="L143">
            <v>5000</v>
          </cell>
        </row>
        <row r="144">
          <cell r="D144">
            <v>6</v>
          </cell>
          <cell r="G144">
            <v>996</v>
          </cell>
          <cell r="H144">
            <v>3</v>
          </cell>
          <cell r="J144">
            <v>4966</v>
          </cell>
          <cell r="K144">
            <v>0</v>
          </cell>
          <cell r="L144">
            <v>5000</v>
          </cell>
        </row>
        <row r="145">
          <cell r="D145">
            <v>11</v>
          </cell>
          <cell r="G145">
            <v>996</v>
          </cell>
          <cell r="H145">
            <v>5</v>
          </cell>
          <cell r="J145">
            <v>4966</v>
          </cell>
          <cell r="K145">
            <v>2</v>
          </cell>
          <cell r="L145">
            <v>5000</v>
          </cell>
        </row>
        <row r="146">
          <cell r="D146">
            <v>15</v>
          </cell>
          <cell r="G146">
            <v>786</v>
          </cell>
          <cell r="H146">
            <v>4</v>
          </cell>
          <cell r="J146">
            <v>3094</v>
          </cell>
          <cell r="K146">
            <v>1</v>
          </cell>
          <cell r="L146">
            <v>5000</v>
          </cell>
        </row>
        <row r="147">
          <cell r="D147">
            <v>19</v>
          </cell>
          <cell r="G147">
            <v>793</v>
          </cell>
          <cell r="H147">
            <v>4</v>
          </cell>
          <cell r="J147">
            <v>3150</v>
          </cell>
          <cell r="K147">
            <v>3</v>
          </cell>
          <cell r="L147">
            <v>5000</v>
          </cell>
        </row>
        <row r="148">
          <cell r="D148">
            <v>22</v>
          </cell>
          <cell r="G148">
            <v>772</v>
          </cell>
          <cell r="H148">
            <v>5</v>
          </cell>
          <cell r="J148">
            <v>2992</v>
          </cell>
          <cell r="K148">
            <v>5</v>
          </cell>
          <cell r="L148">
            <v>5000</v>
          </cell>
        </row>
        <row r="149">
          <cell r="D149">
            <v>24</v>
          </cell>
          <cell r="G149">
            <v>570</v>
          </cell>
          <cell r="H149">
            <v>3</v>
          </cell>
          <cell r="J149">
            <v>1614</v>
          </cell>
          <cell r="K149">
            <v>4</v>
          </cell>
          <cell r="L149">
            <v>5000</v>
          </cell>
        </row>
        <row r="150">
          <cell r="D150">
            <v>25</v>
          </cell>
          <cell r="G150">
            <v>805</v>
          </cell>
          <cell r="H150">
            <v>4</v>
          </cell>
          <cell r="J150">
            <v>3240</v>
          </cell>
          <cell r="K150">
            <v>4</v>
          </cell>
          <cell r="L150">
            <v>5000</v>
          </cell>
        </row>
        <row r="151">
          <cell r="D151">
            <v>20</v>
          </cell>
          <cell r="G151">
            <v>794</v>
          </cell>
          <cell r="H151">
            <v>0</v>
          </cell>
          <cell r="J151">
            <v>3148</v>
          </cell>
          <cell r="K151">
            <v>5</v>
          </cell>
          <cell r="L151">
            <v>5000</v>
          </cell>
        </row>
        <row r="152">
          <cell r="D152">
            <v>18</v>
          </cell>
          <cell r="G152">
            <v>565</v>
          </cell>
          <cell r="H152">
            <v>2</v>
          </cell>
          <cell r="J152">
            <v>1602</v>
          </cell>
          <cell r="K152">
            <v>3</v>
          </cell>
          <cell r="L152">
            <v>5000</v>
          </cell>
        </row>
        <row r="153">
          <cell r="D153">
            <v>14</v>
          </cell>
          <cell r="G153">
            <v>762</v>
          </cell>
          <cell r="H153">
            <v>0</v>
          </cell>
          <cell r="J153">
            <v>2902</v>
          </cell>
          <cell r="K153">
            <v>4</v>
          </cell>
          <cell r="L153">
            <v>5000</v>
          </cell>
        </row>
        <row r="154">
          <cell r="D154">
            <v>10</v>
          </cell>
          <cell r="G154">
            <v>806</v>
          </cell>
          <cell r="H154">
            <v>1</v>
          </cell>
          <cell r="J154">
            <v>3248</v>
          </cell>
          <cell r="K154">
            <v>0</v>
          </cell>
          <cell r="L154">
            <v>5000</v>
          </cell>
        </row>
        <row r="155">
          <cell r="D155">
            <v>8</v>
          </cell>
          <cell r="G155">
            <v>989</v>
          </cell>
          <cell r="H155">
            <v>1</v>
          </cell>
          <cell r="J155">
            <v>4886</v>
          </cell>
          <cell r="K155">
            <v>2</v>
          </cell>
          <cell r="L155">
            <v>5000</v>
          </cell>
        </row>
        <row r="156">
          <cell r="D156">
            <v>5</v>
          </cell>
          <cell r="G156">
            <v>801</v>
          </cell>
          <cell r="H156">
            <v>1</v>
          </cell>
          <cell r="J156">
            <v>3210</v>
          </cell>
          <cell r="K156">
            <v>0</v>
          </cell>
          <cell r="L156">
            <v>5000</v>
          </cell>
        </row>
        <row r="157">
          <cell r="D157">
            <v>5</v>
          </cell>
          <cell r="G157">
            <v>995</v>
          </cell>
          <cell r="H157">
            <v>0</v>
          </cell>
          <cell r="J157">
            <v>4948</v>
          </cell>
          <cell r="K157">
            <v>1</v>
          </cell>
          <cell r="L157">
            <v>5000</v>
          </cell>
        </row>
        <row r="158">
          <cell r="D158">
            <v>3</v>
          </cell>
          <cell r="G158">
            <v>785</v>
          </cell>
          <cell r="H158">
            <v>0</v>
          </cell>
          <cell r="J158">
            <v>3078</v>
          </cell>
          <cell r="K158">
            <v>1</v>
          </cell>
          <cell r="L158">
            <v>5000</v>
          </cell>
        </row>
        <row r="159">
          <cell r="D159">
            <v>3</v>
          </cell>
          <cell r="G159">
            <v>784</v>
          </cell>
          <cell r="H159">
            <v>0</v>
          </cell>
          <cell r="J159">
            <v>3078</v>
          </cell>
          <cell r="K159">
            <v>1</v>
          </cell>
          <cell r="L159">
            <v>5000</v>
          </cell>
        </row>
        <row r="160">
          <cell r="D160">
            <v>2</v>
          </cell>
          <cell r="G160">
            <v>791</v>
          </cell>
          <cell r="H160">
            <v>0</v>
          </cell>
          <cell r="J160">
            <v>3118</v>
          </cell>
          <cell r="K160">
            <v>0</v>
          </cell>
          <cell r="L160">
            <v>5000</v>
          </cell>
        </row>
        <row r="161">
          <cell r="D161">
            <v>1</v>
          </cell>
          <cell r="G161">
            <v>995</v>
          </cell>
          <cell r="H161">
            <v>0</v>
          </cell>
          <cell r="J161">
            <v>4956</v>
          </cell>
          <cell r="K161">
            <v>0</v>
          </cell>
          <cell r="L161">
            <v>5000</v>
          </cell>
        </row>
        <row r="162">
          <cell r="D162">
            <v>1</v>
          </cell>
          <cell r="G162">
            <v>996</v>
          </cell>
          <cell r="H162">
            <v>1</v>
          </cell>
          <cell r="J162">
            <v>4960</v>
          </cell>
          <cell r="K162">
            <v>0</v>
          </cell>
          <cell r="L162">
            <v>5000</v>
          </cell>
        </row>
        <row r="163">
          <cell r="D163">
            <v>1</v>
          </cell>
          <cell r="G163">
            <v>996</v>
          </cell>
          <cell r="H163">
            <v>0</v>
          </cell>
          <cell r="J163">
            <v>4956</v>
          </cell>
          <cell r="K163">
            <v>0</v>
          </cell>
          <cell r="L163">
            <v>5000</v>
          </cell>
        </row>
        <row r="164">
          <cell r="D164">
            <v>3</v>
          </cell>
          <cell r="G164">
            <v>996</v>
          </cell>
          <cell r="H164">
            <v>2</v>
          </cell>
          <cell r="J164">
            <v>4960</v>
          </cell>
          <cell r="K164">
            <v>0</v>
          </cell>
          <cell r="L164">
            <v>5000</v>
          </cell>
        </row>
        <row r="165">
          <cell r="D165">
            <v>6</v>
          </cell>
          <cell r="G165">
            <v>997</v>
          </cell>
          <cell r="H165">
            <v>3</v>
          </cell>
          <cell r="J165">
            <v>4968</v>
          </cell>
          <cell r="K165">
            <v>1</v>
          </cell>
          <cell r="L165">
            <v>5000</v>
          </cell>
        </row>
        <row r="166">
          <cell r="D166">
            <v>9</v>
          </cell>
          <cell r="G166">
            <v>792</v>
          </cell>
          <cell r="H166">
            <v>3</v>
          </cell>
          <cell r="J166">
            <v>3136</v>
          </cell>
          <cell r="K166">
            <v>0</v>
          </cell>
          <cell r="L166">
            <v>5000</v>
          </cell>
        </row>
        <row r="167">
          <cell r="D167">
            <v>15</v>
          </cell>
          <cell r="G167">
            <v>995</v>
          </cell>
          <cell r="H167">
            <v>6</v>
          </cell>
          <cell r="J167">
            <v>4948</v>
          </cell>
          <cell r="K167">
            <v>2</v>
          </cell>
          <cell r="L167">
            <v>5000</v>
          </cell>
        </row>
        <row r="168">
          <cell r="D168">
            <v>20</v>
          </cell>
          <cell r="G168">
            <v>783</v>
          </cell>
          <cell r="H168">
            <v>6</v>
          </cell>
          <cell r="J168">
            <v>3068</v>
          </cell>
          <cell r="K168">
            <v>3</v>
          </cell>
          <cell r="L168">
            <v>5000</v>
          </cell>
        </row>
        <row r="169">
          <cell r="D169">
            <v>24</v>
          </cell>
          <cell r="G169">
            <v>766</v>
          </cell>
          <cell r="H169">
            <v>4</v>
          </cell>
          <cell r="J169">
            <v>2936</v>
          </cell>
          <cell r="K169">
            <v>3</v>
          </cell>
          <cell r="L169">
            <v>5000</v>
          </cell>
        </row>
        <row r="170">
          <cell r="D170">
            <v>28</v>
          </cell>
          <cell r="G170">
            <v>766</v>
          </cell>
          <cell r="H170">
            <v>6</v>
          </cell>
          <cell r="J170">
            <v>2936</v>
          </cell>
          <cell r="K170">
            <v>6</v>
          </cell>
          <cell r="L170">
            <v>5000</v>
          </cell>
        </row>
        <row r="171">
          <cell r="D171">
            <v>27</v>
          </cell>
          <cell r="G171">
            <v>748</v>
          </cell>
          <cell r="H171">
            <v>2</v>
          </cell>
          <cell r="J171">
            <v>2784</v>
          </cell>
          <cell r="K171">
            <v>6</v>
          </cell>
          <cell r="L171">
            <v>5000</v>
          </cell>
        </row>
        <row r="172">
          <cell r="D172">
            <v>24</v>
          </cell>
          <cell r="G172">
            <v>736</v>
          </cell>
          <cell r="H172">
            <v>0</v>
          </cell>
          <cell r="J172">
            <v>2682</v>
          </cell>
          <cell r="K172">
            <v>4</v>
          </cell>
          <cell r="L172">
            <v>5000</v>
          </cell>
        </row>
        <row r="173">
          <cell r="D173">
            <v>18</v>
          </cell>
          <cell r="G173">
            <v>799</v>
          </cell>
          <cell r="H173">
            <v>0</v>
          </cell>
          <cell r="J173">
            <v>3190</v>
          </cell>
          <cell r="K173">
            <v>6</v>
          </cell>
          <cell r="L173">
            <v>5000</v>
          </cell>
        </row>
        <row r="174">
          <cell r="D174">
            <v>12</v>
          </cell>
          <cell r="G174">
            <v>739</v>
          </cell>
          <cell r="H174">
            <v>0</v>
          </cell>
          <cell r="J174">
            <v>2730</v>
          </cell>
          <cell r="K174">
            <v>2</v>
          </cell>
          <cell r="L174">
            <v>5000</v>
          </cell>
        </row>
        <row r="175">
          <cell r="D175">
            <v>8</v>
          </cell>
          <cell r="G175">
            <v>787</v>
          </cell>
          <cell r="H175">
            <v>0</v>
          </cell>
          <cell r="J175">
            <v>3100</v>
          </cell>
          <cell r="K175">
            <v>0</v>
          </cell>
          <cell r="L175">
            <v>5000</v>
          </cell>
        </row>
        <row r="176">
          <cell r="D176">
            <v>3</v>
          </cell>
          <cell r="G176">
            <v>994</v>
          </cell>
          <cell r="H176">
            <v>1</v>
          </cell>
          <cell r="J176">
            <v>4938</v>
          </cell>
          <cell r="K176">
            <v>0</v>
          </cell>
          <cell r="L176">
            <v>5000</v>
          </cell>
        </row>
        <row r="177">
          <cell r="D177">
            <v>2</v>
          </cell>
          <cell r="G177">
            <v>997</v>
          </cell>
          <cell r="H177">
            <v>1</v>
          </cell>
          <cell r="J177">
            <v>4974</v>
          </cell>
          <cell r="K177">
            <v>0</v>
          </cell>
          <cell r="L177">
            <v>5000</v>
          </cell>
        </row>
        <row r="178">
          <cell r="D178">
            <v>3</v>
          </cell>
          <cell r="G178">
            <v>996</v>
          </cell>
          <cell r="H178">
            <v>1</v>
          </cell>
          <cell r="J178">
            <v>4962</v>
          </cell>
          <cell r="K178">
            <v>0</v>
          </cell>
          <cell r="L178">
            <v>5000</v>
          </cell>
        </row>
        <row r="179">
          <cell r="D179">
            <v>5</v>
          </cell>
          <cell r="G179">
            <v>999</v>
          </cell>
          <cell r="H179">
            <v>2</v>
          </cell>
          <cell r="J179">
            <v>4990</v>
          </cell>
          <cell r="K179">
            <v>1</v>
          </cell>
          <cell r="L179">
            <v>5000</v>
          </cell>
        </row>
        <row r="180">
          <cell r="D180">
            <v>5</v>
          </cell>
          <cell r="G180">
            <v>786</v>
          </cell>
          <cell r="H180">
            <v>0</v>
          </cell>
          <cell r="J180">
            <v>3082</v>
          </cell>
          <cell r="K180">
            <v>1</v>
          </cell>
          <cell r="L180">
            <v>5000</v>
          </cell>
        </row>
        <row r="181">
          <cell r="D181">
            <v>6</v>
          </cell>
          <cell r="G181">
            <v>790</v>
          </cell>
          <cell r="H181">
            <v>1</v>
          </cell>
          <cell r="J181">
            <v>3118</v>
          </cell>
          <cell r="K181">
            <v>1</v>
          </cell>
          <cell r="L181">
            <v>5000</v>
          </cell>
        </row>
        <row r="182">
          <cell r="D182">
            <v>6</v>
          </cell>
          <cell r="G182">
            <v>794</v>
          </cell>
          <cell r="H182">
            <v>1</v>
          </cell>
          <cell r="J182">
            <v>3138</v>
          </cell>
          <cell r="K182">
            <v>2</v>
          </cell>
          <cell r="L182">
            <v>5000</v>
          </cell>
        </row>
        <row r="183">
          <cell r="D183">
            <v>5</v>
          </cell>
          <cell r="G183">
            <v>789</v>
          </cell>
          <cell r="H183">
            <v>0</v>
          </cell>
          <cell r="J183">
            <v>3114</v>
          </cell>
          <cell r="K183">
            <v>0</v>
          </cell>
          <cell r="L183">
            <v>5000</v>
          </cell>
        </row>
        <row r="184">
          <cell r="D184">
            <v>6</v>
          </cell>
          <cell r="G184">
            <v>993</v>
          </cell>
          <cell r="H184">
            <v>2</v>
          </cell>
          <cell r="J184">
            <v>4928</v>
          </cell>
          <cell r="K184">
            <v>1</v>
          </cell>
          <cell r="L184">
            <v>5000</v>
          </cell>
        </row>
        <row r="185">
          <cell r="D185">
            <v>5</v>
          </cell>
          <cell r="G185">
            <v>783</v>
          </cell>
          <cell r="H185">
            <v>1</v>
          </cell>
          <cell r="J185">
            <v>3070</v>
          </cell>
          <cell r="K185">
            <v>1</v>
          </cell>
          <cell r="L185">
            <v>5000</v>
          </cell>
        </row>
        <row r="186">
          <cell r="D186">
            <v>6</v>
          </cell>
          <cell r="G186">
            <v>790</v>
          </cell>
          <cell r="H186">
            <v>1</v>
          </cell>
          <cell r="J186">
            <v>3126</v>
          </cell>
          <cell r="K186">
            <v>0</v>
          </cell>
          <cell r="L186">
            <v>5000</v>
          </cell>
        </row>
        <row r="187">
          <cell r="D187">
            <v>6</v>
          </cell>
          <cell r="G187">
            <v>994</v>
          </cell>
          <cell r="H187">
            <v>1</v>
          </cell>
          <cell r="J187">
            <v>4946</v>
          </cell>
          <cell r="K187">
            <v>2</v>
          </cell>
          <cell r="L187">
            <v>5000</v>
          </cell>
        </row>
        <row r="188">
          <cell r="D188">
            <v>7</v>
          </cell>
          <cell r="G188">
            <v>788</v>
          </cell>
          <cell r="H188">
            <v>2</v>
          </cell>
          <cell r="J188">
            <v>3106</v>
          </cell>
          <cell r="K188">
            <v>1</v>
          </cell>
          <cell r="L188">
            <v>5000</v>
          </cell>
        </row>
        <row r="189">
          <cell r="D189">
            <v>9</v>
          </cell>
          <cell r="G189">
            <v>786</v>
          </cell>
          <cell r="H189">
            <v>2</v>
          </cell>
          <cell r="J189">
            <v>3080</v>
          </cell>
          <cell r="K189">
            <v>1</v>
          </cell>
          <cell r="L189">
            <v>5000</v>
          </cell>
        </row>
        <row r="190">
          <cell r="D190">
            <v>8</v>
          </cell>
          <cell r="G190">
            <v>779</v>
          </cell>
          <cell r="H190">
            <v>1</v>
          </cell>
          <cell r="J190">
            <v>3024</v>
          </cell>
          <cell r="K190">
            <v>1</v>
          </cell>
          <cell r="L190">
            <v>5000</v>
          </cell>
        </row>
        <row r="191">
          <cell r="D191">
            <v>8</v>
          </cell>
          <cell r="G191">
            <v>772</v>
          </cell>
          <cell r="H191">
            <v>1</v>
          </cell>
          <cell r="J191">
            <v>2988</v>
          </cell>
          <cell r="K191">
            <v>2</v>
          </cell>
          <cell r="L191">
            <v>5000</v>
          </cell>
        </row>
        <row r="192">
          <cell r="D192">
            <v>8</v>
          </cell>
          <cell r="G192">
            <v>783</v>
          </cell>
          <cell r="H192">
            <v>1</v>
          </cell>
          <cell r="J192">
            <v>3064</v>
          </cell>
          <cell r="K192">
            <v>2</v>
          </cell>
          <cell r="L192">
            <v>5000</v>
          </cell>
        </row>
        <row r="193">
          <cell r="D193">
            <v>8</v>
          </cell>
          <cell r="G193">
            <v>781</v>
          </cell>
          <cell r="H193">
            <v>1</v>
          </cell>
          <cell r="J193">
            <v>3048</v>
          </cell>
          <cell r="K193">
            <v>1</v>
          </cell>
          <cell r="L193">
            <v>5000</v>
          </cell>
        </row>
        <row r="194">
          <cell r="D194">
            <v>6</v>
          </cell>
          <cell r="G194">
            <v>787</v>
          </cell>
          <cell r="H194">
            <v>0</v>
          </cell>
          <cell r="J194">
            <v>3100</v>
          </cell>
          <cell r="K194">
            <v>1</v>
          </cell>
          <cell r="L194">
            <v>5000</v>
          </cell>
        </row>
        <row r="195">
          <cell r="D195">
            <v>4</v>
          </cell>
          <cell r="G195">
            <v>786</v>
          </cell>
          <cell r="H195">
            <v>0</v>
          </cell>
          <cell r="J195">
            <v>3080</v>
          </cell>
          <cell r="K195">
            <v>1</v>
          </cell>
          <cell r="L195">
            <v>5000</v>
          </cell>
        </row>
        <row r="196">
          <cell r="D196">
            <v>3</v>
          </cell>
          <cell r="G196">
            <v>796</v>
          </cell>
          <cell r="H196">
            <v>0</v>
          </cell>
          <cell r="J196">
            <v>3168</v>
          </cell>
          <cell r="K196">
            <v>1</v>
          </cell>
          <cell r="L196">
            <v>5000</v>
          </cell>
        </row>
        <row r="197">
          <cell r="D197">
            <v>2</v>
          </cell>
          <cell r="G197">
            <v>788</v>
          </cell>
          <cell r="H197">
            <v>0</v>
          </cell>
          <cell r="J197">
            <v>3104</v>
          </cell>
          <cell r="K197">
            <v>0</v>
          </cell>
          <cell r="L197">
            <v>5000</v>
          </cell>
        </row>
        <row r="198">
          <cell r="D198">
            <v>1</v>
          </cell>
          <cell r="G198">
            <v>994</v>
          </cell>
          <cell r="H198">
            <v>0</v>
          </cell>
          <cell r="J198">
            <v>4936</v>
          </cell>
          <cell r="K198">
            <v>0</v>
          </cell>
          <cell r="L198">
            <v>5000</v>
          </cell>
        </row>
        <row r="199">
          <cell r="D199">
            <v>0</v>
          </cell>
          <cell r="G199">
            <v>996</v>
          </cell>
          <cell r="H199">
            <v>0</v>
          </cell>
          <cell r="J199">
            <v>4964</v>
          </cell>
          <cell r="K199">
            <v>0</v>
          </cell>
          <cell r="L199">
            <v>5000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03_GABM_run2-data"/>
    </sheetNames>
    <sheetDataSet>
      <sheetData sheetId="0" refreshError="1">
        <row r="2">
          <cell r="D2">
            <v>2</v>
          </cell>
          <cell r="G2">
            <v>1000</v>
          </cell>
          <cell r="H2">
            <v>2</v>
          </cell>
          <cell r="K2">
            <v>0</v>
          </cell>
        </row>
        <row r="3">
          <cell r="D3">
            <v>7</v>
          </cell>
          <cell r="G3">
            <v>998</v>
          </cell>
          <cell r="H3">
            <v>5</v>
          </cell>
          <cell r="J3">
            <v>4978</v>
          </cell>
          <cell r="K3">
            <v>0</v>
          </cell>
          <cell r="L3">
            <v>5000</v>
          </cell>
        </row>
        <row r="4">
          <cell r="D4">
            <v>10</v>
          </cell>
          <cell r="G4">
            <v>999</v>
          </cell>
          <cell r="H4">
            <v>3</v>
          </cell>
          <cell r="J4">
            <v>4984</v>
          </cell>
          <cell r="K4">
            <v>0</v>
          </cell>
          <cell r="L4">
            <v>5000</v>
          </cell>
        </row>
        <row r="5">
          <cell r="D5">
            <v>15</v>
          </cell>
          <cell r="G5">
            <v>999</v>
          </cell>
          <cell r="H5">
            <v>5</v>
          </cell>
          <cell r="J5">
            <v>4988</v>
          </cell>
          <cell r="K5">
            <v>2</v>
          </cell>
          <cell r="L5">
            <v>5000</v>
          </cell>
        </row>
        <row r="6">
          <cell r="D6">
            <v>20</v>
          </cell>
          <cell r="G6">
            <v>788</v>
          </cell>
          <cell r="H6">
            <v>5</v>
          </cell>
          <cell r="J6">
            <v>3112</v>
          </cell>
          <cell r="K6">
            <v>5</v>
          </cell>
          <cell r="L6">
            <v>5000</v>
          </cell>
        </row>
        <row r="7">
          <cell r="D7">
            <v>22</v>
          </cell>
          <cell r="G7">
            <v>570</v>
          </cell>
          <cell r="H7">
            <v>2</v>
          </cell>
          <cell r="J7">
            <v>1616</v>
          </cell>
          <cell r="K7">
            <v>3</v>
          </cell>
          <cell r="L7">
            <v>5000</v>
          </cell>
        </row>
        <row r="8">
          <cell r="D8">
            <v>24</v>
          </cell>
          <cell r="G8">
            <v>752</v>
          </cell>
          <cell r="H8">
            <v>4</v>
          </cell>
          <cell r="J8">
            <v>2844</v>
          </cell>
          <cell r="K8">
            <v>5</v>
          </cell>
          <cell r="L8">
            <v>5000</v>
          </cell>
        </row>
        <row r="9">
          <cell r="D9">
            <v>21</v>
          </cell>
          <cell r="G9">
            <v>551</v>
          </cell>
          <cell r="H9">
            <v>2</v>
          </cell>
          <cell r="J9">
            <v>1504</v>
          </cell>
          <cell r="K9">
            <v>5</v>
          </cell>
          <cell r="L9">
            <v>5000</v>
          </cell>
        </row>
        <row r="10">
          <cell r="D10">
            <v>22</v>
          </cell>
          <cell r="G10">
            <v>556</v>
          </cell>
          <cell r="H10">
            <v>4</v>
          </cell>
          <cell r="J10">
            <v>1540</v>
          </cell>
          <cell r="K10">
            <v>2</v>
          </cell>
          <cell r="L10">
            <v>5000</v>
          </cell>
        </row>
        <row r="11">
          <cell r="D11">
            <v>21</v>
          </cell>
          <cell r="G11">
            <v>777</v>
          </cell>
          <cell r="H11">
            <v>4</v>
          </cell>
          <cell r="J11">
            <v>3036</v>
          </cell>
          <cell r="K11">
            <v>4</v>
          </cell>
          <cell r="L11">
            <v>5000</v>
          </cell>
        </row>
        <row r="12">
          <cell r="D12">
            <v>21</v>
          </cell>
          <cell r="G12">
            <v>795</v>
          </cell>
          <cell r="H12">
            <v>5</v>
          </cell>
          <cell r="J12">
            <v>3162</v>
          </cell>
          <cell r="K12">
            <v>2</v>
          </cell>
          <cell r="L12">
            <v>5000</v>
          </cell>
        </row>
        <row r="13">
          <cell r="D13">
            <v>26</v>
          </cell>
          <cell r="G13">
            <v>786</v>
          </cell>
          <cell r="H13">
            <v>7</v>
          </cell>
          <cell r="J13">
            <v>3092</v>
          </cell>
          <cell r="K13">
            <v>4</v>
          </cell>
          <cell r="L13">
            <v>5000</v>
          </cell>
        </row>
        <row r="14">
          <cell r="D14">
            <v>27</v>
          </cell>
          <cell r="G14">
            <v>799</v>
          </cell>
          <cell r="H14">
            <v>5</v>
          </cell>
          <cell r="J14">
            <v>3192</v>
          </cell>
          <cell r="K14">
            <v>4</v>
          </cell>
          <cell r="L14">
            <v>5000</v>
          </cell>
        </row>
        <row r="15">
          <cell r="D15">
            <v>35</v>
          </cell>
          <cell r="G15">
            <v>797</v>
          </cell>
          <cell r="H15">
            <v>10</v>
          </cell>
          <cell r="J15">
            <v>3176</v>
          </cell>
          <cell r="K15">
            <v>5</v>
          </cell>
          <cell r="L15">
            <v>5000</v>
          </cell>
        </row>
        <row r="16">
          <cell r="D16">
            <v>34</v>
          </cell>
          <cell r="G16">
            <v>559</v>
          </cell>
          <cell r="H16">
            <v>3</v>
          </cell>
          <cell r="J16">
            <v>1558</v>
          </cell>
          <cell r="K16">
            <v>7</v>
          </cell>
          <cell r="L16">
            <v>5000</v>
          </cell>
        </row>
        <row r="17">
          <cell r="D17">
            <v>38</v>
          </cell>
          <cell r="G17">
            <v>766</v>
          </cell>
          <cell r="H17">
            <v>8</v>
          </cell>
          <cell r="J17">
            <v>2942</v>
          </cell>
          <cell r="K17">
            <v>5</v>
          </cell>
          <cell r="L17">
            <v>5000</v>
          </cell>
        </row>
        <row r="18">
          <cell r="D18">
            <v>41</v>
          </cell>
          <cell r="G18">
            <v>560</v>
          </cell>
          <cell r="H18">
            <v>8</v>
          </cell>
          <cell r="J18">
            <v>1546</v>
          </cell>
          <cell r="K18">
            <v>10</v>
          </cell>
          <cell r="L18">
            <v>5000</v>
          </cell>
        </row>
        <row r="19">
          <cell r="D19">
            <v>51</v>
          </cell>
          <cell r="G19">
            <v>843</v>
          </cell>
          <cell r="H19">
            <v>17</v>
          </cell>
          <cell r="J19">
            <v>3546</v>
          </cell>
          <cell r="K19">
            <v>3</v>
          </cell>
          <cell r="L19">
            <v>5000</v>
          </cell>
        </row>
        <row r="20">
          <cell r="D20">
            <v>63</v>
          </cell>
          <cell r="G20">
            <v>743</v>
          </cell>
          <cell r="H20">
            <v>17</v>
          </cell>
          <cell r="J20">
            <v>2780</v>
          </cell>
          <cell r="K20">
            <v>8</v>
          </cell>
          <cell r="L20">
            <v>5000</v>
          </cell>
        </row>
        <row r="21">
          <cell r="D21">
            <v>66</v>
          </cell>
          <cell r="G21">
            <v>679</v>
          </cell>
          <cell r="H21">
            <v>13</v>
          </cell>
          <cell r="J21">
            <v>2312</v>
          </cell>
          <cell r="K21">
            <v>8</v>
          </cell>
          <cell r="L21">
            <v>5000</v>
          </cell>
        </row>
        <row r="22">
          <cell r="D22">
            <v>73</v>
          </cell>
          <cell r="G22">
            <v>663</v>
          </cell>
          <cell r="H22">
            <v>10</v>
          </cell>
          <cell r="J22">
            <v>2180</v>
          </cell>
          <cell r="K22">
            <v>17</v>
          </cell>
          <cell r="L22">
            <v>5000</v>
          </cell>
        </row>
        <row r="23">
          <cell r="D23">
            <v>72</v>
          </cell>
          <cell r="G23">
            <v>474</v>
          </cell>
          <cell r="H23">
            <v>7</v>
          </cell>
          <cell r="J23">
            <v>1124</v>
          </cell>
          <cell r="K23">
            <v>17</v>
          </cell>
          <cell r="L23">
            <v>5000</v>
          </cell>
        </row>
        <row r="24">
          <cell r="D24">
            <v>71</v>
          </cell>
          <cell r="G24">
            <v>464</v>
          </cell>
          <cell r="H24">
            <v>7</v>
          </cell>
          <cell r="J24">
            <v>1074</v>
          </cell>
          <cell r="K24">
            <v>13</v>
          </cell>
          <cell r="L24">
            <v>5000</v>
          </cell>
        </row>
        <row r="25">
          <cell r="D25">
            <v>59</v>
          </cell>
          <cell r="G25">
            <v>469</v>
          </cell>
          <cell r="H25">
            <v>5</v>
          </cell>
          <cell r="J25">
            <v>1108</v>
          </cell>
          <cell r="K25">
            <v>10</v>
          </cell>
          <cell r="L25">
            <v>5000</v>
          </cell>
        </row>
        <row r="26">
          <cell r="D26">
            <v>53</v>
          </cell>
          <cell r="G26">
            <v>831</v>
          </cell>
          <cell r="H26">
            <v>11</v>
          </cell>
          <cell r="J26">
            <v>3474</v>
          </cell>
          <cell r="K26">
            <v>7</v>
          </cell>
          <cell r="L26">
            <v>5000</v>
          </cell>
        </row>
        <row r="27">
          <cell r="D27">
            <v>47</v>
          </cell>
          <cell r="G27">
            <v>745</v>
          </cell>
          <cell r="H27">
            <v>7</v>
          </cell>
          <cell r="J27">
            <v>2778</v>
          </cell>
          <cell r="K27">
            <v>7</v>
          </cell>
          <cell r="L27">
            <v>5000</v>
          </cell>
        </row>
        <row r="28">
          <cell r="D28">
            <v>49</v>
          </cell>
          <cell r="G28">
            <v>761</v>
          </cell>
          <cell r="H28">
            <v>12</v>
          </cell>
          <cell r="J28">
            <v>2910</v>
          </cell>
          <cell r="K28">
            <v>5</v>
          </cell>
          <cell r="L28">
            <v>5000</v>
          </cell>
        </row>
        <row r="29">
          <cell r="D29">
            <v>47</v>
          </cell>
          <cell r="G29">
            <v>546</v>
          </cell>
          <cell r="H29">
            <v>5</v>
          </cell>
          <cell r="J29">
            <v>1470</v>
          </cell>
          <cell r="K29">
            <v>11</v>
          </cell>
          <cell r="L29">
            <v>5000</v>
          </cell>
        </row>
        <row r="30">
          <cell r="D30">
            <v>48</v>
          </cell>
          <cell r="G30">
            <v>690</v>
          </cell>
          <cell r="H30">
            <v>8</v>
          </cell>
          <cell r="J30">
            <v>2372</v>
          </cell>
          <cell r="K30">
            <v>7</v>
          </cell>
          <cell r="L30">
            <v>5000</v>
          </cell>
        </row>
        <row r="31">
          <cell r="D31">
            <v>51</v>
          </cell>
          <cell r="G31">
            <v>746</v>
          </cell>
          <cell r="H31">
            <v>8</v>
          </cell>
          <cell r="J31">
            <v>2782</v>
          </cell>
          <cell r="K31">
            <v>12</v>
          </cell>
          <cell r="L31">
            <v>5000</v>
          </cell>
        </row>
        <row r="32">
          <cell r="D32">
            <v>43</v>
          </cell>
          <cell r="G32">
            <v>571</v>
          </cell>
          <cell r="H32">
            <v>3</v>
          </cell>
          <cell r="J32">
            <v>1612</v>
          </cell>
          <cell r="K32">
            <v>5</v>
          </cell>
          <cell r="L32">
            <v>5000</v>
          </cell>
        </row>
        <row r="33">
          <cell r="D33">
            <v>38</v>
          </cell>
          <cell r="G33">
            <v>554</v>
          </cell>
          <cell r="H33">
            <v>2</v>
          </cell>
          <cell r="J33">
            <v>1538</v>
          </cell>
          <cell r="K33">
            <v>8</v>
          </cell>
          <cell r="L33">
            <v>5000</v>
          </cell>
        </row>
        <row r="34">
          <cell r="D34">
            <v>33</v>
          </cell>
          <cell r="G34">
            <v>680</v>
          </cell>
          <cell r="H34">
            <v>7</v>
          </cell>
          <cell r="J34">
            <v>2314</v>
          </cell>
          <cell r="K34">
            <v>8</v>
          </cell>
          <cell r="L34">
            <v>5000</v>
          </cell>
        </row>
        <row r="35">
          <cell r="D35">
            <v>31</v>
          </cell>
          <cell r="G35">
            <v>692</v>
          </cell>
          <cell r="H35">
            <v>3</v>
          </cell>
          <cell r="J35">
            <v>2402</v>
          </cell>
          <cell r="K35">
            <v>3</v>
          </cell>
          <cell r="L35">
            <v>5000</v>
          </cell>
        </row>
        <row r="36">
          <cell r="D36">
            <v>30</v>
          </cell>
          <cell r="G36">
            <v>760</v>
          </cell>
          <cell r="H36">
            <v>7</v>
          </cell>
          <cell r="J36">
            <v>2898</v>
          </cell>
          <cell r="K36">
            <v>2</v>
          </cell>
          <cell r="L36">
            <v>5000</v>
          </cell>
        </row>
        <row r="37">
          <cell r="D37">
            <v>30</v>
          </cell>
          <cell r="G37">
            <v>776</v>
          </cell>
          <cell r="H37">
            <v>8</v>
          </cell>
          <cell r="J37">
            <v>3022</v>
          </cell>
          <cell r="K37">
            <v>7</v>
          </cell>
          <cell r="L37">
            <v>5000</v>
          </cell>
        </row>
        <row r="38">
          <cell r="D38">
            <v>32</v>
          </cell>
          <cell r="G38">
            <v>756</v>
          </cell>
          <cell r="H38">
            <v>5</v>
          </cell>
          <cell r="J38">
            <v>2842</v>
          </cell>
          <cell r="K38">
            <v>3</v>
          </cell>
          <cell r="L38">
            <v>5000</v>
          </cell>
        </row>
        <row r="39">
          <cell r="D39">
            <v>36</v>
          </cell>
          <cell r="G39">
            <v>760</v>
          </cell>
          <cell r="H39">
            <v>6</v>
          </cell>
          <cell r="J39">
            <v>2898</v>
          </cell>
          <cell r="K39">
            <v>7</v>
          </cell>
          <cell r="L39">
            <v>5000</v>
          </cell>
        </row>
        <row r="40">
          <cell r="D40">
            <v>35</v>
          </cell>
          <cell r="G40">
            <v>766</v>
          </cell>
          <cell r="H40">
            <v>6</v>
          </cell>
          <cell r="J40">
            <v>2916</v>
          </cell>
          <cell r="K40">
            <v>8</v>
          </cell>
          <cell r="L40">
            <v>5000</v>
          </cell>
        </row>
        <row r="41">
          <cell r="D41">
            <v>38</v>
          </cell>
          <cell r="G41">
            <v>683</v>
          </cell>
          <cell r="H41">
            <v>6</v>
          </cell>
          <cell r="J41">
            <v>2312</v>
          </cell>
          <cell r="K41">
            <v>5</v>
          </cell>
          <cell r="L41">
            <v>5000</v>
          </cell>
        </row>
        <row r="42">
          <cell r="D42">
            <v>32</v>
          </cell>
          <cell r="G42">
            <v>548</v>
          </cell>
          <cell r="H42">
            <v>1</v>
          </cell>
          <cell r="J42">
            <v>1502</v>
          </cell>
          <cell r="K42">
            <v>6</v>
          </cell>
          <cell r="L42">
            <v>5000</v>
          </cell>
        </row>
        <row r="43">
          <cell r="D43">
            <v>28</v>
          </cell>
          <cell r="G43">
            <v>720</v>
          </cell>
          <cell r="H43">
            <v>4</v>
          </cell>
          <cell r="J43">
            <v>2608</v>
          </cell>
          <cell r="K43">
            <v>6</v>
          </cell>
          <cell r="L43">
            <v>5000</v>
          </cell>
        </row>
        <row r="44">
          <cell r="D44">
            <v>24</v>
          </cell>
          <cell r="G44">
            <v>727</v>
          </cell>
          <cell r="H44">
            <v>1</v>
          </cell>
          <cell r="J44">
            <v>2656</v>
          </cell>
          <cell r="K44">
            <v>6</v>
          </cell>
          <cell r="L44">
            <v>5000</v>
          </cell>
        </row>
        <row r="45">
          <cell r="D45">
            <v>20</v>
          </cell>
          <cell r="G45">
            <v>727</v>
          </cell>
          <cell r="H45">
            <v>2</v>
          </cell>
          <cell r="J45">
            <v>2660</v>
          </cell>
          <cell r="K45">
            <v>1</v>
          </cell>
          <cell r="L45">
            <v>5000</v>
          </cell>
        </row>
        <row r="46">
          <cell r="D46">
            <v>16</v>
          </cell>
          <cell r="G46">
            <v>786</v>
          </cell>
          <cell r="H46">
            <v>2</v>
          </cell>
          <cell r="J46">
            <v>3084</v>
          </cell>
          <cell r="K46">
            <v>4</v>
          </cell>
          <cell r="L46">
            <v>5000</v>
          </cell>
        </row>
        <row r="47">
          <cell r="D47">
            <v>11</v>
          </cell>
          <cell r="G47">
            <v>811</v>
          </cell>
          <cell r="H47">
            <v>1</v>
          </cell>
          <cell r="J47">
            <v>3280</v>
          </cell>
          <cell r="K47">
            <v>1</v>
          </cell>
          <cell r="L47">
            <v>5000</v>
          </cell>
        </row>
        <row r="48">
          <cell r="D48">
            <v>11</v>
          </cell>
          <cell r="G48">
            <v>793</v>
          </cell>
          <cell r="H48">
            <v>1</v>
          </cell>
          <cell r="J48">
            <v>3156</v>
          </cell>
          <cell r="K48">
            <v>2</v>
          </cell>
          <cell r="L48">
            <v>5000</v>
          </cell>
        </row>
        <row r="49">
          <cell r="D49">
            <v>8</v>
          </cell>
          <cell r="G49">
            <v>783</v>
          </cell>
          <cell r="H49">
            <v>1</v>
          </cell>
          <cell r="J49">
            <v>3062</v>
          </cell>
          <cell r="K49">
            <v>2</v>
          </cell>
          <cell r="L49">
            <v>5000</v>
          </cell>
        </row>
        <row r="50">
          <cell r="D50">
            <v>7</v>
          </cell>
          <cell r="G50">
            <v>792</v>
          </cell>
          <cell r="H50">
            <v>0</v>
          </cell>
          <cell r="J50">
            <v>3138</v>
          </cell>
          <cell r="K50">
            <v>1</v>
          </cell>
          <cell r="L50">
            <v>5000</v>
          </cell>
        </row>
        <row r="51">
          <cell r="D51">
            <v>5</v>
          </cell>
          <cell r="G51">
            <v>797</v>
          </cell>
          <cell r="H51">
            <v>0</v>
          </cell>
          <cell r="J51">
            <v>3174</v>
          </cell>
          <cell r="K51">
            <v>1</v>
          </cell>
          <cell r="L51">
            <v>5000</v>
          </cell>
        </row>
        <row r="52">
          <cell r="D52">
            <v>3</v>
          </cell>
          <cell r="G52">
            <v>800</v>
          </cell>
          <cell r="H52">
            <v>0</v>
          </cell>
          <cell r="J52">
            <v>3200</v>
          </cell>
          <cell r="K52">
            <v>1</v>
          </cell>
          <cell r="L52">
            <v>5000</v>
          </cell>
        </row>
        <row r="53">
          <cell r="D53">
            <v>2</v>
          </cell>
          <cell r="G53">
            <v>792</v>
          </cell>
          <cell r="H53">
            <v>0</v>
          </cell>
          <cell r="J53">
            <v>3130</v>
          </cell>
          <cell r="K53">
            <v>0</v>
          </cell>
          <cell r="L53">
            <v>5000</v>
          </cell>
        </row>
        <row r="54">
          <cell r="D54">
            <v>3</v>
          </cell>
          <cell r="G54">
            <v>998</v>
          </cell>
          <cell r="H54">
            <v>2</v>
          </cell>
          <cell r="J54">
            <v>4982</v>
          </cell>
          <cell r="K54">
            <v>0</v>
          </cell>
          <cell r="L54">
            <v>5000</v>
          </cell>
        </row>
        <row r="55">
          <cell r="D55">
            <v>2</v>
          </cell>
          <cell r="G55">
            <v>999</v>
          </cell>
          <cell r="H55">
            <v>0</v>
          </cell>
          <cell r="J55">
            <v>4994</v>
          </cell>
          <cell r="K55">
            <v>0</v>
          </cell>
          <cell r="L55">
            <v>5000</v>
          </cell>
        </row>
        <row r="56">
          <cell r="D56">
            <v>4</v>
          </cell>
          <cell r="G56">
            <v>998</v>
          </cell>
          <cell r="H56">
            <v>2</v>
          </cell>
          <cell r="J56">
            <v>4982</v>
          </cell>
          <cell r="K56">
            <v>0</v>
          </cell>
          <cell r="L56">
            <v>5000</v>
          </cell>
        </row>
        <row r="57">
          <cell r="D57">
            <v>7</v>
          </cell>
          <cell r="G57">
            <v>998</v>
          </cell>
          <cell r="H57">
            <v>3</v>
          </cell>
          <cell r="J57">
            <v>4978</v>
          </cell>
          <cell r="K57">
            <v>2</v>
          </cell>
          <cell r="L57">
            <v>5000</v>
          </cell>
        </row>
        <row r="58">
          <cell r="D58">
            <v>8</v>
          </cell>
          <cell r="G58">
            <v>797</v>
          </cell>
          <cell r="H58">
            <v>1</v>
          </cell>
          <cell r="J58">
            <v>3180</v>
          </cell>
          <cell r="K58">
            <v>0</v>
          </cell>
          <cell r="L58">
            <v>5000</v>
          </cell>
        </row>
        <row r="59">
          <cell r="D59">
            <v>15</v>
          </cell>
          <cell r="G59">
            <v>997</v>
          </cell>
          <cell r="H59">
            <v>7</v>
          </cell>
          <cell r="J59">
            <v>4970</v>
          </cell>
          <cell r="K59">
            <v>2</v>
          </cell>
          <cell r="L59">
            <v>5000</v>
          </cell>
        </row>
        <row r="60">
          <cell r="D60">
            <v>17</v>
          </cell>
          <cell r="G60">
            <v>788</v>
          </cell>
          <cell r="H60">
            <v>4</v>
          </cell>
          <cell r="J60">
            <v>3104</v>
          </cell>
          <cell r="K60">
            <v>3</v>
          </cell>
          <cell r="L60">
            <v>5000</v>
          </cell>
        </row>
        <row r="61">
          <cell r="D61">
            <v>22</v>
          </cell>
          <cell r="G61">
            <v>760</v>
          </cell>
          <cell r="H61">
            <v>5</v>
          </cell>
          <cell r="J61">
            <v>2878</v>
          </cell>
          <cell r="K61">
            <v>1</v>
          </cell>
          <cell r="L61">
            <v>5000</v>
          </cell>
        </row>
        <row r="62">
          <cell r="D62">
            <v>24</v>
          </cell>
          <cell r="G62">
            <v>787</v>
          </cell>
          <cell r="H62">
            <v>4</v>
          </cell>
          <cell r="J62">
            <v>3098</v>
          </cell>
          <cell r="K62">
            <v>7</v>
          </cell>
          <cell r="L62">
            <v>5000</v>
          </cell>
        </row>
        <row r="63">
          <cell r="D63">
            <v>26</v>
          </cell>
          <cell r="G63">
            <v>778</v>
          </cell>
          <cell r="H63">
            <v>5</v>
          </cell>
          <cell r="J63">
            <v>3024</v>
          </cell>
          <cell r="K63">
            <v>4</v>
          </cell>
          <cell r="L63">
            <v>5000</v>
          </cell>
        </row>
        <row r="64">
          <cell r="D64">
            <v>29</v>
          </cell>
          <cell r="G64">
            <v>798</v>
          </cell>
          <cell r="H64">
            <v>4</v>
          </cell>
          <cell r="J64">
            <v>3184</v>
          </cell>
          <cell r="K64">
            <v>5</v>
          </cell>
          <cell r="L64">
            <v>5000</v>
          </cell>
        </row>
        <row r="65">
          <cell r="D65">
            <v>26</v>
          </cell>
          <cell r="G65">
            <v>555</v>
          </cell>
          <cell r="H65">
            <v>4</v>
          </cell>
          <cell r="J65">
            <v>1536</v>
          </cell>
          <cell r="K65">
            <v>4</v>
          </cell>
          <cell r="L65">
            <v>5000</v>
          </cell>
        </row>
        <row r="66">
          <cell r="D66">
            <v>25</v>
          </cell>
          <cell r="G66">
            <v>802</v>
          </cell>
          <cell r="H66">
            <v>3</v>
          </cell>
          <cell r="J66">
            <v>3216</v>
          </cell>
          <cell r="K66">
            <v>5</v>
          </cell>
          <cell r="L66">
            <v>5000</v>
          </cell>
        </row>
        <row r="67">
          <cell r="D67">
            <v>22</v>
          </cell>
          <cell r="G67">
            <v>552</v>
          </cell>
          <cell r="H67">
            <v>2</v>
          </cell>
          <cell r="J67">
            <v>1536</v>
          </cell>
          <cell r="K67">
            <v>4</v>
          </cell>
          <cell r="L67">
            <v>5000</v>
          </cell>
        </row>
        <row r="68">
          <cell r="D68">
            <v>20</v>
          </cell>
          <cell r="G68">
            <v>790</v>
          </cell>
          <cell r="H68">
            <v>2</v>
          </cell>
          <cell r="J68">
            <v>3112</v>
          </cell>
          <cell r="K68">
            <v>4</v>
          </cell>
          <cell r="L68">
            <v>5000</v>
          </cell>
        </row>
        <row r="69">
          <cell r="D69">
            <v>18</v>
          </cell>
          <cell r="G69">
            <v>800</v>
          </cell>
          <cell r="H69">
            <v>3</v>
          </cell>
          <cell r="J69">
            <v>3200</v>
          </cell>
          <cell r="K69">
            <v>3</v>
          </cell>
          <cell r="L69">
            <v>5000</v>
          </cell>
        </row>
        <row r="70">
          <cell r="D70">
            <v>14</v>
          </cell>
          <cell r="G70">
            <v>749</v>
          </cell>
          <cell r="H70">
            <v>0</v>
          </cell>
          <cell r="J70">
            <v>2804</v>
          </cell>
          <cell r="K70">
            <v>2</v>
          </cell>
          <cell r="L70">
            <v>5000</v>
          </cell>
        </row>
        <row r="71">
          <cell r="D71">
            <v>12</v>
          </cell>
          <cell r="G71">
            <v>781</v>
          </cell>
          <cell r="H71">
            <v>2</v>
          </cell>
          <cell r="J71">
            <v>3038</v>
          </cell>
          <cell r="K71">
            <v>2</v>
          </cell>
          <cell r="L71">
            <v>5000</v>
          </cell>
        </row>
        <row r="72">
          <cell r="D72">
            <v>9</v>
          </cell>
          <cell r="G72">
            <v>790</v>
          </cell>
          <cell r="H72">
            <v>0</v>
          </cell>
          <cell r="J72">
            <v>3118</v>
          </cell>
          <cell r="K72">
            <v>3</v>
          </cell>
          <cell r="L72">
            <v>5000</v>
          </cell>
        </row>
        <row r="73">
          <cell r="D73">
            <v>8</v>
          </cell>
          <cell r="G73">
            <v>771</v>
          </cell>
          <cell r="H73">
            <v>1</v>
          </cell>
          <cell r="J73">
            <v>2962</v>
          </cell>
          <cell r="K73">
            <v>0</v>
          </cell>
          <cell r="L73">
            <v>5000</v>
          </cell>
        </row>
        <row r="74">
          <cell r="D74">
            <v>8</v>
          </cell>
          <cell r="G74">
            <v>994</v>
          </cell>
          <cell r="H74">
            <v>2</v>
          </cell>
          <cell r="J74">
            <v>4942</v>
          </cell>
          <cell r="K74">
            <v>2</v>
          </cell>
          <cell r="L74">
            <v>5000</v>
          </cell>
        </row>
        <row r="75">
          <cell r="D75">
            <v>6</v>
          </cell>
          <cell r="G75">
            <v>786</v>
          </cell>
          <cell r="H75">
            <v>1</v>
          </cell>
          <cell r="J75">
            <v>3086</v>
          </cell>
          <cell r="K75">
            <v>0</v>
          </cell>
          <cell r="L75">
            <v>5000</v>
          </cell>
        </row>
        <row r="76">
          <cell r="D76">
            <v>6</v>
          </cell>
          <cell r="G76">
            <v>997</v>
          </cell>
          <cell r="H76">
            <v>0</v>
          </cell>
          <cell r="J76">
            <v>4966</v>
          </cell>
          <cell r="K76">
            <v>1</v>
          </cell>
          <cell r="L76">
            <v>5000</v>
          </cell>
        </row>
        <row r="77">
          <cell r="D77">
            <v>6</v>
          </cell>
          <cell r="G77">
            <v>786</v>
          </cell>
          <cell r="H77">
            <v>2</v>
          </cell>
          <cell r="J77">
            <v>3078</v>
          </cell>
          <cell r="K77">
            <v>2</v>
          </cell>
          <cell r="L77">
            <v>5000</v>
          </cell>
        </row>
        <row r="78">
          <cell r="D78">
            <v>7</v>
          </cell>
          <cell r="G78">
            <v>794</v>
          </cell>
          <cell r="H78">
            <v>1</v>
          </cell>
          <cell r="J78">
            <v>3150</v>
          </cell>
          <cell r="K78">
            <v>1</v>
          </cell>
          <cell r="L78">
            <v>5000</v>
          </cell>
        </row>
        <row r="79">
          <cell r="D79">
            <v>8</v>
          </cell>
          <cell r="G79">
            <v>788</v>
          </cell>
          <cell r="H79">
            <v>2</v>
          </cell>
          <cell r="J79">
            <v>3106</v>
          </cell>
          <cell r="K79">
            <v>0</v>
          </cell>
          <cell r="L79">
            <v>5000</v>
          </cell>
        </row>
        <row r="80">
          <cell r="D80">
            <v>10</v>
          </cell>
          <cell r="G80">
            <v>997</v>
          </cell>
          <cell r="H80">
            <v>4</v>
          </cell>
          <cell r="J80">
            <v>4972</v>
          </cell>
          <cell r="K80">
            <v>2</v>
          </cell>
          <cell r="L80">
            <v>5000</v>
          </cell>
        </row>
        <row r="81">
          <cell r="D81">
            <v>9</v>
          </cell>
          <cell r="G81">
            <v>794</v>
          </cell>
          <cell r="H81">
            <v>0</v>
          </cell>
          <cell r="J81">
            <v>3160</v>
          </cell>
          <cell r="K81">
            <v>1</v>
          </cell>
          <cell r="L81">
            <v>5000</v>
          </cell>
        </row>
        <row r="82">
          <cell r="D82">
            <v>11</v>
          </cell>
          <cell r="G82">
            <v>798</v>
          </cell>
          <cell r="H82">
            <v>2</v>
          </cell>
          <cell r="J82">
            <v>3184</v>
          </cell>
          <cell r="K82">
            <v>2</v>
          </cell>
          <cell r="L82">
            <v>5000</v>
          </cell>
        </row>
        <row r="83">
          <cell r="D83">
            <v>10</v>
          </cell>
          <cell r="G83">
            <v>784</v>
          </cell>
          <cell r="H83">
            <v>1</v>
          </cell>
          <cell r="J83">
            <v>3080</v>
          </cell>
          <cell r="K83">
            <v>4</v>
          </cell>
          <cell r="L83">
            <v>5000</v>
          </cell>
        </row>
        <row r="84">
          <cell r="D84">
            <v>10</v>
          </cell>
          <cell r="G84">
            <v>802</v>
          </cell>
          <cell r="H84">
            <v>1</v>
          </cell>
          <cell r="J84">
            <v>3216</v>
          </cell>
          <cell r="K84">
            <v>0</v>
          </cell>
          <cell r="L84">
            <v>5000</v>
          </cell>
        </row>
        <row r="85">
          <cell r="D85">
            <v>9</v>
          </cell>
          <cell r="G85">
            <v>994</v>
          </cell>
          <cell r="H85">
            <v>1</v>
          </cell>
          <cell r="J85">
            <v>4944</v>
          </cell>
          <cell r="K85">
            <v>2</v>
          </cell>
          <cell r="L85">
            <v>5000</v>
          </cell>
        </row>
        <row r="86">
          <cell r="D86">
            <v>6</v>
          </cell>
          <cell r="G86">
            <v>785</v>
          </cell>
          <cell r="H86">
            <v>1</v>
          </cell>
          <cell r="J86">
            <v>3080</v>
          </cell>
          <cell r="K86">
            <v>1</v>
          </cell>
          <cell r="L86">
            <v>5000</v>
          </cell>
        </row>
        <row r="87">
          <cell r="D87">
            <v>7</v>
          </cell>
          <cell r="G87">
            <v>996</v>
          </cell>
          <cell r="H87">
            <v>1</v>
          </cell>
          <cell r="J87">
            <v>4970</v>
          </cell>
          <cell r="K87">
            <v>1</v>
          </cell>
          <cell r="L87">
            <v>5000</v>
          </cell>
        </row>
        <row r="88">
          <cell r="D88">
            <v>5</v>
          </cell>
          <cell r="G88">
            <v>796</v>
          </cell>
          <cell r="H88">
            <v>0</v>
          </cell>
          <cell r="J88">
            <v>3172</v>
          </cell>
          <cell r="K88">
            <v>1</v>
          </cell>
          <cell r="L88">
            <v>5000</v>
          </cell>
        </row>
        <row r="89">
          <cell r="D89">
            <v>4</v>
          </cell>
          <cell r="G89">
            <v>793</v>
          </cell>
          <cell r="H89">
            <v>0</v>
          </cell>
          <cell r="J89">
            <v>3150</v>
          </cell>
          <cell r="K89">
            <v>1</v>
          </cell>
          <cell r="L89">
            <v>5000</v>
          </cell>
        </row>
        <row r="90">
          <cell r="D90">
            <v>3</v>
          </cell>
          <cell r="G90">
            <v>791</v>
          </cell>
          <cell r="H90">
            <v>0</v>
          </cell>
          <cell r="J90">
            <v>3124</v>
          </cell>
          <cell r="K90">
            <v>1</v>
          </cell>
          <cell r="L90">
            <v>5000</v>
          </cell>
        </row>
        <row r="91">
          <cell r="D91">
            <v>2</v>
          </cell>
          <cell r="G91">
            <v>795</v>
          </cell>
          <cell r="H91">
            <v>0</v>
          </cell>
          <cell r="J91">
            <v>3156</v>
          </cell>
          <cell r="K91">
            <v>0</v>
          </cell>
          <cell r="L91">
            <v>5000</v>
          </cell>
        </row>
        <row r="92">
          <cell r="D92">
            <v>2</v>
          </cell>
          <cell r="G92">
            <v>997</v>
          </cell>
          <cell r="H92">
            <v>1</v>
          </cell>
          <cell r="J92">
            <v>4974</v>
          </cell>
          <cell r="K92">
            <v>0</v>
          </cell>
          <cell r="L92">
            <v>5000</v>
          </cell>
        </row>
        <row r="93">
          <cell r="D93">
            <v>1</v>
          </cell>
          <cell r="G93">
            <v>998</v>
          </cell>
          <cell r="H93">
            <v>0</v>
          </cell>
          <cell r="J93">
            <v>4978</v>
          </cell>
          <cell r="K93">
            <v>0</v>
          </cell>
          <cell r="L93">
            <v>5000</v>
          </cell>
        </row>
        <row r="94">
          <cell r="D94">
            <v>1</v>
          </cell>
          <cell r="G94">
            <v>998</v>
          </cell>
          <cell r="H94">
            <v>0</v>
          </cell>
          <cell r="J94">
            <v>4984</v>
          </cell>
          <cell r="K94">
            <v>0</v>
          </cell>
          <cell r="L94">
            <v>5000</v>
          </cell>
        </row>
        <row r="95">
          <cell r="D95">
            <v>1</v>
          </cell>
          <cell r="G95">
            <v>997</v>
          </cell>
          <cell r="H95">
            <v>0</v>
          </cell>
          <cell r="J95">
            <v>4974</v>
          </cell>
          <cell r="K95">
            <v>1</v>
          </cell>
          <cell r="L95">
            <v>5000</v>
          </cell>
        </row>
        <row r="96">
          <cell r="D96">
            <v>1</v>
          </cell>
          <cell r="G96">
            <v>790</v>
          </cell>
          <cell r="H96">
            <v>0</v>
          </cell>
          <cell r="J96">
            <v>3120</v>
          </cell>
          <cell r="K96">
            <v>0</v>
          </cell>
          <cell r="L96">
            <v>5000</v>
          </cell>
        </row>
        <row r="97">
          <cell r="D97">
            <v>1</v>
          </cell>
          <cell r="G97">
            <v>997</v>
          </cell>
          <cell r="H97">
            <v>0</v>
          </cell>
          <cell r="J97">
            <v>4970</v>
          </cell>
          <cell r="K97">
            <v>0</v>
          </cell>
          <cell r="L97">
            <v>5000</v>
          </cell>
        </row>
        <row r="98">
          <cell r="D98">
            <v>0</v>
          </cell>
          <cell r="G98">
            <v>998</v>
          </cell>
          <cell r="H98">
            <v>0</v>
          </cell>
          <cell r="J98">
            <v>4976</v>
          </cell>
          <cell r="K98">
            <v>0</v>
          </cell>
          <cell r="L98">
            <v>5000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0962-2D0B-467B-AD0C-7D30FF63E54B}">
  <dimension ref="A2:V9"/>
  <sheetViews>
    <sheetView topLeftCell="B52" zoomScale="70" zoomScaleNormal="70" workbookViewId="0">
      <selection activeCell="H3" sqref="H3:J3"/>
    </sheetView>
  </sheetViews>
  <sheetFormatPr defaultRowHeight="14.5" x14ac:dyDescent="0.35"/>
  <sheetData>
    <row r="2" spans="1:22" x14ac:dyDescent="0.35">
      <c r="A2" t="s">
        <v>56</v>
      </c>
      <c r="G2" t="s">
        <v>47</v>
      </c>
      <c r="M2" t="s">
        <v>36</v>
      </c>
      <c r="S2" t="s">
        <v>37</v>
      </c>
    </row>
    <row r="3" spans="1:22" x14ac:dyDescent="0.35">
      <c r="B3" t="s">
        <v>61</v>
      </c>
      <c r="C3" t="s">
        <v>62</v>
      </c>
      <c r="D3" t="s">
        <v>63</v>
      </c>
      <c r="H3" t="s">
        <v>61</v>
      </c>
      <c r="I3" t="s">
        <v>62</v>
      </c>
      <c r="J3" t="s">
        <v>63</v>
      </c>
      <c r="N3" t="s">
        <v>61</v>
      </c>
      <c r="O3" t="s">
        <v>62</v>
      </c>
      <c r="P3" t="s">
        <v>63</v>
      </c>
      <c r="T3" t="s">
        <v>61</v>
      </c>
      <c r="U3" t="s">
        <v>62</v>
      </c>
      <c r="V3" t="s">
        <v>63</v>
      </c>
    </row>
    <row r="4" spans="1:22" x14ac:dyDescent="0.35">
      <c r="A4" t="s">
        <v>44</v>
      </c>
      <c r="B4">
        <f>'# Out NF'!O38</f>
        <v>0.99992000000000003</v>
      </c>
      <c r="C4">
        <f>'# Out SF'!O46</f>
        <v>0.8781000000000001</v>
      </c>
      <c r="D4">
        <f>'# Out FF'!O209</f>
        <v>0.71815999999999991</v>
      </c>
      <c r="G4" t="s">
        <v>44</v>
      </c>
      <c r="H4">
        <f>'New Infections NF'!B44</f>
        <v>998</v>
      </c>
      <c r="I4">
        <f>'New Infections SF'!B52</f>
        <v>775</v>
      </c>
      <c r="J4">
        <f>'New Infections FF'!B218</f>
        <v>377</v>
      </c>
      <c r="M4" t="s">
        <v>44</v>
      </c>
      <c r="N4">
        <f>'New Infections NF'!B40</f>
        <v>189.5</v>
      </c>
      <c r="O4">
        <f>'New Infections SF'!B48</f>
        <v>94.5</v>
      </c>
      <c r="P4">
        <f>'New Infections FF'!B214</f>
        <v>20</v>
      </c>
      <c r="S4" t="s">
        <v>44</v>
      </c>
      <c r="T4">
        <f>MEDIAN('# Out NF'!B37:K37)</f>
        <v>24</v>
      </c>
      <c r="U4">
        <v>30.5</v>
      </c>
      <c r="V4">
        <v>87</v>
      </c>
    </row>
    <row r="5" spans="1:22" x14ac:dyDescent="0.35">
      <c r="A5" t="s">
        <v>45</v>
      </c>
      <c r="B5">
        <f>'# Out NF'!O39</f>
        <v>0.99872000000000016</v>
      </c>
      <c r="C5">
        <f>'# Out SF'!O47</f>
        <v>0.87387999999999988</v>
      </c>
      <c r="D5">
        <f>'# Out FF'!O210</f>
        <v>0.69931999999999983</v>
      </c>
      <c r="G5" t="s">
        <v>45</v>
      </c>
      <c r="H5">
        <f>'New Infections NF'!B45</f>
        <v>997</v>
      </c>
      <c r="I5">
        <f>'New Infections SF'!B53</f>
        <v>761</v>
      </c>
      <c r="J5">
        <f>'New Infections FF'!B219</f>
        <v>345</v>
      </c>
      <c r="M5" t="s">
        <v>45</v>
      </c>
      <c r="N5">
        <f>'New Infections NF'!B41</f>
        <v>178</v>
      </c>
      <c r="O5">
        <f>'New Infections SF'!B49</f>
        <v>87</v>
      </c>
      <c r="P5">
        <f>'New Infections FF'!B215</f>
        <v>17</v>
      </c>
      <c r="S5" t="s">
        <v>45</v>
      </c>
      <c r="T5">
        <v>22</v>
      </c>
      <c r="U5">
        <v>26</v>
      </c>
      <c r="V5">
        <v>75</v>
      </c>
    </row>
    <row r="6" spans="1:22" x14ac:dyDescent="0.35">
      <c r="A6" t="s">
        <v>46</v>
      </c>
      <c r="B6">
        <f>'# Out NF'!O40</f>
        <v>1</v>
      </c>
      <c r="C6">
        <f>'# Out SF'!O48</f>
        <v>0.87975999999999988</v>
      </c>
      <c r="D6">
        <f>'# Out FF'!O211</f>
        <v>0.73884000000000005</v>
      </c>
      <c r="G6" t="s">
        <v>46</v>
      </c>
      <c r="H6">
        <f>'New Infections NF'!B46</f>
        <v>999</v>
      </c>
      <c r="I6">
        <f>'New Infections SF'!B54</f>
        <v>793</v>
      </c>
      <c r="J6">
        <f>'New Infections FF'!B220</f>
        <v>478</v>
      </c>
      <c r="M6" t="s">
        <v>46</v>
      </c>
      <c r="N6">
        <f>'New Infections NF'!B42</f>
        <v>198</v>
      </c>
      <c r="O6">
        <f>'New Infections SF'!B50</f>
        <v>104</v>
      </c>
      <c r="P6">
        <f>'New Infections FF'!B216</f>
        <v>29</v>
      </c>
      <c r="S6" t="s">
        <v>46</v>
      </c>
      <c r="T6">
        <v>25</v>
      </c>
      <c r="U6">
        <v>33</v>
      </c>
      <c r="V6">
        <v>123</v>
      </c>
    </row>
    <row r="8" spans="1:22" x14ac:dyDescent="0.35">
      <c r="A8" t="s">
        <v>59</v>
      </c>
      <c r="B8">
        <f>B4-B5</f>
        <v>1.1999999999998678E-3</v>
      </c>
      <c r="C8">
        <f t="shared" ref="C8:D8" si="0">C4-C5</f>
        <v>4.2200000000002236E-3</v>
      </c>
      <c r="D8">
        <f t="shared" si="0"/>
        <v>1.8840000000000079E-2</v>
      </c>
      <c r="G8" t="s">
        <v>59</v>
      </c>
      <c r="H8">
        <f>H4-H5</f>
        <v>1</v>
      </c>
      <c r="I8">
        <f t="shared" ref="I8:J8" si="1">I4-I5</f>
        <v>14</v>
      </c>
      <c r="J8">
        <f t="shared" si="1"/>
        <v>32</v>
      </c>
      <c r="M8" t="s">
        <v>59</v>
      </c>
      <c r="N8">
        <f>N4-N5</f>
        <v>11.5</v>
      </c>
      <c r="O8">
        <f t="shared" ref="O8:P8" si="2">O4-O5</f>
        <v>7.5</v>
      </c>
      <c r="P8">
        <f t="shared" si="2"/>
        <v>3</v>
      </c>
      <c r="S8" t="s">
        <v>59</v>
      </c>
      <c r="T8">
        <f>T4-T5</f>
        <v>2</v>
      </c>
      <c r="U8">
        <f t="shared" ref="U8:V8" si="3">U4-U5</f>
        <v>4.5</v>
      </c>
      <c r="V8">
        <f t="shared" si="3"/>
        <v>12</v>
      </c>
    </row>
    <row r="9" spans="1:22" x14ac:dyDescent="0.35">
      <c r="A9" t="s">
        <v>60</v>
      </c>
      <c r="B9">
        <f>B6-B4</f>
        <v>7.9999999999968985E-5</v>
      </c>
      <c r="C9">
        <f t="shared" ref="C9:D9" si="4">C6-C4</f>
        <v>1.6599999999997728E-3</v>
      </c>
      <c r="D9">
        <f t="shared" si="4"/>
        <v>2.0680000000000143E-2</v>
      </c>
      <c r="G9" t="s">
        <v>60</v>
      </c>
      <c r="H9">
        <f>H6-H4</f>
        <v>1</v>
      </c>
      <c r="I9">
        <f t="shared" ref="I9:J9" si="5">I6-I4</f>
        <v>18</v>
      </c>
      <c r="J9">
        <f t="shared" si="5"/>
        <v>101</v>
      </c>
      <c r="M9" t="s">
        <v>60</v>
      </c>
      <c r="N9">
        <f>N6-N4</f>
        <v>8.5</v>
      </c>
      <c r="O9">
        <f t="shared" ref="O9:P9" si="6">O6-O4</f>
        <v>9.5</v>
      </c>
      <c r="P9">
        <f t="shared" si="6"/>
        <v>9</v>
      </c>
      <c r="S9" t="s">
        <v>60</v>
      </c>
      <c r="T9">
        <f>T6-T4</f>
        <v>1</v>
      </c>
      <c r="U9">
        <f t="shared" ref="U9:V9" si="7">U6-U4</f>
        <v>2.5</v>
      </c>
      <c r="V9">
        <f t="shared" si="7"/>
        <v>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82C3-5C3A-44D4-B1DC-45E7CAF5ED1B}">
  <dimension ref="AD1:AG199"/>
  <sheetViews>
    <sheetView topLeftCell="P1" zoomScale="130" zoomScaleNormal="130" workbookViewId="0">
      <selection activeCell="AG2" sqref="AG2"/>
    </sheetView>
  </sheetViews>
  <sheetFormatPr defaultRowHeight="14.5" x14ac:dyDescent="0.35"/>
  <sheetData>
    <row r="1" spans="30:33" x14ac:dyDescent="0.35">
      <c r="AD1" t="s">
        <v>33</v>
      </c>
      <c r="AE1" t="s">
        <v>61</v>
      </c>
      <c r="AF1" t="s">
        <v>62</v>
      </c>
      <c r="AG1" t="s">
        <v>63</v>
      </c>
    </row>
    <row r="2" spans="30:33" x14ac:dyDescent="0.35">
      <c r="AE2">
        <f>'New Infections NF'!N3</f>
        <v>2</v>
      </c>
      <c r="AF2">
        <f>'New Infections SF'!N3</f>
        <v>2</v>
      </c>
      <c r="AG2">
        <f>'New Infections FF'!N3</f>
        <v>2</v>
      </c>
    </row>
    <row r="3" spans="30:33" x14ac:dyDescent="0.35">
      <c r="AE3">
        <f>'New Infections NF'!N4</f>
        <v>4.0999999999999996</v>
      </c>
      <c r="AF3">
        <f>'New Infections SF'!N4</f>
        <v>4</v>
      </c>
      <c r="AG3">
        <f>'New Infections FF'!N4</f>
        <v>4.2</v>
      </c>
    </row>
    <row r="4" spans="30:33" x14ac:dyDescent="0.35">
      <c r="AE4">
        <f>'New Infections NF'!N5</f>
        <v>7.8</v>
      </c>
      <c r="AF4">
        <f>'New Infections SF'!N5</f>
        <v>8.5</v>
      </c>
      <c r="AG4">
        <f>'New Infections FF'!N5</f>
        <v>8.4</v>
      </c>
    </row>
    <row r="5" spans="30:33" x14ac:dyDescent="0.35">
      <c r="AE5">
        <f>'New Infections NF'!N6</f>
        <v>15</v>
      </c>
      <c r="AF5">
        <f>'New Infections SF'!N6</f>
        <v>15</v>
      </c>
      <c r="AG5">
        <f>'New Infections FF'!N6</f>
        <v>15.3</v>
      </c>
    </row>
    <row r="6" spans="30:33" x14ac:dyDescent="0.35">
      <c r="AE6">
        <f>'New Infections NF'!N7</f>
        <v>30.3</v>
      </c>
      <c r="AF6">
        <f>'New Infections SF'!N7</f>
        <v>23.8</v>
      </c>
      <c r="AG6">
        <f>'New Infections FF'!N7</f>
        <v>22.5</v>
      </c>
    </row>
    <row r="7" spans="30:33" x14ac:dyDescent="0.35">
      <c r="AE7">
        <f>'New Infections NF'!N8</f>
        <v>57.6</v>
      </c>
      <c r="AF7">
        <f>'New Infections SF'!N8</f>
        <v>38.6</v>
      </c>
      <c r="AG7">
        <f>'New Infections FF'!N8</f>
        <v>32</v>
      </c>
    </row>
    <row r="8" spans="30:33" x14ac:dyDescent="0.35">
      <c r="AE8">
        <f>'New Infections NF'!N9</f>
        <v>112.2</v>
      </c>
      <c r="AF8">
        <f>'New Infections SF'!N9</f>
        <v>60.1</v>
      </c>
      <c r="AG8">
        <f>'New Infections FF'!N9</f>
        <v>41.9</v>
      </c>
    </row>
    <row r="9" spans="30:33" x14ac:dyDescent="0.35">
      <c r="AE9">
        <f>'New Infections NF'!N10</f>
        <v>196.5</v>
      </c>
      <c r="AF9">
        <f>'New Infections SF'!N10</f>
        <v>93.7</v>
      </c>
      <c r="AG9">
        <f>'New Infections FF'!N10</f>
        <v>52.8</v>
      </c>
    </row>
    <row r="10" spans="30:33" x14ac:dyDescent="0.35">
      <c r="AE10">
        <f>'New Infections NF'!N11</f>
        <v>329</v>
      </c>
      <c r="AF10">
        <f>'New Infections SF'!N11</f>
        <v>136.4</v>
      </c>
      <c r="AG10">
        <f>'New Infections FF'!N11</f>
        <v>62.699999999999996</v>
      </c>
    </row>
    <row r="11" spans="30:33" x14ac:dyDescent="0.35">
      <c r="AE11">
        <f>'New Infections NF'!N12</f>
        <v>504.4</v>
      </c>
      <c r="AF11">
        <f>'New Infections SF'!N12</f>
        <v>193.60000000000002</v>
      </c>
      <c r="AG11">
        <f>'New Infections FF'!N12</f>
        <v>71.899999999999991</v>
      </c>
    </row>
    <row r="12" spans="30:33" x14ac:dyDescent="0.35">
      <c r="AE12">
        <f>'New Infections NF'!N13</f>
        <v>686</v>
      </c>
      <c r="AF12">
        <f>'New Infections SF'!N13</f>
        <v>261.10000000000002</v>
      </c>
      <c r="AG12">
        <f>'New Infections FF'!N13</f>
        <v>82.8</v>
      </c>
    </row>
    <row r="13" spans="30:33" x14ac:dyDescent="0.35">
      <c r="AE13">
        <f>'New Infections NF'!N14</f>
        <v>832.6</v>
      </c>
      <c r="AF13">
        <f>'New Infections SF'!N14</f>
        <v>336.90000000000003</v>
      </c>
      <c r="AG13">
        <f>'New Infections FF'!N14</f>
        <v>92.1</v>
      </c>
    </row>
    <row r="14" spans="30:33" x14ac:dyDescent="0.35">
      <c r="AE14">
        <f>'New Infections NF'!N15</f>
        <v>921.9</v>
      </c>
      <c r="AF14">
        <f>'New Infections SF'!N15</f>
        <v>418.6</v>
      </c>
      <c r="AG14">
        <f>'New Infections FF'!N15</f>
        <v>99.699999999999989</v>
      </c>
    </row>
    <row r="15" spans="30:33" x14ac:dyDescent="0.35">
      <c r="AE15">
        <f>'New Infections NF'!N16</f>
        <v>965.8</v>
      </c>
      <c r="AF15">
        <f>'New Infections SF'!N16</f>
        <v>493.8</v>
      </c>
      <c r="AG15">
        <f>'New Infections FF'!N16</f>
        <v>106.99999999999999</v>
      </c>
    </row>
    <row r="16" spans="30:33" x14ac:dyDescent="0.35">
      <c r="AE16">
        <f>'New Infections NF'!N17</f>
        <v>985.8</v>
      </c>
      <c r="AF16">
        <f>'New Infections SF'!N17</f>
        <v>557.20000000000005</v>
      </c>
      <c r="AG16">
        <f>'New Infections FF'!N17</f>
        <v>113.29999999999998</v>
      </c>
    </row>
    <row r="17" spans="31:33" x14ac:dyDescent="0.35">
      <c r="AE17">
        <f>'New Infections NF'!N18</f>
        <v>992.59999999999991</v>
      </c>
      <c r="AF17">
        <f>'New Infections SF'!N18</f>
        <v>606.90000000000009</v>
      </c>
      <c r="AG17">
        <f>'New Infections FF'!N18</f>
        <v>119.19999999999999</v>
      </c>
    </row>
    <row r="18" spans="31:33" x14ac:dyDescent="0.35">
      <c r="AE18">
        <f>'New Infections NF'!N19</f>
        <v>995.19999999999993</v>
      </c>
      <c r="AF18">
        <f>'New Infections SF'!N19</f>
        <v>640.90000000000009</v>
      </c>
      <c r="AG18">
        <f>'New Infections FF'!N19</f>
        <v>125.39999999999999</v>
      </c>
    </row>
    <row r="19" spans="31:33" x14ac:dyDescent="0.35">
      <c r="AE19">
        <f>'New Infections NF'!N20</f>
        <v>996.8</v>
      </c>
      <c r="AF19">
        <f>'New Infections SF'!N20</f>
        <v>664.7</v>
      </c>
      <c r="AG19">
        <f>'New Infections FF'!N20</f>
        <v>132.1</v>
      </c>
    </row>
    <row r="20" spans="31:33" x14ac:dyDescent="0.35">
      <c r="AE20">
        <f>'New Infections NF'!N21</f>
        <v>997.09999999999991</v>
      </c>
      <c r="AF20">
        <f>'New Infections SF'!N21</f>
        <v>679.40000000000009</v>
      </c>
      <c r="AG20">
        <f>'New Infections FF'!N21</f>
        <v>138.79999999999998</v>
      </c>
    </row>
    <row r="21" spans="31:33" x14ac:dyDescent="0.35">
      <c r="AE21">
        <f>'New Infections NF'!N22</f>
        <v>997.49999999999989</v>
      </c>
      <c r="AF21">
        <f>'New Infections SF'!N22</f>
        <v>688.50000000000011</v>
      </c>
      <c r="AG21">
        <f>'New Infections FF'!N22</f>
        <v>145.99999999999997</v>
      </c>
    </row>
    <row r="22" spans="31:33" x14ac:dyDescent="0.35">
      <c r="AE22">
        <f>'New Infections NF'!N23</f>
        <v>997.59999999999991</v>
      </c>
      <c r="AF22">
        <f>'New Infections SF'!N23</f>
        <v>693.30000000000007</v>
      </c>
      <c r="AG22">
        <f>'New Infections FF'!N23</f>
        <v>153.19999999999996</v>
      </c>
    </row>
    <row r="23" spans="31:33" x14ac:dyDescent="0.35">
      <c r="AF23">
        <f>'New Infections SF'!N24</f>
        <v>696.40000000000009</v>
      </c>
      <c r="AG23">
        <f>'New Infections FF'!N24</f>
        <v>158.99999999999997</v>
      </c>
    </row>
    <row r="24" spans="31:33" x14ac:dyDescent="0.35">
      <c r="AF24">
        <f>'New Infections SF'!N25</f>
        <v>698.50000000000011</v>
      </c>
      <c r="AG24">
        <f>'New Infections FF'!N25</f>
        <v>165.29999999999998</v>
      </c>
    </row>
    <row r="25" spans="31:33" x14ac:dyDescent="0.35">
      <c r="AF25">
        <f>'New Infections SF'!N26</f>
        <v>699.70000000000016</v>
      </c>
      <c r="AG25">
        <f>'New Infections FF'!N26</f>
        <v>170.2</v>
      </c>
    </row>
    <row r="26" spans="31:33" x14ac:dyDescent="0.35">
      <c r="AF26">
        <f>'New Infections SF'!N27</f>
        <v>700.50000000000011</v>
      </c>
      <c r="AG26">
        <f>'New Infections FF'!N27</f>
        <v>175.6</v>
      </c>
    </row>
    <row r="27" spans="31:33" x14ac:dyDescent="0.35">
      <c r="AF27">
        <f>'New Infections SF'!N28</f>
        <v>701.00000000000011</v>
      </c>
      <c r="AG27">
        <f>'New Infections FF'!N28</f>
        <v>183.29999999999998</v>
      </c>
    </row>
    <row r="28" spans="31:33" x14ac:dyDescent="0.35">
      <c r="AF28">
        <f>'New Infections SF'!N29</f>
        <v>701.20000000000016</v>
      </c>
      <c r="AG28">
        <f>'New Infections FF'!N29</f>
        <v>190.29999999999998</v>
      </c>
    </row>
    <row r="29" spans="31:33" x14ac:dyDescent="0.35">
      <c r="AF29">
        <f>'New Infections SF'!N30</f>
        <v>701.30000000000018</v>
      </c>
      <c r="AG29">
        <f>'New Infections FF'!N30</f>
        <v>198.1</v>
      </c>
    </row>
    <row r="30" spans="31:33" x14ac:dyDescent="0.35">
      <c r="AF30">
        <f>'New Infections SF'!N31</f>
        <v>701.4000000000002</v>
      </c>
      <c r="AG30">
        <f>'New Infections FF'!N31</f>
        <v>205.9</v>
      </c>
    </row>
    <row r="31" spans="31:33" x14ac:dyDescent="0.35">
      <c r="AF31">
        <f>'New Infections SF'!N32</f>
        <v>701.4000000000002</v>
      </c>
      <c r="AG31">
        <f>'New Infections FF'!N32</f>
        <v>212.9</v>
      </c>
    </row>
    <row r="32" spans="31:33" x14ac:dyDescent="0.35">
      <c r="AF32">
        <f>'New Infections SF'!N33</f>
        <v>701.4000000000002</v>
      </c>
      <c r="AG32">
        <f>'New Infections FF'!N33</f>
        <v>218.4</v>
      </c>
    </row>
    <row r="33" spans="32:33" x14ac:dyDescent="0.35">
      <c r="AF33">
        <f>'New Infections SF'!N34</f>
        <v>701.4000000000002</v>
      </c>
      <c r="AG33">
        <f>'New Infections FF'!N34</f>
        <v>221.9</v>
      </c>
    </row>
    <row r="34" spans="32:33" x14ac:dyDescent="0.35">
      <c r="AF34">
        <f>'New Infections SF'!N35</f>
        <v>701.4000000000002</v>
      </c>
      <c r="AG34">
        <f>'New Infections FF'!N35</f>
        <v>226.5</v>
      </c>
    </row>
    <row r="35" spans="32:33" x14ac:dyDescent="0.35">
      <c r="AF35">
        <f>'New Infections SF'!N36</f>
        <v>701.4000000000002</v>
      </c>
      <c r="AG35">
        <f>'New Infections FF'!N36</f>
        <v>230.4</v>
      </c>
    </row>
    <row r="36" spans="32:33" x14ac:dyDescent="0.35">
      <c r="AF36">
        <f>'New Infections SF'!N37</f>
        <v>701.4000000000002</v>
      </c>
      <c r="AG36">
        <f>'New Infections FF'!N37</f>
        <v>234.5</v>
      </c>
    </row>
    <row r="37" spans="32:33" x14ac:dyDescent="0.35">
      <c r="AG37">
        <f>'New Infections FF'!N38</f>
        <v>239.5</v>
      </c>
    </row>
    <row r="38" spans="32:33" x14ac:dyDescent="0.35">
      <c r="AG38">
        <f>'New Infections FF'!N39</f>
        <v>243.9</v>
      </c>
    </row>
    <row r="39" spans="32:33" x14ac:dyDescent="0.35">
      <c r="AG39">
        <f>'New Infections FF'!N40</f>
        <v>246.9</v>
      </c>
    </row>
    <row r="40" spans="32:33" x14ac:dyDescent="0.35">
      <c r="AG40">
        <f>'New Infections FF'!N41</f>
        <v>252</v>
      </c>
    </row>
    <row r="41" spans="32:33" x14ac:dyDescent="0.35">
      <c r="AG41">
        <f>'New Infections FF'!N42</f>
        <v>255.4</v>
      </c>
    </row>
    <row r="42" spans="32:33" x14ac:dyDescent="0.35">
      <c r="AG42">
        <f>'New Infections FF'!N43</f>
        <v>260.2</v>
      </c>
    </row>
    <row r="43" spans="32:33" x14ac:dyDescent="0.35">
      <c r="AG43">
        <f>'New Infections FF'!N44</f>
        <v>264.09999999999997</v>
      </c>
    </row>
    <row r="44" spans="32:33" x14ac:dyDescent="0.35">
      <c r="AG44">
        <f>'New Infections FF'!N45</f>
        <v>267.79999999999995</v>
      </c>
    </row>
    <row r="45" spans="32:33" x14ac:dyDescent="0.35">
      <c r="AG45">
        <f>'New Infections FF'!N46</f>
        <v>271.89999999999998</v>
      </c>
    </row>
    <row r="46" spans="32:33" x14ac:dyDescent="0.35">
      <c r="AG46">
        <f>'New Infections FF'!N47</f>
        <v>275.39999999999998</v>
      </c>
    </row>
    <row r="47" spans="32:33" x14ac:dyDescent="0.35">
      <c r="AG47">
        <f>'New Infections FF'!N48</f>
        <v>279.59999999999997</v>
      </c>
    </row>
    <row r="48" spans="32:33" x14ac:dyDescent="0.35">
      <c r="AG48">
        <f>'New Infections FF'!N49</f>
        <v>283.7</v>
      </c>
    </row>
    <row r="49" spans="33:33" x14ac:dyDescent="0.35">
      <c r="AG49">
        <f>'New Infections FF'!N50</f>
        <v>287.8</v>
      </c>
    </row>
    <row r="50" spans="33:33" x14ac:dyDescent="0.35">
      <c r="AG50">
        <f>'New Infections FF'!N51</f>
        <v>291.8</v>
      </c>
    </row>
    <row r="51" spans="33:33" x14ac:dyDescent="0.35">
      <c r="AG51">
        <f>'New Infections FF'!N52</f>
        <v>295.3</v>
      </c>
    </row>
    <row r="52" spans="33:33" x14ac:dyDescent="0.35">
      <c r="AG52">
        <f>'New Infections FF'!N53</f>
        <v>297.60000000000002</v>
      </c>
    </row>
    <row r="53" spans="33:33" x14ac:dyDescent="0.35">
      <c r="AG53">
        <f>'New Infections FF'!N54</f>
        <v>300.60000000000002</v>
      </c>
    </row>
    <row r="54" spans="33:33" x14ac:dyDescent="0.35">
      <c r="AG54">
        <f>'New Infections FF'!N55</f>
        <v>303.8</v>
      </c>
    </row>
    <row r="55" spans="33:33" x14ac:dyDescent="0.35">
      <c r="AG55">
        <f>'New Infections FF'!N56</f>
        <v>307.3</v>
      </c>
    </row>
    <row r="56" spans="33:33" x14ac:dyDescent="0.35">
      <c r="AG56">
        <f>'New Infections FF'!N57</f>
        <v>310.2</v>
      </c>
    </row>
    <row r="57" spans="33:33" x14ac:dyDescent="0.35">
      <c r="AG57">
        <f>'New Infections FF'!N58</f>
        <v>313.7</v>
      </c>
    </row>
    <row r="58" spans="33:33" x14ac:dyDescent="0.35">
      <c r="AG58">
        <f>'New Infections FF'!N59</f>
        <v>316.59999999999997</v>
      </c>
    </row>
    <row r="59" spans="33:33" x14ac:dyDescent="0.35">
      <c r="AG59">
        <f>'New Infections FF'!N60</f>
        <v>319.59999999999997</v>
      </c>
    </row>
    <row r="60" spans="33:33" x14ac:dyDescent="0.35">
      <c r="AG60">
        <f>'New Infections FF'!N61</f>
        <v>322.89999999999998</v>
      </c>
    </row>
    <row r="61" spans="33:33" x14ac:dyDescent="0.35">
      <c r="AG61">
        <f>'New Infections FF'!N62</f>
        <v>324.7</v>
      </c>
    </row>
    <row r="62" spans="33:33" x14ac:dyDescent="0.35">
      <c r="AG62">
        <f>'New Infections FF'!N63</f>
        <v>326.89999999999998</v>
      </c>
    </row>
    <row r="63" spans="33:33" x14ac:dyDescent="0.35">
      <c r="AG63">
        <f>'New Infections FF'!N64</f>
        <v>328.4</v>
      </c>
    </row>
    <row r="64" spans="33:33" x14ac:dyDescent="0.35">
      <c r="AG64">
        <f>'New Infections FF'!N65</f>
        <v>329.9</v>
      </c>
    </row>
    <row r="65" spans="33:33" x14ac:dyDescent="0.35">
      <c r="AG65">
        <f>'New Infections FF'!N66</f>
        <v>331.5</v>
      </c>
    </row>
    <row r="66" spans="33:33" x14ac:dyDescent="0.35">
      <c r="AG66">
        <f>'New Infections FF'!N67</f>
        <v>333.1</v>
      </c>
    </row>
    <row r="67" spans="33:33" x14ac:dyDescent="0.35">
      <c r="AG67">
        <f>'New Infections FF'!N68</f>
        <v>335.1</v>
      </c>
    </row>
    <row r="68" spans="33:33" x14ac:dyDescent="0.35">
      <c r="AG68">
        <f>'New Infections FF'!N69</f>
        <v>337.5</v>
      </c>
    </row>
    <row r="69" spans="33:33" x14ac:dyDescent="0.35">
      <c r="AG69">
        <f>'New Infections FF'!N70</f>
        <v>339</v>
      </c>
    </row>
    <row r="70" spans="33:33" x14ac:dyDescent="0.35">
      <c r="AG70">
        <f>'New Infections FF'!N71</f>
        <v>340.4</v>
      </c>
    </row>
    <row r="71" spans="33:33" x14ac:dyDescent="0.35">
      <c r="AG71">
        <f>'New Infections FF'!N72</f>
        <v>342</v>
      </c>
    </row>
    <row r="72" spans="33:33" x14ac:dyDescent="0.35">
      <c r="AG72">
        <f>'New Infections FF'!N73</f>
        <v>342.5</v>
      </c>
    </row>
    <row r="73" spans="33:33" x14ac:dyDescent="0.35">
      <c r="AG73">
        <f>'New Infections FF'!N74</f>
        <v>343.2</v>
      </c>
    </row>
    <row r="74" spans="33:33" x14ac:dyDescent="0.35">
      <c r="AG74">
        <f>'New Infections FF'!N75</f>
        <v>344.5</v>
      </c>
    </row>
    <row r="75" spans="33:33" x14ac:dyDescent="0.35">
      <c r="AG75">
        <f>'New Infections FF'!N76</f>
        <v>345.2</v>
      </c>
    </row>
    <row r="76" spans="33:33" x14ac:dyDescent="0.35">
      <c r="AG76">
        <f>'New Infections FF'!N77</f>
        <v>346.3</v>
      </c>
    </row>
    <row r="77" spans="33:33" x14ac:dyDescent="0.35">
      <c r="AG77">
        <f>'New Infections FF'!N78</f>
        <v>347.8</v>
      </c>
    </row>
    <row r="78" spans="33:33" x14ac:dyDescent="0.35">
      <c r="AG78">
        <f>'New Infections FF'!N79</f>
        <v>348.8</v>
      </c>
    </row>
    <row r="79" spans="33:33" x14ac:dyDescent="0.35">
      <c r="AG79">
        <f>'New Infections FF'!N80</f>
        <v>351.1</v>
      </c>
    </row>
    <row r="80" spans="33:33" x14ac:dyDescent="0.35">
      <c r="AG80">
        <f>'New Infections FF'!N81</f>
        <v>352.5</v>
      </c>
    </row>
    <row r="81" spans="33:33" x14ac:dyDescent="0.35">
      <c r="AG81">
        <f>'New Infections FF'!N82</f>
        <v>353</v>
      </c>
    </row>
    <row r="82" spans="33:33" x14ac:dyDescent="0.35">
      <c r="AG82">
        <f>'New Infections FF'!N83</f>
        <v>354.1</v>
      </c>
    </row>
    <row r="83" spans="33:33" x14ac:dyDescent="0.35">
      <c r="AG83">
        <f>'New Infections FF'!N84</f>
        <v>354.5</v>
      </c>
    </row>
    <row r="84" spans="33:33" x14ac:dyDescent="0.35">
      <c r="AG84">
        <f>'New Infections FF'!N85</f>
        <v>355</v>
      </c>
    </row>
    <row r="85" spans="33:33" x14ac:dyDescent="0.35">
      <c r="AG85">
        <f>'New Infections FF'!N86</f>
        <v>355.5</v>
      </c>
    </row>
    <row r="86" spans="33:33" x14ac:dyDescent="0.35">
      <c r="AG86">
        <f>'New Infections FF'!N87</f>
        <v>355.9</v>
      </c>
    </row>
    <row r="87" spans="33:33" x14ac:dyDescent="0.35">
      <c r="AG87">
        <f>'New Infections FF'!N88</f>
        <v>356.29999999999995</v>
      </c>
    </row>
    <row r="88" spans="33:33" x14ac:dyDescent="0.35">
      <c r="AG88">
        <f>'New Infections FF'!N89</f>
        <v>356.59999999999997</v>
      </c>
    </row>
    <row r="89" spans="33:33" x14ac:dyDescent="0.35">
      <c r="AG89">
        <f>'New Infections FF'!N90</f>
        <v>357.09999999999997</v>
      </c>
    </row>
    <row r="90" spans="33:33" x14ac:dyDescent="0.35">
      <c r="AG90">
        <f>'New Infections FF'!N91</f>
        <v>357.59999999999997</v>
      </c>
    </row>
    <row r="91" spans="33:33" x14ac:dyDescent="0.35">
      <c r="AG91">
        <f>'New Infections FF'!N92</f>
        <v>357.79999999999995</v>
      </c>
    </row>
    <row r="92" spans="33:33" x14ac:dyDescent="0.35">
      <c r="AG92">
        <f>'New Infections FF'!N93</f>
        <v>358.79999999999995</v>
      </c>
    </row>
    <row r="93" spans="33:33" x14ac:dyDescent="0.35">
      <c r="AG93">
        <f>'New Infections FF'!N94</f>
        <v>358.99999999999994</v>
      </c>
    </row>
    <row r="94" spans="33:33" x14ac:dyDescent="0.35">
      <c r="AG94">
        <f>'New Infections FF'!N95</f>
        <v>359.39999999999992</v>
      </c>
    </row>
    <row r="95" spans="33:33" x14ac:dyDescent="0.35">
      <c r="AG95">
        <f>'New Infections FF'!N96</f>
        <v>360.19999999999993</v>
      </c>
    </row>
    <row r="96" spans="33:33" x14ac:dyDescent="0.35">
      <c r="AG96">
        <f>'New Infections FF'!N97</f>
        <v>360.79999999999995</v>
      </c>
    </row>
    <row r="97" spans="33:33" x14ac:dyDescent="0.35">
      <c r="AG97">
        <f>'New Infections FF'!N98</f>
        <v>361.29999999999995</v>
      </c>
    </row>
    <row r="98" spans="33:33" x14ac:dyDescent="0.35">
      <c r="AG98">
        <f>'New Infections FF'!N99</f>
        <v>361.59999999999997</v>
      </c>
    </row>
    <row r="99" spans="33:33" x14ac:dyDescent="0.35">
      <c r="AG99">
        <f>'New Infections FF'!N100</f>
        <v>362.29999999999995</v>
      </c>
    </row>
    <row r="100" spans="33:33" x14ac:dyDescent="0.35">
      <c r="AG100">
        <f>'New Infections FF'!N101</f>
        <v>362.4</v>
      </c>
    </row>
    <row r="101" spans="33:33" x14ac:dyDescent="0.35">
      <c r="AG101">
        <f>'New Infections FF'!N102</f>
        <v>362.79999999999995</v>
      </c>
    </row>
    <row r="102" spans="33:33" x14ac:dyDescent="0.35">
      <c r="AG102">
        <f>'New Infections FF'!N103</f>
        <v>362.99999999999994</v>
      </c>
    </row>
    <row r="103" spans="33:33" x14ac:dyDescent="0.35">
      <c r="AG103">
        <f>'New Infections FF'!N104</f>
        <v>362.99999999999994</v>
      </c>
    </row>
    <row r="104" spans="33:33" x14ac:dyDescent="0.35">
      <c r="AG104">
        <f>'New Infections FF'!N105</f>
        <v>363.19999999999993</v>
      </c>
    </row>
    <row r="105" spans="33:33" x14ac:dyDescent="0.35">
      <c r="AG105">
        <f>'New Infections FF'!N106</f>
        <v>363.29999999999995</v>
      </c>
    </row>
    <row r="106" spans="33:33" x14ac:dyDescent="0.35">
      <c r="AG106">
        <f>'New Infections FF'!N107</f>
        <v>363.4</v>
      </c>
    </row>
    <row r="107" spans="33:33" x14ac:dyDescent="0.35">
      <c r="AG107">
        <f>'New Infections FF'!N108</f>
        <v>363.9</v>
      </c>
    </row>
    <row r="108" spans="33:33" x14ac:dyDescent="0.35">
      <c r="AG108">
        <f>'New Infections FF'!N109</f>
        <v>364.2</v>
      </c>
    </row>
    <row r="109" spans="33:33" x14ac:dyDescent="0.35">
      <c r="AG109">
        <f>'New Infections FF'!N110</f>
        <v>364.4</v>
      </c>
    </row>
    <row r="110" spans="33:33" x14ac:dyDescent="0.35">
      <c r="AG110">
        <f>'New Infections FF'!N111</f>
        <v>364.9</v>
      </c>
    </row>
    <row r="111" spans="33:33" x14ac:dyDescent="0.35">
      <c r="AG111">
        <f>'New Infections FF'!N112</f>
        <v>365.5</v>
      </c>
    </row>
    <row r="112" spans="33:33" x14ac:dyDescent="0.35">
      <c r="AG112">
        <f>'New Infections FF'!N113</f>
        <v>365.8</v>
      </c>
    </row>
    <row r="113" spans="33:33" x14ac:dyDescent="0.35">
      <c r="AG113">
        <f>'New Infections FF'!N114</f>
        <v>366.2</v>
      </c>
    </row>
    <row r="114" spans="33:33" x14ac:dyDescent="0.35">
      <c r="AG114">
        <f>'New Infections FF'!N115</f>
        <v>366.8</v>
      </c>
    </row>
    <row r="115" spans="33:33" x14ac:dyDescent="0.35">
      <c r="AG115">
        <f>'New Infections FF'!N116</f>
        <v>367.40000000000003</v>
      </c>
    </row>
    <row r="116" spans="33:33" x14ac:dyDescent="0.35">
      <c r="AG116">
        <f>'New Infections FF'!N117</f>
        <v>368.50000000000006</v>
      </c>
    </row>
    <row r="117" spans="33:33" x14ac:dyDescent="0.35">
      <c r="AG117">
        <f>'New Infections FF'!N118</f>
        <v>369.10000000000008</v>
      </c>
    </row>
    <row r="118" spans="33:33" x14ac:dyDescent="0.35">
      <c r="AG118">
        <f>'New Infections FF'!N119</f>
        <v>369.50000000000006</v>
      </c>
    </row>
    <row r="119" spans="33:33" x14ac:dyDescent="0.35">
      <c r="AG119">
        <f>'New Infections FF'!N120</f>
        <v>369.80000000000007</v>
      </c>
    </row>
    <row r="120" spans="33:33" x14ac:dyDescent="0.35">
      <c r="AG120">
        <f>'New Infections FF'!N121</f>
        <v>369.90000000000009</v>
      </c>
    </row>
    <row r="121" spans="33:33" x14ac:dyDescent="0.35">
      <c r="AG121">
        <f>'New Infections FF'!N122</f>
        <v>370.2000000000001</v>
      </c>
    </row>
    <row r="122" spans="33:33" x14ac:dyDescent="0.35">
      <c r="AG122">
        <f>'New Infections FF'!N123</f>
        <v>370.40000000000009</v>
      </c>
    </row>
    <row r="123" spans="33:33" x14ac:dyDescent="0.35">
      <c r="AG123">
        <f>'New Infections FF'!N124</f>
        <v>370.80000000000007</v>
      </c>
    </row>
    <row r="124" spans="33:33" x14ac:dyDescent="0.35">
      <c r="AG124">
        <f>'New Infections FF'!N125</f>
        <v>371.10000000000008</v>
      </c>
    </row>
    <row r="125" spans="33:33" x14ac:dyDescent="0.35">
      <c r="AG125">
        <f>'New Infections FF'!N126</f>
        <v>371.60000000000008</v>
      </c>
    </row>
    <row r="126" spans="33:33" x14ac:dyDescent="0.35">
      <c r="AG126">
        <f>'New Infections FF'!N127</f>
        <v>371.90000000000009</v>
      </c>
    </row>
    <row r="127" spans="33:33" x14ac:dyDescent="0.35">
      <c r="AG127">
        <f>'New Infections FF'!N128</f>
        <v>372.00000000000011</v>
      </c>
    </row>
    <row r="128" spans="33:33" x14ac:dyDescent="0.35">
      <c r="AG128">
        <f>'New Infections FF'!N129</f>
        <v>372.00000000000011</v>
      </c>
    </row>
    <row r="129" spans="33:33" x14ac:dyDescent="0.35">
      <c r="AG129">
        <f>'New Infections FF'!N130</f>
        <v>372.00000000000011</v>
      </c>
    </row>
    <row r="130" spans="33:33" x14ac:dyDescent="0.35">
      <c r="AG130">
        <f>'New Infections FF'!N131</f>
        <v>372.00000000000011</v>
      </c>
    </row>
    <row r="131" spans="33:33" x14ac:dyDescent="0.35">
      <c r="AG131">
        <f>'New Infections FF'!N132</f>
        <v>372.00000000000011</v>
      </c>
    </row>
    <row r="132" spans="33:33" x14ac:dyDescent="0.35">
      <c r="AG132">
        <f>'New Infections FF'!N133</f>
        <v>372.00000000000011</v>
      </c>
    </row>
    <row r="133" spans="33:33" x14ac:dyDescent="0.35">
      <c r="AG133">
        <f>'New Infections FF'!N134</f>
        <v>372.2000000000001</v>
      </c>
    </row>
    <row r="134" spans="33:33" x14ac:dyDescent="0.35">
      <c r="AG134">
        <f>'New Infections FF'!N135</f>
        <v>372.30000000000013</v>
      </c>
    </row>
    <row r="135" spans="33:33" x14ac:dyDescent="0.35">
      <c r="AG135">
        <f>'New Infections FF'!N136</f>
        <v>372.50000000000011</v>
      </c>
    </row>
    <row r="136" spans="33:33" x14ac:dyDescent="0.35">
      <c r="AG136">
        <f>'New Infections FF'!N137</f>
        <v>372.80000000000013</v>
      </c>
    </row>
    <row r="137" spans="33:33" x14ac:dyDescent="0.35">
      <c r="AG137">
        <f>'New Infections FF'!N138</f>
        <v>372.80000000000013</v>
      </c>
    </row>
    <row r="138" spans="33:33" x14ac:dyDescent="0.35">
      <c r="AG138">
        <f>'New Infections FF'!N139</f>
        <v>372.80000000000013</v>
      </c>
    </row>
    <row r="139" spans="33:33" x14ac:dyDescent="0.35">
      <c r="AG139">
        <f>'New Infections FF'!N140</f>
        <v>372.80000000000013</v>
      </c>
    </row>
    <row r="140" spans="33:33" x14ac:dyDescent="0.35">
      <c r="AG140">
        <f>'New Infections FF'!N141</f>
        <v>372.80000000000013</v>
      </c>
    </row>
    <row r="141" spans="33:33" x14ac:dyDescent="0.35">
      <c r="AG141">
        <f>'New Infections FF'!N142</f>
        <v>372.80000000000013</v>
      </c>
    </row>
    <row r="142" spans="33:33" x14ac:dyDescent="0.35">
      <c r="AG142">
        <f>'New Infections FF'!N143</f>
        <v>373.00000000000011</v>
      </c>
    </row>
    <row r="143" spans="33:33" x14ac:dyDescent="0.35">
      <c r="AG143">
        <f>'New Infections FF'!N144</f>
        <v>373.10000000000014</v>
      </c>
    </row>
    <row r="144" spans="33:33" x14ac:dyDescent="0.35">
      <c r="AG144">
        <f>'New Infections FF'!N145</f>
        <v>373.40000000000015</v>
      </c>
    </row>
    <row r="145" spans="33:33" x14ac:dyDescent="0.35">
      <c r="AG145">
        <f>'New Infections FF'!N146</f>
        <v>373.90000000000015</v>
      </c>
    </row>
    <row r="146" spans="33:33" x14ac:dyDescent="0.35">
      <c r="AG146">
        <f>'New Infections FF'!N147</f>
        <v>374.30000000000013</v>
      </c>
    </row>
    <row r="147" spans="33:33" x14ac:dyDescent="0.35">
      <c r="AG147">
        <f>'New Infections FF'!N148</f>
        <v>374.7000000000001</v>
      </c>
    </row>
    <row r="148" spans="33:33" x14ac:dyDescent="0.35">
      <c r="AG148">
        <f>'New Infections FF'!N149</f>
        <v>375.2000000000001</v>
      </c>
    </row>
    <row r="149" spans="33:33" x14ac:dyDescent="0.35">
      <c r="AG149">
        <f>'New Infections FF'!N150</f>
        <v>375.50000000000011</v>
      </c>
    </row>
    <row r="150" spans="33:33" x14ac:dyDescent="0.35">
      <c r="AG150">
        <f>'New Infections FF'!N151</f>
        <v>375.90000000000009</v>
      </c>
    </row>
    <row r="151" spans="33:33" x14ac:dyDescent="0.35">
      <c r="AG151">
        <f>'New Infections FF'!N152</f>
        <v>375.90000000000009</v>
      </c>
    </row>
    <row r="152" spans="33:33" x14ac:dyDescent="0.35">
      <c r="AG152">
        <f>'New Infections FF'!N153</f>
        <v>376.10000000000008</v>
      </c>
    </row>
    <row r="153" spans="33:33" x14ac:dyDescent="0.35">
      <c r="AG153">
        <f>'New Infections FF'!N154</f>
        <v>376.10000000000008</v>
      </c>
    </row>
    <row r="154" spans="33:33" x14ac:dyDescent="0.35">
      <c r="AG154">
        <f>'New Infections FF'!N155</f>
        <v>376.2000000000001</v>
      </c>
    </row>
    <row r="155" spans="33:33" x14ac:dyDescent="0.35">
      <c r="AG155">
        <f>'New Infections FF'!N156</f>
        <v>376.30000000000013</v>
      </c>
    </row>
    <row r="156" spans="33:33" x14ac:dyDescent="0.35">
      <c r="AG156">
        <f>'New Infections FF'!N157</f>
        <v>376.40000000000015</v>
      </c>
    </row>
    <row r="157" spans="33:33" x14ac:dyDescent="0.35">
      <c r="AG157">
        <f>'New Infections FF'!N158</f>
        <v>376.40000000000015</v>
      </c>
    </row>
    <row r="158" spans="33:33" x14ac:dyDescent="0.35">
      <c r="AG158">
        <f>'New Infections FF'!N159</f>
        <v>376.40000000000015</v>
      </c>
    </row>
    <row r="159" spans="33:33" x14ac:dyDescent="0.35">
      <c r="AG159">
        <f>'New Infections FF'!N160</f>
        <v>376.40000000000015</v>
      </c>
    </row>
    <row r="160" spans="33:33" x14ac:dyDescent="0.35">
      <c r="AG160">
        <f>'New Infections FF'!N161</f>
        <v>376.40000000000015</v>
      </c>
    </row>
    <row r="161" spans="33:33" x14ac:dyDescent="0.35">
      <c r="AG161">
        <f>'New Infections FF'!N162</f>
        <v>376.40000000000015</v>
      </c>
    </row>
    <row r="162" spans="33:33" x14ac:dyDescent="0.35">
      <c r="AG162">
        <f>'New Infections FF'!N163</f>
        <v>376.50000000000017</v>
      </c>
    </row>
    <row r="163" spans="33:33" x14ac:dyDescent="0.35">
      <c r="AG163">
        <f>'New Infections FF'!N164</f>
        <v>376.50000000000017</v>
      </c>
    </row>
    <row r="164" spans="33:33" x14ac:dyDescent="0.35">
      <c r="AG164">
        <f>'New Infections FF'!N165</f>
        <v>376.70000000000016</v>
      </c>
    </row>
    <row r="165" spans="33:33" x14ac:dyDescent="0.35">
      <c r="AG165">
        <f>'New Infections FF'!N166</f>
        <v>377.00000000000017</v>
      </c>
    </row>
    <row r="166" spans="33:33" x14ac:dyDescent="0.35">
      <c r="AG166">
        <f>'New Infections FF'!N167</f>
        <v>377.30000000000018</v>
      </c>
    </row>
    <row r="167" spans="33:33" x14ac:dyDescent="0.35">
      <c r="AG167">
        <f>'New Infections FF'!N168</f>
        <v>377.9000000000002</v>
      </c>
    </row>
    <row r="168" spans="33:33" x14ac:dyDescent="0.35">
      <c r="AG168">
        <f>'New Infections FF'!N169</f>
        <v>378.50000000000023</v>
      </c>
    </row>
    <row r="169" spans="33:33" x14ac:dyDescent="0.35">
      <c r="AG169">
        <f>'New Infections FF'!N170</f>
        <v>378.9000000000002</v>
      </c>
    </row>
    <row r="170" spans="33:33" x14ac:dyDescent="0.35">
      <c r="AG170">
        <f>'New Infections FF'!N171</f>
        <v>379.50000000000023</v>
      </c>
    </row>
    <row r="171" spans="33:33" x14ac:dyDescent="0.35">
      <c r="AG171">
        <f>'New Infections FF'!N172</f>
        <v>379.70000000000022</v>
      </c>
    </row>
    <row r="172" spans="33:33" x14ac:dyDescent="0.35">
      <c r="AG172">
        <f>'New Infections FF'!N173</f>
        <v>379.70000000000022</v>
      </c>
    </row>
    <row r="173" spans="33:33" x14ac:dyDescent="0.35">
      <c r="AG173">
        <f>'New Infections FF'!N174</f>
        <v>379.70000000000022</v>
      </c>
    </row>
    <row r="174" spans="33:33" x14ac:dyDescent="0.35">
      <c r="AG174">
        <f>'New Infections FF'!N175</f>
        <v>379.70000000000022</v>
      </c>
    </row>
    <row r="175" spans="33:33" x14ac:dyDescent="0.35">
      <c r="AG175">
        <f>'New Infections FF'!N176</f>
        <v>379.70000000000022</v>
      </c>
    </row>
    <row r="176" spans="33:33" x14ac:dyDescent="0.35">
      <c r="AG176">
        <f>'New Infections FF'!N177</f>
        <v>379.80000000000024</v>
      </c>
    </row>
    <row r="177" spans="33:33" x14ac:dyDescent="0.35">
      <c r="AG177">
        <f>'New Infections FF'!N178</f>
        <v>379.90000000000026</v>
      </c>
    </row>
    <row r="178" spans="33:33" x14ac:dyDescent="0.35">
      <c r="AG178">
        <f>'New Infections FF'!N179</f>
        <v>380.00000000000028</v>
      </c>
    </row>
    <row r="179" spans="33:33" x14ac:dyDescent="0.35">
      <c r="AG179">
        <f>'New Infections FF'!N180</f>
        <v>380.20000000000027</v>
      </c>
    </row>
    <row r="180" spans="33:33" x14ac:dyDescent="0.35">
      <c r="AG180">
        <f>'New Infections FF'!N181</f>
        <v>380.20000000000027</v>
      </c>
    </row>
    <row r="181" spans="33:33" x14ac:dyDescent="0.35">
      <c r="AG181">
        <f>'New Infections FF'!N182</f>
        <v>380.3000000000003</v>
      </c>
    </row>
    <row r="182" spans="33:33" x14ac:dyDescent="0.35">
      <c r="AG182">
        <f>'New Infections FF'!N183</f>
        <v>380.40000000000032</v>
      </c>
    </row>
    <row r="183" spans="33:33" x14ac:dyDescent="0.35">
      <c r="AG183">
        <f>'New Infections FF'!N184</f>
        <v>380.40000000000032</v>
      </c>
    </row>
    <row r="184" spans="33:33" x14ac:dyDescent="0.35">
      <c r="AG184">
        <f>'New Infections FF'!N185</f>
        <v>380.60000000000031</v>
      </c>
    </row>
    <row r="185" spans="33:33" x14ac:dyDescent="0.35">
      <c r="AG185">
        <f>'New Infections FF'!N186</f>
        <v>380.70000000000033</v>
      </c>
    </row>
    <row r="186" spans="33:33" x14ac:dyDescent="0.35">
      <c r="AG186">
        <f>'New Infections FF'!N187</f>
        <v>380.80000000000035</v>
      </c>
    </row>
    <row r="187" spans="33:33" x14ac:dyDescent="0.35">
      <c r="AG187">
        <f>'New Infections FF'!N188</f>
        <v>380.90000000000038</v>
      </c>
    </row>
    <row r="188" spans="33:33" x14ac:dyDescent="0.35">
      <c r="AG188">
        <f>'New Infections FF'!N189</f>
        <v>381.10000000000036</v>
      </c>
    </row>
    <row r="189" spans="33:33" x14ac:dyDescent="0.35">
      <c r="AG189">
        <f>'New Infections FF'!N190</f>
        <v>381.30000000000035</v>
      </c>
    </row>
    <row r="190" spans="33:33" x14ac:dyDescent="0.35">
      <c r="AG190">
        <f>'New Infections FF'!N191</f>
        <v>381.40000000000038</v>
      </c>
    </row>
    <row r="191" spans="33:33" x14ac:dyDescent="0.35">
      <c r="AG191">
        <f>'New Infections FF'!N192</f>
        <v>381.5000000000004</v>
      </c>
    </row>
    <row r="192" spans="33:33" x14ac:dyDescent="0.35">
      <c r="AG192">
        <f>'New Infections FF'!N193</f>
        <v>381.60000000000042</v>
      </c>
    </row>
    <row r="193" spans="33:33" x14ac:dyDescent="0.35">
      <c r="AG193">
        <f>'New Infections FF'!N194</f>
        <v>381.70000000000044</v>
      </c>
    </row>
    <row r="194" spans="33:33" x14ac:dyDescent="0.35">
      <c r="AG194">
        <f>'New Infections FF'!N195</f>
        <v>381.70000000000044</v>
      </c>
    </row>
    <row r="195" spans="33:33" x14ac:dyDescent="0.35">
      <c r="AG195">
        <f>'New Infections FF'!N196</f>
        <v>381.70000000000044</v>
      </c>
    </row>
    <row r="196" spans="33:33" x14ac:dyDescent="0.35">
      <c r="AG196">
        <f>'New Infections FF'!N197</f>
        <v>381.70000000000044</v>
      </c>
    </row>
    <row r="197" spans="33:33" x14ac:dyDescent="0.35">
      <c r="AG197">
        <f>'New Infections FF'!N198</f>
        <v>381.70000000000044</v>
      </c>
    </row>
    <row r="198" spans="33:33" x14ac:dyDescent="0.35">
      <c r="AG198">
        <f>'New Infections FF'!N199</f>
        <v>381.70000000000044</v>
      </c>
    </row>
    <row r="199" spans="33:33" x14ac:dyDescent="0.35">
      <c r="AG199">
        <f>'New Infections FF'!N200</f>
        <v>381.70000000000044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4EC57-115C-4962-BAE9-477C1541F1EE}">
  <dimension ref="B1:AL41"/>
  <sheetViews>
    <sheetView zoomScale="55" zoomScaleNormal="55" workbookViewId="0">
      <selection activeCell="AB17" sqref="AB17"/>
    </sheetView>
  </sheetViews>
  <sheetFormatPr defaultRowHeight="14.5" x14ac:dyDescent="0.35"/>
  <cols>
    <col min="24" max="24" width="17.54296875" bestFit="1" customWidth="1"/>
    <col min="30" max="30" width="17.54296875" bestFit="1" customWidth="1"/>
  </cols>
  <sheetData>
    <row r="1" spans="2:38" x14ac:dyDescent="0.35">
      <c r="B1" t="s">
        <v>61</v>
      </c>
      <c r="C1" t="s">
        <v>62</v>
      </c>
      <c r="D1" t="s">
        <v>63</v>
      </c>
      <c r="O1" t="s">
        <v>61</v>
      </c>
      <c r="P1" t="s">
        <v>62</v>
      </c>
      <c r="Q1" t="s">
        <v>63</v>
      </c>
      <c r="AF1" t="s">
        <v>61</v>
      </c>
      <c r="AG1" t="s">
        <v>62</v>
      </c>
      <c r="AH1" t="s">
        <v>63</v>
      </c>
    </row>
    <row r="2" spans="2:38" x14ac:dyDescent="0.35">
      <c r="B2">
        <f>'# Out NF'!O33</f>
        <v>0.99945600000000012</v>
      </c>
      <c r="C2">
        <f>'# Out SF'!O41</f>
        <v>0.88902800000000004</v>
      </c>
      <c r="D2">
        <f>'# Out FF'!O204</f>
        <v>0.71665599999999985</v>
      </c>
      <c r="N2" t="s">
        <v>26</v>
      </c>
      <c r="O2">
        <v>997.6</v>
      </c>
      <c r="P2">
        <v>701.4</v>
      </c>
      <c r="Q2">
        <v>381.7</v>
      </c>
      <c r="Y2" t="s">
        <v>36</v>
      </c>
      <c r="AD2" t="s">
        <v>37</v>
      </c>
      <c r="AE2" t="s">
        <v>12</v>
      </c>
      <c r="AF2">
        <f>'# Out NF'!D34-1</f>
        <v>23.9</v>
      </c>
      <c r="AG2">
        <f>'# Out SF'!D44-1</f>
        <v>28</v>
      </c>
      <c r="AH2">
        <f>'DNC4 FF'!F212-1</f>
        <v>98.5</v>
      </c>
    </row>
    <row r="3" spans="2:38" x14ac:dyDescent="0.35">
      <c r="B3">
        <f>'# Out NF'!O34</f>
        <v>0.99796000000000007</v>
      </c>
      <c r="C3">
        <f>'# Out SF'!O42</f>
        <v>0.8704400000000001</v>
      </c>
      <c r="D3">
        <f>'# Out FF'!O205</f>
        <v>0.65159999999999996</v>
      </c>
      <c r="F3">
        <f>B2-B3</f>
        <v>1.4960000000000528E-3</v>
      </c>
      <c r="G3">
        <f t="shared" ref="G3:H3" si="0">C2-C3</f>
        <v>1.8587999999999938E-2</v>
      </c>
      <c r="H3">
        <f t="shared" si="0"/>
        <v>6.5055999999999892E-2</v>
      </c>
      <c r="N3" t="s">
        <v>28</v>
      </c>
      <c r="O3">
        <v>993</v>
      </c>
      <c r="P3">
        <v>2</v>
      </c>
      <c r="Q3">
        <v>236</v>
      </c>
      <c r="S3">
        <f>O2-O3</f>
        <v>4.6000000000000227</v>
      </c>
      <c r="T3">
        <f t="shared" ref="T3" si="1">P2-P3</f>
        <v>699.4</v>
      </c>
      <c r="U3">
        <f t="shared" ref="U3" si="2">Q2-Q3</f>
        <v>145.69999999999999</v>
      </c>
      <c r="AE3" t="s">
        <v>29</v>
      </c>
      <c r="AF3">
        <f>23-1</f>
        <v>22</v>
      </c>
      <c r="AG3">
        <f>7-1</f>
        <v>6</v>
      </c>
      <c r="AH3">
        <f>54-1</f>
        <v>53</v>
      </c>
      <c r="AJ3">
        <f>AF2-AF3</f>
        <v>1.8999999999999986</v>
      </c>
      <c r="AK3">
        <f t="shared" ref="AK3" si="3">AG2-AG3</f>
        <v>22</v>
      </c>
      <c r="AL3">
        <f t="shared" ref="AL3" si="4">AH2-AH3</f>
        <v>45.5</v>
      </c>
    </row>
    <row r="4" spans="2:38" x14ac:dyDescent="0.35">
      <c r="B4">
        <f>'# Out NF'!O35</f>
        <v>1</v>
      </c>
      <c r="C4">
        <f>'# Out SF'!O43</f>
        <v>0.99968000000000001</v>
      </c>
      <c r="D4">
        <f>'# Out FF'!O206</f>
        <v>0.75092000000000003</v>
      </c>
      <c r="F4">
        <f>B4-B2</f>
        <v>5.4399999999987791E-4</v>
      </c>
      <c r="G4">
        <f t="shared" ref="G4:H4" si="5">C4-C2</f>
        <v>0.11065199999999997</v>
      </c>
      <c r="H4">
        <f t="shared" si="5"/>
        <v>3.4264000000000183E-2</v>
      </c>
      <c r="N4" t="s">
        <v>27</v>
      </c>
      <c r="O4">
        <v>1000</v>
      </c>
      <c r="P4">
        <v>812</v>
      </c>
      <c r="Q4">
        <v>503</v>
      </c>
      <c r="S4">
        <f>O4-O2</f>
        <v>2.3999999999999773</v>
      </c>
      <c r="T4">
        <f t="shared" ref="T4" si="6">P4-P2</f>
        <v>110.60000000000002</v>
      </c>
      <c r="U4">
        <f t="shared" ref="U4" si="7">Q4-Q2</f>
        <v>121.30000000000001</v>
      </c>
      <c r="Z4" t="s">
        <v>61</v>
      </c>
      <c r="AA4" t="s">
        <v>62</v>
      </c>
      <c r="AB4" t="s">
        <v>63</v>
      </c>
      <c r="AE4" t="s">
        <v>30</v>
      </c>
      <c r="AF4">
        <f>27-1</f>
        <v>26</v>
      </c>
      <c r="AG4">
        <f>35-1</f>
        <v>34</v>
      </c>
      <c r="AH4">
        <f>198-1</f>
        <v>197</v>
      </c>
      <c r="AJ4">
        <f>AF4-AF2</f>
        <v>2.1000000000000014</v>
      </c>
      <c r="AK4">
        <f t="shared" ref="AK4" si="8">AG4-AG2</f>
        <v>6</v>
      </c>
      <c r="AL4">
        <f t="shared" ref="AL4" si="9">AH4-AH2</f>
        <v>98.5</v>
      </c>
    </row>
    <row r="5" spans="2:38" x14ac:dyDescent="0.35">
      <c r="Y5" t="str">
        <f>'# Out NF'!N33</f>
        <v>Average of Average for 25ts</v>
      </c>
      <c r="Z5">
        <f>'New Infections NF'!P2</f>
        <v>202</v>
      </c>
      <c r="AA5">
        <f>'New Infections SF'!Q3</f>
        <v>114</v>
      </c>
      <c r="AB5">
        <f>'New Infections FF'!Q3</f>
        <v>34</v>
      </c>
    </row>
    <row r="19" spans="13:31" x14ac:dyDescent="0.35">
      <c r="U19" t="s">
        <v>43</v>
      </c>
    </row>
    <row r="26" spans="13:31" x14ac:dyDescent="0.35">
      <c r="AE26" t="s">
        <v>42</v>
      </c>
    </row>
    <row r="27" spans="13:31" x14ac:dyDescent="0.35">
      <c r="M27" t="s">
        <v>42</v>
      </c>
    </row>
    <row r="41" spans="26:26" x14ac:dyDescent="0.35">
      <c r="Z41" t="s">
        <v>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C6EF-0235-482E-99DE-2AB1A3D55AEE}">
  <dimension ref="A1:AI987"/>
  <sheetViews>
    <sheetView tabSelected="1" topLeftCell="B1" zoomScale="70" zoomScaleNormal="70" workbookViewId="0">
      <selection activeCell="AC104" sqref="AC104"/>
    </sheetView>
  </sheetViews>
  <sheetFormatPr defaultRowHeight="14.5" x14ac:dyDescent="0.35"/>
  <cols>
    <col min="32" max="32" width="18.81640625" style="1" bestFit="1" customWidth="1"/>
    <col min="34" max="34" width="15.453125" bestFit="1" customWidth="1"/>
  </cols>
  <sheetData>
    <row r="1" spans="1:35" x14ac:dyDescent="0.35">
      <c r="A1" s="7" t="str">
        <f>'DNC4 FF'!A1</f>
        <v>DNC4 per timestep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N1" s="7" t="str">
        <f>'# Out NF'!A1</f>
        <v># Out per timestep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AB1" t="s">
        <v>16</v>
      </c>
    </row>
    <row r="2" spans="1:35" x14ac:dyDescent="0.35">
      <c r="A2" t="str">
        <f>'DNC4 FF'!A2</f>
        <v>Time Step</v>
      </c>
      <c r="B2" t="str">
        <f>'DNC4 FF'!B2</f>
        <v>Run 1</v>
      </c>
      <c r="C2" t="str">
        <f>'DNC4 FF'!C2</f>
        <v>Run 2</v>
      </c>
      <c r="D2" t="str">
        <f>'DNC4 FF'!D2</f>
        <v>Run 3</v>
      </c>
      <c r="E2" t="str">
        <f>'DNC4 FF'!E2</f>
        <v>Run 4</v>
      </c>
      <c r="F2" t="str">
        <f>'DNC4 FF'!F2</f>
        <v>Run 5</v>
      </c>
      <c r="G2" t="str">
        <f>'DNC4 FF'!G2</f>
        <v>Run 6</v>
      </c>
      <c r="H2" t="str">
        <f>'DNC4 FF'!H2</f>
        <v>Run 7</v>
      </c>
      <c r="I2" t="str">
        <f>'DNC4 FF'!I2</f>
        <v>Run 8</v>
      </c>
      <c r="J2" t="str">
        <f>'DNC4 FF'!J2</f>
        <v>Run 9</v>
      </c>
      <c r="K2" t="str">
        <f>'DNC4 FF'!K2</f>
        <v>Run 10</v>
      </c>
      <c r="L2" t="str">
        <f>'DNC4 FF'!L2</f>
        <v>Average</v>
      </c>
      <c r="N2" t="str">
        <f>'# Out FF'!A2</f>
        <v>Time Step</v>
      </c>
      <c r="O2" t="str">
        <f>'# Out FF'!B2</f>
        <v>Run 1</v>
      </c>
      <c r="P2" t="str">
        <f>'# Out FF'!C2</f>
        <v>Run 2</v>
      </c>
      <c r="Q2" t="str">
        <f>'# Out FF'!D2</f>
        <v>Run 3</v>
      </c>
      <c r="R2" t="str">
        <f>'# Out FF'!E2</f>
        <v>Run 4</v>
      </c>
      <c r="S2" t="str">
        <f>'# Out FF'!F2</f>
        <v>Run 5</v>
      </c>
      <c r="T2" t="str">
        <f>'# Out FF'!G2</f>
        <v>Run 6</v>
      </c>
      <c r="U2" t="str">
        <f>'# Out FF'!H2</f>
        <v>Run 7</v>
      </c>
      <c r="V2" t="str">
        <f>'# Out FF'!I2</f>
        <v>Run 8</v>
      </c>
      <c r="W2" t="str">
        <f>'# Out FF'!J2</f>
        <v>Run 9</v>
      </c>
      <c r="X2" t="str">
        <f>'# Out FF'!K2</f>
        <v>Run 10</v>
      </c>
      <c r="Y2" t="str">
        <f>'# Out FF'!L2</f>
        <v>Average</v>
      </c>
      <c r="AB2" t="s">
        <v>17</v>
      </c>
      <c r="AC2" t="s">
        <v>18</v>
      </c>
      <c r="AF2" s="1" t="s">
        <v>19</v>
      </c>
      <c r="AG2" t="s">
        <v>20</v>
      </c>
      <c r="AH2" t="s">
        <v>21</v>
      </c>
      <c r="AI2" t="s">
        <v>22</v>
      </c>
    </row>
    <row r="3" spans="1:35" x14ac:dyDescent="0.35">
      <c r="A3">
        <f>'DNC4 FF'!A3</f>
        <v>0</v>
      </c>
      <c r="B3">
        <f>'DNC4 FF'!B3</f>
        <v>0</v>
      </c>
      <c r="C3">
        <f>'DNC4 FF'!C3</f>
        <v>0</v>
      </c>
      <c r="D3">
        <f>'DNC4 FF'!D3</f>
        <v>0</v>
      </c>
      <c r="E3">
        <f>'DNC4 FF'!E3</f>
        <v>0</v>
      </c>
      <c r="F3">
        <f>'DNC4 FF'!F3</f>
        <v>0</v>
      </c>
      <c r="G3">
        <f>'DNC4 FF'!G3</f>
        <v>0</v>
      </c>
      <c r="H3">
        <f>'DNC4 FF'!H3</f>
        <v>0</v>
      </c>
      <c r="I3">
        <f>'DNC4 FF'!I3</f>
        <v>0</v>
      </c>
      <c r="J3">
        <f>'DNC4 FF'!J3</f>
        <v>0</v>
      </c>
      <c r="K3">
        <f>'DNC4 FF'!K3</f>
        <v>0</v>
      </c>
      <c r="L3">
        <f>'DNC4 FF'!L3</f>
        <v>0</v>
      </c>
      <c r="N3">
        <f>'# Out FF'!A3</f>
        <v>0</v>
      </c>
      <c r="O3">
        <f>'# Out FF'!B3</f>
        <v>1000</v>
      </c>
      <c r="P3">
        <f>'# Out FF'!C3</f>
        <v>1000</v>
      </c>
      <c r="Q3">
        <f>'# Out FF'!D3</f>
        <v>1000</v>
      </c>
      <c r="R3">
        <f>'# Out FF'!E3</f>
        <v>1000</v>
      </c>
      <c r="S3">
        <f>'# Out FF'!F3</f>
        <v>1000</v>
      </c>
      <c r="T3">
        <f>'# Out FF'!G3</f>
        <v>1000</v>
      </c>
      <c r="U3">
        <f>'# Out FF'!H3</f>
        <v>1000</v>
      </c>
      <c r="V3">
        <f>'# Out FF'!I3</f>
        <v>1000</v>
      </c>
      <c r="W3">
        <f>'# Out FF'!J3</f>
        <v>1000</v>
      </c>
      <c r="X3">
        <f>'# Out FF'!K3</f>
        <v>1000</v>
      </c>
      <c r="Y3">
        <f>'# Out FF'!L3</f>
        <v>1000</v>
      </c>
      <c r="AB3" cm="1">
        <f t="array" ref="AB3:AB78">B3:B78</f>
        <v>0</v>
      </c>
      <c r="AC3" cm="1">
        <f t="array" ref="AC3:AC78">O4:O79</f>
        <v>998</v>
      </c>
      <c r="AF3" s="2">
        <f>AB3/1000</f>
        <v>0</v>
      </c>
      <c r="AG3">
        <f>AC3/1000</f>
        <v>0.998</v>
      </c>
      <c r="AH3">
        <f>0.891*EXP(-40.26*AF3)</f>
        <v>0.89100000000000001</v>
      </c>
      <c r="AI3">
        <f>AG3-AH3</f>
        <v>0.10699999999999998</v>
      </c>
    </row>
    <row r="4" spans="1:35" x14ac:dyDescent="0.35">
      <c r="A4">
        <f>'DNC4 FF'!A4</f>
        <v>1</v>
      </c>
      <c r="B4">
        <f>'DNC4 FF'!B4</f>
        <v>0</v>
      </c>
      <c r="C4">
        <f>'DNC4 FF'!C4</f>
        <v>0</v>
      </c>
      <c r="D4">
        <f>'DNC4 FF'!D4</f>
        <v>0</v>
      </c>
      <c r="E4">
        <f>'DNC4 FF'!E4</f>
        <v>0</v>
      </c>
      <c r="F4">
        <f>'DNC4 FF'!F4</f>
        <v>0</v>
      </c>
      <c r="G4">
        <f>'DNC4 FF'!G4</f>
        <v>0</v>
      </c>
      <c r="H4">
        <f>'DNC4 FF'!H4</f>
        <v>0</v>
      </c>
      <c r="I4">
        <f>'DNC4 FF'!I4</f>
        <v>0</v>
      </c>
      <c r="J4">
        <f>'DNC4 FF'!J4</f>
        <v>0</v>
      </c>
      <c r="K4">
        <f>'DNC4 FF'!K4</f>
        <v>0</v>
      </c>
      <c r="L4">
        <f>'DNC4 FF'!L4</f>
        <v>0</v>
      </c>
      <c r="N4">
        <f>'# Out FF'!A4</f>
        <v>1</v>
      </c>
      <c r="O4">
        <f>'# Out FF'!B4</f>
        <v>998</v>
      </c>
      <c r="P4">
        <f>'# Out FF'!C4</f>
        <v>996</v>
      </c>
      <c r="Q4">
        <f>'# Out FF'!D4</f>
        <v>995</v>
      </c>
      <c r="R4">
        <f>'# Out FF'!E4</f>
        <v>998</v>
      </c>
      <c r="S4">
        <f>'# Out FF'!F4</f>
        <v>997</v>
      </c>
      <c r="T4">
        <f>'# Out FF'!G4</f>
        <v>997</v>
      </c>
      <c r="U4">
        <f>'# Out FF'!H4</f>
        <v>995</v>
      </c>
      <c r="V4">
        <f>'# Out FF'!I4</f>
        <v>999</v>
      </c>
      <c r="W4">
        <f>'# Out FF'!J4</f>
        <v>996</v>
      </c>
      <c r="X4">
        <f>'# Out FF'!K4</f>
        <v>998</v>
      </c>
      <c r="Y4">
        <f>'# Out FF'!L4</f>
        <v>996.9</v>
      </c>
      <c r="AB4">
        <v>0</v>
      </c>
      <c r="AC4">
        <v>997</v>
      </c>
      <c r="AF4" s="2">
        <f t="shared" ref="AF4:AF67" si="0">AB4/1000</f>
        <v>0</v>
      </c>
      <c r="AG4">
        <f t="shared" ref="AG4:AG67" si="1">AC4/1000</f>
        <v>0.997</v>
      </c>
      <c r="AH4">
        <f t="shared" ref="AH4:AH67" si="2">0.891*EXP(-40.26*AF4)</f>
        <v>0.89100000000000001</v>
      </c>
      <c r="AI4">
        <f t="shared" ref="AI4:AI67" si="3">AG4-AH4</f>
        <v>0.10599999999999998</v>
      </c>
    </row>
    <row r="5" spans="1:35" x14ac:dyDescent="0.35">
      <c r="A5">
        <f>'DNC4 FF'!A5</f>
        <v>2</v>
      </c>
      <c r="B5">
        <f>'DNC4 FF'!B5</f>
        <v>0</v>
      </c>
      <c r="C5">
        <f>'DNC4 FF'!C5</f>
        <v>0</v>
      </c>
      <c r="D5">
        <f>'DNC4 FF'!D5</f>
        <v>0</v>
      </c>
      <c r="E5">
        <f>'DNC4 FF'!E5</f>
        <v>0</v>
      </c>
      <c r="F5">
        <f>'DNC4 FF'!F5</f>
        <v>0</v>
      </c>
      <c r="G5">
        <f>'DNC4 FF'!G5</f>
        <v>0</v>
      </c>
      <c r="H5">
        <f>'DNC4 FF'!H5</f>
        <v>0</v>
      </c>
      <c r="I5">
        <f>'DNC4 FF'!I5</f>
        <v>0</v>
      </c>
      <c r="J5">
        <f>'DNC4 FF'!J5</f>
        <v>0</v>
      </c>
      <c r="K5">
        <f>'DNC4 FF'!K5</f>
        <v>0</v>
      </c>
      <c r="L5">
        <f>'DNC4 FF'!L5</f>
        <v>0</v>
      </c>
      <c r="N5">
        <f>'# Out FF'!A5</f>
        <v>2</v>
      </c>
      <c r="O5">
        <f>'# Out FF'!B5</f>
        <v>997</v>
      </c>
      <c r="P5">
        <f>'# Out FF'!C5</f>
        <v>996</v>
      </c>
      <c r="Q5">
        <f>'# Out FF'!D5</f>
        <v>994</v>
      </c>
      <c r="R5">
        <f>'# Out FF'!E5</f>
        <v>999</v>
      </c>
      <c r="S5">
        <f>'# Out FF'!F5</f>
        <v>998</v>
      </c>
      <c r="T5">
        <f>'# Out FF'!G5</f>
        <v>997</v>
      </c>
      <c r="U5">
        <f>'# Out FF'!H5</f>
        <v>997</v>
      </c>
      <c r="V5">
        <f>'# Out FF'!I5</f>
        <v>998</v>
      </c>
      <c r="W5">
        <f>'# Out FF'!J5</f>
        <v>997</v>
      </c>
      <c r="X5">
        <f>'# Out FF'!K5</f>
        <v>999</v>
      </c>
      <c r="Y5">
        <f>'# Out FF'!L5</f>
        <v>997.2</v>
      </c>
      <c r="AB5">
        <v>0</v>
      </c>
      <c r="AC5">
        <v>999</v>
      </c>
      <c r="AF5" s="2">
        <f t="shared" si="0"/>
        <v>0</v>
      </c>
      <c r="AG5">
        <f t="shared" si="1"/>
        <v>0.999</v>
      </c>
      <c r="AH5">
        <f t="shared" si="2"/>
        <v>0.89100000000000001</v>
      </c>
      <c r="AI5">
        <f t="shared" si="3"/>
        <v>0.10799999999999998</v>
      </c>
    </row>
    <row r="6" spans="1:35" x14ac:dyDescent="0.35">
      <c r="A6">
        <f>'DNC4 FF'!A6</f>
        <v>3</v>
      </c>
      <c r="B6">
        <f>'DNC4 FF'!B6</f>
        <v>2</v>
      </c>
      <c r="C6">
        <f>'DNC4 FF'!C6</f>
        <v>2</v>
      </c>
      <c r="D6">
        <f>'DNC4 FF'!D6</f>
        <v>2</v>
      </c>
      <c r="E6">
        <f>'DNC4 FF'!E6</f>
        <v>2</v>
      </c>
      <c r="F6">
        <f>'DNC4 FF'!F6</f>
        <v>2</v>
      </c>
      <c r="G6">
        <f>'DNC4 FF'!G6</f>
        <v>2</v>
      </c>
      <c r="H6">
        <f>'DNC4 FF'!H6</f>
        <v>2</v>
      </c>
      <c r="I6">
        <f>'DNC4 FF'!I6</f>
        <v>2</v>
      </c>
      <c r="J6">
        <f>'DNC4 FF'!J6</f>
        <v>2</v>
      </c>
      <c r="K6">
        <f>'DNC4 FF'!K6</f>
        <v>2</v>
      </c>
      <c r="L6">
        <f>'DNC4 FF'!L6</f>
        <v>2</v>
      </c>
      <c r="N6">
        <f>'# Out FF'!A6</f>
        <v>3</v>
      </c>
      <c r="O6">
        <f>'# Out FF'!B6</f>
        <v>999</v>
      </c>
      <c r="P6">
        <f>'# Out FF'!C6</f>
        <v>998</v>
      </c>
      <c r="Q6">
        <f>'# Out FF'!D6</f>
        <v>994</v>
      </c>
      <c r="R6">
        <f>'# Out FF'!E6</f>
        <v>999</v>
      </c>
      <c r="S6">
        <f>'# Out FF'!F6</f>
        <v>996</v>
      </c>
      <c r="T6">
        <f>'# Out FF'!G6</f>
        <v>997</v>
      </c>
      <c r="U6">
        <f>'# Out FF'!H6</f>
        <v>997</v>
      </c>
      <c r="V6">
        <f>'# Out FF'!I6</f>
        <v>999</v>
      </c>
      <c r="W6">
        <f>'# Out FF'!J6</f>
        <v>995</v>
      </c>
      <c r="X6">
        <f>'# Out FF'!K6</f>
        <v>999</v>
      </c>
      <c r="Y6">
        <f>'# Out FF'!L6</f>
        <v>997.3</v>
      </c>
      <c r="AB6">
        <v>2</v>
      </c>
      <c r="AC6">
        <v>782</v>
      </c>
      <c r="AF6" s="2">
        <f t="shared" si="0"/>
        <v>2E-3</v>
      </c>
      <c r="AG6">
        <f t="shared" si="1"/>
        <v>0.78200000000000003</v>
      </c>
      <c r="AH6">
        <f t="shared" si="2"/>
        <v>0.82206907754716119</v>
      </c>
      <c r="AI6">
        <f t="shared" si="3"/>
        <v>-4.0069077547161158E-2</v>
      </c>
    </row>
    <row r="7" spans="1:35" x14ac:dyDescent="0.35">
      <c r="A7">
        <f>'DNC4 FF'!A7</f>
        <v>4</v>
      </c>
      <c r="B7">
        <f>'DNC4 FF'!B7</f>
        <v>3</v>
      </c>
      <c r="C7">
        <f>'DNC4 FF'!C7</f>
        <v>1</v>
      </c>
      <c r="D7">
        <f>'DNC4 FF'!D7</f>
        <v>4</v>
      </c>
      <c r="E7">
        <f>'DNC4 FF'!E7</f>
        <v>0</v>
      </c>
      <c r="F7">
        <f>'DNC4 FF'!F7</f>
        <v>2</v>
      </c>
      <c r="G7">
        <f>'DNC4 FF'!G7</f>
        <v>0</v>
      </c>
      <c r="H7">
        <f>'DNC4 FF'!H7</f>
        <v>1</v>
      </c>
      <c r="I7">
        <f>'DNC4 FF'!I7</f>
        <v>3</v>
      </c>
      <c r="J7">
        <f>'DNC4 FF'!J7</f>
        <v>3</v>
      </c>
      <c r="K7">
        <f>'DNC4 FF'!K7</f>
        <v>5</v>
      </c>
      <c r="L7">
        <f>'DNC4 FF'!L7</f>
        <v>2.2000000000000002</v>
      </c>
      <c r="N7">
        <f>'# Out FF'!A7</f>
        <v>4</v>
      </c>
      <c r="O7">
        <f>'# Out FF'!B7</f>
        <v>782</v>
      </c>
      <c r="P7">
        <f>'# Out FF'!C7</f>
        <v>796</v>
      </c>
      <c r="Q7">
        <f>'# Out FF'!D7</f>
        <v>775</v>
      </c>
      <c r="R7">
        <f>'# Out FF'!E7</f>
        <v>791</v>
      </c>
      <c r="S7">
        <f>'# Out FF'!F7</f>
        <v>787</v>
      </c>
      <c r="T7">
        <f>'# Out FF'!G7</f>
        <v>793</v>
      </c>
      <c r="U7">
        <f>'# Out FF'!H7</f>
        <v>775</v>
      </c>
      <c r="V7">
        <f>'# Out FF'!I7</f>
        <v>784</v>
      </c>
      <c r="W7">
        <f>'# Out FF'!J7</f>
        <v>783</v>
      </c>
      <c r="X7">
        <f>'# Out FF'!K7</f>
        <v>788</v>
      </c>
      <c r="Y7">
        <f>'# Out FF'!L7</f>
        <v>785.4</v>
      </c>
      <c r="AB7">
        <v>3</v>
      </c>
      <c r="AC7">
        <v>771</v>
      </c>
      <c r="AF7" s="2">
        <f t="shared" si="0"/>
        <v>3.0000000000000001E-3</v>
      </c>
      <c r="AG7">
        <f t="shared" si="1"/>
        <v>0.77100000000000002</v>
      </c>
      <c r="AH7">
        <f t="shared" si="2"/>
        <v>0.78962995748025411</v>
      </c>
      <c r="AI7">
        <f t="shared" si="3"/>
        <v>-1.8629957480254089E-2</v>
      </c>
    </row>
    <row r="8" spans="1:35" x14ac:dyDescent="0.35">
      <c r="A8">
        <f>'DNC4 FF'!A8</f>
        <v>5</v>
      </c>
      <c r="B8">
        <f>'DNC4 FF'!B8</f>
        <v>9</v>
      </c>
      <c r="C8">
        <f>'DNC4 FF'!C8</f>
        <v>4</v>
      </c>
      <c r="D8">
        <f>'DNC4 FF'!D8</f>
        <v>5</v>
      </c>
      <c r="E8">
        <f>'DNC4 FF'!E8</f>
        <v>3</v>
      </c>
      <c r="F8">
        <f>'DNC4 FF'!F8</f>
        <v>5</v>
      </c>
      <c r="G8">
        <f>'DNC4 FF'!G8</f>
        <v>2</v>
      </c>
      <c r="H8">
        <f>'DNC4 FF'!H8</f>
        <v>2</v>
      </c>
      <c r="I8">
        <f>'DNC4 FF'!I8</f>
        <v>7</v>
      </c>
      <c r="J8">
        <f>'DNC4 FF'!J8</f>
        <v>2</v>
      </c>
      <c r="K8">
        <f>'DNC4 FF'!K8</f>
        <v>3</v>
      </c>
      <c r="L8">
        <f>'DNC4 FF'!L8</f>
        <v>4.2</v>
      </c>
      <c r="N8">
        <f>'# Out FF'!A8</f>
        <v>5</v>
      </c>
      <c r="O8">
        <f>'# Out FF'!B8</f>
        <v>771</v>
      </c>
      <c r="P8">
        <f>'# Out FF'!C8</f>
        <v>807</v>
      </c>
      <c r="Q8">
        <f>'# Out FF'!D8</f>
        <v>786</v>
      </c>
      <c r="R8">
        <f>'# Out FF'!E8</f>
        <v>995</v>
      </c>
      <c r="S8">
        <f>'# Out FF'!F8</f>
        <v>794</v>
      </c>
      <c r="T8">
        <f>'# Out FF'!G8</f>
        <v>995</v>
      </c>
      <c r="U8">
        <f>'# Out FF'!H8</f>
        <v>803</v>
      </c>
      <c r="V8">
        <f>'# Out FF'!I8</f>
        <v>762</v>
      </c>
      <c r="W8">
        <f>'# Out FF'!J8</f>
        <v>772</v>
      </c>
      <c r="X8">
        <f>'# Out FF'!K8</f>
        <v>570</v>
      </c>
      <c r="Y8">
        <f>'# Out FF'!L8</f>
        <v>805.5</v>
      </c>
      <c r="AB8">
        <v>9</v>
      </c>
      <c r="AC8">
        <v>710</v>
      </c>
      <c r="AF8" s="2">
        <f t="shared" si="0"/>
        <v>8.9999999999999993E-3</v>
      </c>
      <c r="AG8">
        <f t="shared" si="1"/>
        <v>0.71</v>
      </c>
      <c r="AH8">
        <f t="shared" si="2"/>
        <v>0.62017669382084306</v>
      </c>
      <c r="AI8">
        <f t="shared" si="3"/>
        <v>8.9823306179156903E-2</v>
      </c>
    </row>
    <row r="9" spans="1:35" x14ac:dyDescent="0.35">
      <c r="A9">
        <f>'DNC4 FF'!A9</f>
        <v>6</v>
      </c>
      <c r="B9">
        <f>'DNC4 FF'!B9</f>
        <v>8</v>
      </c>
      <c r="C9">
        <f>'DNC4 FF'!C9</f>
        <v>10</v>
      </c>
      <c r="D9">
        <f>'DNC4 FF'!D9</f>
        <v>9</v>
      </c>
      <c r="E9">
        <f>'DNC4 FF'!E9</f>
        <v>8</v>
      </c>
      <c r="F9">
        <f>'DNC4 FF'!F9</f>
        <v>6</v>
      </c>
      <c r="G9">
        <f>'DNC4 FF'!G9</f>
        <v>2</v>
      </c>
      <c r="H9">
        <f>'DNC4 FF'!H9</f>
        <v>5</v>
      </c>
      <c r="I9">
        <f>'DNC4 FF'!I9</f>
        <v>11</v>
      </c>
      <c r="J9">
        <f>'DNC4 FF'!J9</f>
        <v>5</v>
      </c>
      <c r="K9">
        <f>'DNC4 FF'!K9</f>
        <v>5</v>
      </c>
      <c r="L9">
        <f>'DNC4 FF'!L9</f>
        <v>6.9</v>
      </c>
      <c r="N9">
        <f>'# Out FF'!A9</f>
        <v>6</v>
      </c>
      <c r="O9">
        <f>'# Out FF'!B9</f>
        <v>710</v>
      </c>
      <c r="P9">
        <f>'# Out FF'!C9</f>
        <v>795</v>
      </c>
      <c r="Q9">
        <f>'# Out FF'!D9</f>
        <v>532</v>
      </c>
      <c r="R9">
        <f>'# Out FF'!E9</f>
        <v>766</v>
      </c>
      <c r="S9">
        <f>'# Out FF'!F9</f>
        <v>533</v>
      </c>
      <c r="T9">
        <f>'# Out FF'!G9</f>
        <v>802</v>
      </c>
      <c r="U9">
        <f>'# Out FF'!H9</f>
        <v>772</v>
      </c>
      <c r="V9">
        <f>'# Out FF'!I9</f>
        <v>769</v>
      </c>
      <c r="W9">
        <f>'# Out FF'!J9</f>
        <v>778</v>
      </c>
      <c r="X9">
        <f>'# Out FF'!K9</f>
        <v>752</v>
      </c>
      <c r="Y9">
        <f>'# Out FF'!L9</f>
        <v>720.9</v>
      </c>
      <c r="AB9">
        <v>8</v>
      </c>
      <c r="AC9">
        <v>658</v>
      </c>
      <c r="AF9" s="2">
        <f t="shared" si="0"/>
        <v>8.0000000000000002E-3</v>
      </c>
      <c r="AG9">
        <f t="shared" si="1"/>
        <v>0.65800000000000003</v>
      </c>
      <c r="AH9">
        <f t="shared" si="2"/>
        <v>0.64565443316314119</v>
      </c>
      <c r="AI9">
        <f t="shared" si="3"/>
        <v>1.2345566836858834E-2</v>
      </c>
    </row>
    <row r="10" spans="1:35" x14ac:dyDescent="0.35">
      <c r="A10">
        <f>'DNC4 FF'!A10</f>
        <v>7</v>
      </c>
      <c r="B10">
        <f>'DNC4 FF'!B10</f>
        <v>13</v>
      </c>
      <c r="C10">
        <f>'DNC4 FF'!C10</f>
        <v>16</v>
      </c>
      <c r="D10">
        <f>'DNC4 FF'!D10</f>
        <v>7</v>
      </c>
      <c r="E10">
        <f>'DNC4 FF'!E10</f>
        <v>7</v>
      </c>
      <c r="F10">
        <f>'DNC4 FF'!F10</f>
        <v>8</v>
      </c>
      <c r="G10">
        <f>'DNC4 FF'!G10</f>
        <v>3</v>
      </c>
      <c r="H10">
        <f>'DNC4 FF'!H10</f>
        <v>4</v>
      </c>
      <c r="I10">
        <f>'DNC4 FF'!I10</f>
        <v>8</v>
      </c>
      <c r="J10">
        <f>'DNC4 FF'!J10</f>
        <v>1</v>
      </c>
      <c r="K10">
        <f>'DNC4 FF'!K10</f>
        <v>5</v>
      </c>
      <c r="L10">
        <f>'DNC4 FF'!L10</f>
        <v>7.2</v>
      </c>
      <c r="N10">
        <f>'# Out FF'!A10</f>
        <v>7</v>
      </c>
      <c r="O10">
        <f>'# Out FF'!B10</f>
        <v>658</v>
      </c>
      <c r="P10">
        <f>'# Out FF'!C10</f>
        <v>842</v>
      </c>
      <c r="Q10">
        <f>'# Out FF'!D10</f>
        <v>713</v>
      </c>
      <c r="R10">
        <f>'# Out FF'!E10</f>
        <v>687</v>
      </c>
      <c r="S10">
        <f>'# Out FF'!F10</f>
        <v>748</v>
      </c>
      <c r="T10">
        <f>'# Out FF'!G10</f>
        <v>794</v>
      </c>
      <c r="U10">
        <f>'# Out FF'!H10</f>
        <v>550</v>
      </c>
      <c r="V10">
        <f>'# Out FF'!I10</f>
        <v>672</v>
      </c>
      <c r="W10">
        <f>'# Out FF'!J10</f>
        <v>571</v>
      </c>
      <c r="X10">
        <f>'# Out FF'!K10</f>
        <v>551</v>
      </c>
      <c r="Y10">
        <f>'# Out FF'!L10</f>
        <v>678.6</v>
      </c>
      <c r="AB10">
        <v>13</v>
      </c>
      <c r="AC10">
        <v>453</v>
      </c>
      <c r="AF10" s="2">
        <f t="shared" si="0"/>
        <v>1.2999999999999999E-2</v>
      </c>
      <c r="AG10">
        <f t="shared" si="1"/>
        <v>0.45300000000000001</v>
      </c>
      <c r="AH10">
        <f t="shared" si="2"/>
        <v>0.52793038449740115</v>
      </c>
      <c r="AI10">
        <f t="shared" si="3"/>
        <v>-7.4930384497401137E-2</v>
      </c>
    </row>
    <row r="11" spans="1:35" x14ac:dyDescent="0.35">
      <c r="A11">
        <f>'DNC4 FF'!A11</f>
        <v>8</v>
      </c>
      <c r="B11">
        <f>'DNC4 FF'!B11</f>
        <v>15</v>
      </c>
      <c r="C11">
        <f>'DNC4 FF'!C11</f>
        <v>15</v>
      </c>
      <c r="D11">
        <f>'DNC4 FF'!D11</f>
        <v>7</v>
      </c>
      <c r="E11">
        <f>'DNC4 FF'!E11</f>
        <v>19</v>
      </c>
      <c r="F11">
        <f>'DNC4 FF'!F11</f>
        <v>10</v>
      </c>
      <c r="G11">
        <f>'DNC4 FF'!G11</f>
        <v>8</v>
      </c>
      <c r="H11">
        <f>'DNC4 FF'!H11</f>
        <v>2</v>
      </c>
      <c r="I11">
        <f>'DNC4 FF'!I11</f>
        <v>13</v>
      </c>
      <c r="J11">
        <f>'DNC4 FF'!J11</f>
        <v>4</v>
      </c>
      <c r="K11">
        <f>'DNC4 FF'!K11</f>
        <v>2</v>
      </c>
      <c r="L11">
        <f>'DNC4 FF'!L11</f>
        <v>9.5</v>
      </c>
      <c r="N11">
        <f>'# Out FF'!A11</f>
        <v>8</v>
      </c>
      <c r="O11">
        <f>'# Out FF'!B11</f>
        <v>453</v>
      </c>
      <c r="P11">
        <f>'# Out FF'!C11</f>
        <v>458</v>
      </c>
      <c r="Q11">
        <f>'# Out FF'!D11</f>
        <v>759</v>
      </c>
      <c r="R11">
        <f>'# Out FF'!E11</f>
        <v>745</v>
      </c>
      <c r="S11">
        <f>'# Out FF'!F11</f>
        <v>685</v>
      </c>
      <c r="T11">
        <f>'# Out FF'!G11</f>
        <v>782</v>
      </c>
      <c r="U11">
        <f>'# Out FF'!H11</f>
        <v>767</v>
      </c>
      <c r="V11">
        <f>'# Out FF'!I11</f>
        <v>691</v>
      </c>
      <c r="W11">
        <f>'# Out FF'!J11</f>
        <v>788</v>
      </c>
      <c r="X11">
        <f>'# Out FF'!K11</f>
        <v>556</v>
      </c>
      <c r="Y11">
        <f>'# Out FF'!L11</f>
        <v>668.4</v>
      </c>
      <c r="AB11">
        <v>15</v>
      </c>
      <c r="AC11">
        <v>346</v>
      </c>
      <c r="AF11" s="2">
        <f t="shared" si="0"/>
        <v>1.4999999999999999E-2</v>
      </c>
      <c r="AG11">
        <f t="shared" si="1"/>
        <v>0.34599999999999997</v>
      </c>
      <c r="AH11">
        <f t="shared" si="2"/>
        <v>0.48708781615364399</v>
      </c>
      <c r="AI11">
        <f t="shared" si="3"/>
        <v>-0.14108781615364402</v>
      </c>
    </row>
    <row r="12" spans="1:35" x14ac:dyDescent="0.35">
      <c r="A12">
        <f>'DNC4 FF'!A12</f>
        <v>9</v>
      </c>
      <c r="B12">
        <f>'DNC4 FF'!B12</f>
        <v>20</v>
      </c>
      <c r="C12">
        <f>'DNC4 FF'!C12</f>
        <v>18</v>
      </c>
      <c r="D12">
        <f>'DNC4 FF'!D12</f>
        <v>6</v>
      </c>
      <c r="E12">
        <f>'DNC4 FF'!E12</f>
        <v>15</v>
      </c>
      <c r="F12">
        <f>'DNC4 FF'!F12</f>
        <v>10</v>
      </c>
      <c r="G12">
        <f>'DNC4 FF'!G12</f>
        <v>4</v>
      </c>
      <c r="H12">
        <f>'DNC4 FF'!H12</f>
        <v>5</v>
      </c>
      <c r="I12">
        <f>'DNC4 FF'!I12</f>
        <v>14</v>
      </c>
      <c r="J12">
        <f>'DNC4 FF'!J12</f>
        <v>3</v>
      </c>
      <c r="K12">
        <f>'DNC4 FF'!K12</f>
        <v>4</v>
      </c>
      <c r="L12">
        <f>'DNC4 FF'!L12</f>
        <v>9.9</v>
      </c>
      <c r="N12">
        <f>'# Out FF'!A12</f>
        <v>9</v>
      </c>
      <c r="O12">
        <f>'# Out FF'!B12</f>
        <v>346</v>
      </c>
      <c r="P12">
        <f>'# Out FF'!C12</f>
        <v>382</v>
      </c>
      <c r="Q12">
        <f>'# Out FF'!D12</f>
        <v>755</v>
      </c>
      <c r="R12">
        <f>'# Out FF'!E12</f>
        <v>484</v>
      </c>
      <c r="S12">
        <f>'# Out FF'!F12</f>
        <v>841</v>
      </c>
      <c r="T12">
        <f>'# Out FF'!G12</f>
        <v>702</v>
      </c>
      <c r="U12">
        <f>'# Out FF'!H12</f>
        <v>766</v>
      </c>
      <c r="V12">
        <f>'# Out FF'!I12</f>
        <v>460</v>
      </c>
      <c r="W12">
        <f>'# Out FF'!J12</f>
        <v>804</v>
      </c>
      <c r="X12">
        <f>'# Out FF'!K12</f>
        <v>777</v>
      </c>
      <c r="Y12">
        <f>'# Out FF'!L12</f>
        <v>631.70000000000005</v>
      </c>
      <c r="AB12">
        <v>20</v>
      </c>
      <c r="AC12">
        <v>511</v>
      </c>
      <c r="AF12" s="2">
        <f t="shared" si="0"/>
        <v>0.02</v>
      </c>
      <c r="AG12">
        <f t="shared" si="1"/>
        <v>0.51100000000000001</v>
      </c>
      <c r="AH12">
        <f t="shared" si="2"/>
        <v>0.39827567946244946</v>
      </c>
      <c r="AI12">
        <f t="shared" si="3"/>
        <v>0.11272432053755055</v>
      </c>
    </row>
    <row r="13" spans="1:35" x14ac:dyDescent="0.35">
      <c r="A13">
        <f>'DNC4 FF'!A13</f>
        <v>10</v>
      </c>
      <c r="B13">
        <f>'DNC4 FF'!B13</f>
        <v>16</v>
      </c>
      <c r="C13">
        <f>'DNC4 FF'!C13</f>
        <v>26</v>
      </c>
      <c r="D13">
        <f>'DNC4 FF'!D13</f>
        <v>12</v>
      </c>
      <c r="E13">
        <f>'DNC4 FF'!E13</f>
        <v>15</v>
      </c>
      <c r="F13">
        <f>'DNC4 FF'!F13</f>
        <v>9</v>
      </c>
      <c r="G13">
        <f>'DNC4 FF'!G13</f>
        <v>10</v>
      </c>
      <c r="H13">
        <f>'DNC4 FF'!H13</f>
        <v>2</v>
      </c>
      <c r="I13">
        <f>'DNC4 FF'!I13</f>
        <v>14</v>
      </c>
      <c r="J13">
        <f>'DNC4 FF'!J13</f>
        <v>3</v>
      </c>
      <c r="K13">
        <f>'DNC4 FF'!K13</f>
        <v>2</v>
      </c>
      <c r="L13">
        <f>'DNC4 FF'!L13</f>
        <v>10.9</v>
      </c>
      <c r="N13">
        <f>'# Out FF'!A13</f>
        <v>10</v>
      </c>
      <c r="O13">
        <f>'# Out FF'!B13</f>
        <v>511</v>
      </c>
      <c r="P13">
        <f>'# Out FF'!C13</f>
        <v>530</v>
      </c>
      <c r="Q13">
        <f>'# Out FF'!D13</f>
        <v>722</v>
      </c>
      <c r="R13">
        <f>'# Out FF'!E13</f>
        <v>345</v>
      </c>
      <c r="S13">
        <f>'# Out FF'!F13</f>
        <v>847</v>
      </c>
      <c r="T13">
        <f>'# Out FF'!G13</f>
        <v>787</v>
      </c>
      <c r="U13">
        <f>'# Out FF'!H13</f>
        <v>551</v>
      </c>
      <c r="V13">
        <f>'# Out FF'!I13</f>
        <v>458</v>
      </c>
      <c r="W13">
        <f>'# Out FF'!J13</f>
        <v>757</v>
      </c>
      <c r="X13">
        <f>'# Out FF'!K13</f>
        <v>795</v>
      </c>
      <c r="Y13">
        <f>'# Out FF'!L13</f>
        <v>630.29999999999995</v>
      </c>
      <c r="AB13">
        <v>16</v>
      </c>
      <c r="AC13">
        <v>447</v>
      </c>
      <c r="AF13" s="2">
        <f t="shared" si="0"/>
        <v>1.6E-2</v>
      </c>
      <c r="AG13">
        <f t="shared" si="1"/>
        <v>0.44700000000000001</v>
      </c>
      <c r="AH13">
        <f t="shared" si="2"/>
        <v>0.46786716842111914</v>
      </c>
      <c r="AI13">
        <f t="shared" si="3"/>
        <v>-2.0867168421119131E-2</v>
      </c>
    </row>
    <row r="14" spans="1:35" x14ac:dyDescent="0.35">
      <c r="A14">
        <f>'DNC4 FF'!A14</f>
        <v>11</v>
      </c>
      <c r="B14">
        <f>'DNC4 FF'!B14</f>
        <v>13</v>
      </c>
      <c r="C14">
        <f>'DNC4 FF'!C14</f>
        <v>7</v>
      </c>
      <c r="D14">
        <f>'DNC4 FF'!D14</f>
        <v>11</v>
      </c>
      <c r="E14">
        <f>'DNC4 FF'!E14</f>
        <v>20</v>
      </c>
      <c r="F14">
        <f>'DNC4 FF'!F14</f>
        <v>15</v>
      </c>
      <c r="G14">
        <f>'DNC4 FF'!G14</f>
        <v>12</v>
      </c>
      <c r="H14">
        <f>'DNC4 FF'!H14</f>
        <v>7</v>
      </c>
      <c r="I14">
        <f>'DNC4 FF'!I14</f>
        <v>7</v>
      </c>
      <c r="J14">
        <f>'DNC4 FF'!J14</f>
        <v>3</v>
      </c>
      <c r="K14">
        <f>'DNC4 FF'!K14</f>
        <v>4</v>
      </c>
      <c r="L14">
        <f>'DNC4 FF'!L14</f>
        <v>9.9</v>
      </c>
      <c r="N14">
        <f>'# Out FF'!A14</f>
        <v>11</v>
      </c>
      <c r="O14">
        <f>'# Out FF'!B14</f>
        <v>447</v>
      </c>
      <c r="P14">
        <f>'# Out FF'!C14</f>
        <v>284</v>
      </c>
      <c r="Q14">
        <f>'# Out FF'!D14</f>
        <v>536</v>
      </c>
      <c r="R14">
        <f>'# Out FF'!E14</f>
        <v>335</v>
      </c>
      <c r="S14">
        <f>'# Out FF'!F14</f>
        <v>686</v>
      </c>
      <c r="T14">
        <f>'# Out FF'!G14</f>
        <v>829</v>
      </c>
      <c r="U14">
        <f>'# Out FF'!H14</f>
        <v>759</v>
      </c>
      <c r="V14">
        <f>'# Out FF'!I14</f>
        <v>460</v>
      </c>
      <c r="W14">
        <f>'# Out FF'!J14</f>
        <v>756</v>
      </c>
      <c r="X14">
        <f>'# Out FF'!K14</f>
        <v>786</v>
      </c>
      <c r="Y14">
        <f>'# Out FF'!L14</f>
        <v>587.79999999999995</v>
      </c>
      <c r="AB14">
        <v>13</v>
      </c>
      <c r="AC14">
        <v>439</v>
      </c>
      <c r="AF14" s="2">
        <f t="shared" si="0"/>
        <v>1.2999999999999999E-2</v>
      </c>
      <c r="AG14">
        <f t="shared" si="1"/>
        <v>0.439</v>
      </c>
      <c r="AH14">
        <f t="shared" si="2"/>
        <v>0.52793038449740115</v>
      </c>
      <c r="AI14">
        <f t="shared" si="3"/>
        <v>-8.8930384497401149E-2</v>
      </c>
    </row>
    <row r="15" spans="1:35" x14ac:dyDescent="0.35">
      <c r="A15">
        <f>'DNC4 FF'!A15</f>
        <v>12</v>
      </c>
      <c r="B15">
        <f>'DNC4 FF'!B15</f>
        <v>5</v>
      </c>
      <c r="C15">
        <f>'DNC4 FF'!C15</f>
        <v>4</v>
      </c>
      <c r="D15">
        <f>'DNC4 FF'!D15</f>
        <v>18</v>
      </c>
      <c r="E15">
        <f>'DNC4 FF'!E15</f>
        <v>14</v>
      </c>
      <c r="F15">
        <f>'DNC4 FF'!F15</f>
        <v>17</v>
      </c>
      <c r="G15">
        <f>'DNC4 FF'!G15</f>
        <v>14</v>
      </c>
      <c r="H15">
        <f>'DNC4 FF'!H15</f>
        <v>6</v>
      </c>
      <c r="I15">
        <f>'DNC4 FF'!I15</f>
        <v>8</v>
      </c>
      <c r="J15">
        <f>'DNC4 FF'!J15</f>
        <v>2</v>
      </c>
      <c r="K15">
        <f>'DNC4 FF'!K15</f>
        <v>4</v>
      </c>
      <c r="L15">
        <f>'DNC4 FF'!L15</f>
        <v>9.1999999999999993</v>
      </c>
      <c r="N15">
        <f>'# Out FF'!A15</f>
        <v>12</v>
      </c>
      <c r="O15">
        <f>'# Out FF'!B15</f>
        <v>439</v>
      </c>
      <c r="P15">
        <f>'# Out FF'!C15</f>
        <v>741</v>
      </c>
      <c r="Q15">
        <f>'# Out FF'!D15</f>
        <v>652</v>
      </c>
      <c r="R15">
        <f>'# Out FF'!E15</f>
        <v>504</v>
      </c>
      <c r="S15">
        <f>'# Out FF'!F15</f>
        <v>366</v>
      </c>
      <c r="T15">
        <f>'# Out FF'!G15</f>
        <v>580</v>
      </c>
      <c r="U15">
        <f>'# Out FF'!H15</f>
        <v>763</v>
      </c>
      <c r="V15">
        <f>'# Out FF'!I15</f>
        <v>741</v>
      </c>
      <c r="W15">
        <f>'# Out FF'!J15</f>
        <v>763</v>
      </c>
      <c r="X15">
        <f>'# Out FF'!K15</f>
        <v>799</v>
      </c>
      <c r="Y15">
        <f>'# Out FF'!L15</f>
        <v>634.79999999999995</v>
      </c>
      <c r="AB15">
        <v>5</v>
      </c>
      <c r="AC15">
        <v>535</v>
      </c>
      <c r="AF15" s="2">
        <f t="shared" si="0"/>
        <v>5.0000000000000001E-3</v>
      </c>
      <c r="AG15">
        <f t="shared" si="1"/>
        <v>0.53500000000000003</v>
      </c>
      <c r="AH15">
        <f t="shared" si="2"/>
        <v>0.72854138131245416</v>
      </c>
      <c r="AI15">
        <f t="shared" si="3"/>
        <v>-0.19354138131245413</v>
      </c>
    </row>
    <row r="16" spans="1:35" x14ac:dyDescent="0.35">
      <c r="A16">
        <f>'DNC4 FF'!A16</f>
        <v>13</v>
      </c>
      <c r="B16">
        <f>'DNC4 FF'!B16</f>
        <v>5</v>
      </c>
      <c r="C16">
        <f>'DNC4 FF'!C16</f>
        <v>4</v>
      </c>
      <c r="D16">
        <f>'DNC4 FF'!D16</f>
        <v>17</v>
      </c>
      <c r="E16">
        <f>'DNC4 FF'!E16</f>
        <v>6</v>
      </c>
      <c r="F16">
        <f>'DNC4 FF'!F16</f>
        <v>34</v>
      </c>
      <c r="G16">
        <f>'DNC4 FF'!G16</f>
        <v>20</v>
      </c>
      <c r="H16">
        <f>'DNC4 FF'!H16</f>
        <v>7</v>
      </c>
      <c r="I16">
        <f>'DNC4 FF'!I16</f>
        <v>5</v>
      </c>
      <c r="J16">
        <f>'DNC4 FF'!J16</f>
        <v>6</v>
      </c>
      <c r="K16">
        <f>'DNC4 FF'!K16</f>
        <v>5</v>
      </c>
      <c r="L16">
        <f>'DNC4 FF'!L16</f>
        <v>10.9</v>
      </c>
      <c r="N16">
        <f>'# Out FF'!A16</f>
        <v>13</v>
      </c>
      <c r="O16">
        <f>'# Out FF'!B16</f>
        <v>535</v>
      </c>
      <c r="P16">
        <f>'# Out FF'!C16</f>
        <v>776</v>
      </c>
      <c r="Q16">
        <f>'# Out FF'!D16</f>
        <v>527</v>
      </c>
      <c r="R16">
        <f>'# Out FF'!E16</f>
        <v>440</v>
      </c>
      <c r="S16">
        <f>'# Out FF'!F16</f>
        <v>446</v>
      </c>
      <c r="T16">
        <f>'# Out FF'!G16</f>
        <v>473</v>
      </c>
      <c r="U16">
        <f>'# Out FF'!H16</f>
        <v>712</v>
      </c>
      <c r="V16">
        <f>'# Out FF'!I16</f>
        <v>677</v>
      </c>
      <c r="W16">
        <f>'# Out FF'!J16</f>
        <v>775</v>
      </c>
      <c r="X16">
        <f>'# Out FF'!K16</f>
        <v>797</v>
      </c>
      <c r="Y16">
        <f>'# Out FF'!L16</f>
        <v>615.79999999999995</v>
      </c>
      <c r="AB16">
        <v>5</v>
      </c>
      <c r="AC16">
        <v>547</v>
      </c>
      <c r="AF16" s="2">
        <f t="shared" si="0"/>
        <v>5.0000000000000001E-3</v>
      </c>
      <c r="AG16">
        <f t="shared" si="1"/>
        <v>0.54700000000000004</v>
      </c>
      <c r="AH16">
        <f t="shared" si="2"/>
        <v>0.72854138131245416</v>
      </c>
      <c r="AI16">
        <f t="shared" si="3"/>
        <v>-0.18154138131245412</v>
      </c>
    </row>
    <row r="17" spans="1:35" x14ac:dyDescent="0.35">
      <c r="A17">
        <f>'DNC4 FF'!A17</f>
        <v>14</v>
      </c>
      <c r="B17">
        <f>'DNC4 FF'!B17</f>
        <v>4</v>
      </c>
      <c r="C17">
        <f>'DNC4 FF'!C17</f>
        <v>2</v>
      </c>
      <c r="D17">
        <f>'DNC4 FF'!D17</f>
        <v>6</v>
      </c>
      <c r="E17">
        <f>'DNC4 FF'!E17</f>
        <v>3</v>
      </c>
      <c r="F17">
        <f>'DNC4 FF'!F17</f>
        <v>27</v>
      </c>
      <c r="G17">
        <f>'DNC4 FF'!G17</f>
        <v>29</v>
      </c>
      <c r="H17">
        <f>'DNC4 FF'!H17</f>
        <v>4</v>
      </c>
      <c r="I17">
        <f>'DNC4 FF'!I17</f>
        <v>6</v>
      </c>
      <c r="J17">
        <f>'DNC4 FF'!J17</f>
        <v>5</v>
      </c>
      <c r="K17">
        <f>'DNC4 FF'!K17</f>
        <v>7</v>
      </c>
      <c r="L17">
        <f>'DNC4 FF'!L17</f>
        <v>9.3000000000000007</v>
      </c>
      <c r="N17">
        <f>'# Out FF'!A17</f>
        <v>14</v>
      </c>
      <c r="O17">
        <f>'# Out FF'!B17</f>
        <v>547</v>
      </c>
      <c r="P17">
        <f>'# Out FF'!C17</f>
        <v>798</v>
      </c>
      <c r="Q17">
        <f>'# Out FF'!D17</f>
        <v>424</v>
      </c>
      <c r="R17">
        <f>'# Out FF'!E17</f>
        <v>699</v>
      </c>
      <c r="S17">
        <f>'# Out FF'!F17</f>
        <v>197</v>
      </c>
      <c r="T17">
        <f>'# Out FF'!G17</f>
        <v>554</v>
      </c>
      <c r="U17">
        <f>'# Out FF'!H17</f>
        <v>757</v>
      </c>
      <c r="V17">
        <f>'# Out FF'!I17</f>
        <v>518</v>
      </c>
      <c r="W17">
        <f>'# Out FF'!J17</f>
        <v>749</v>
      </c>
      <c r="X17">
        <f>'# Out FF'!K17</f>
        <v>559</v>
      </c>
      <c r="Y17">
        <f>'# Out FF'!L17</f>
        <v>580.20000000000005</v>
      </c>
      <c r="AB17">
        <v>4</v>
      </c>
      <c r="AC17">
        <v>766</v>
      </c>
      <c r="AF17" s="2">
        <f t="shared" si="0"/>
        <v>4.0000000000000001E-3</v>
      </c>
      <c r="AG17">
        <f t="shared" si="1"/>
        <v>0.76600000000000001</v>
      </c>
      <c r="AH17">
        <f t="shared" si="2"/>
        <v>0.75847089591385031</v>
      </c>
      <c r="AI17">
        <f t="shared" si="3"/>
        <v>7.5291040861497072E-3</v>
      </c>
    </row>
    <row r="18" spans="1:35" x14ac:dyDescent="0.35">
      <c r="A18">
        <f>'DNC4 FF'!A18</f>
        <v>15</v>
      </c>
      <c r="B18">
        <f>'DNC4 FF'!B18</f>
        <v>6</v>
      </c>
      <c r="C18">
        <f>'DNC4 FF'!C18</f>
        <v>2</v>
      </c>
      <c r="D18">
        <f>'DNC4 FF'!D18</f>
        <v>10</v>
      </c>
      <c r="E18">
        <f>'DNC4 FF'!E18</f>
        <v>2</v>
      </c>
      <c r="F18">
        <f>'DNC4 FF'!F18</f>
        <v>7</v>
      </c>
      <c r="G18">
        <f>'DNC4 FF'!G18</f>
        <v>18</v>
      </c>
      <c r="H18">
        <f>'DNC4 FF'!H18</f>
        <v>7</v>
      </c>
      <c r="I18">
        <f>'DNC4 FF'!I18</f>
        <v>4</v>
      </c>
      <c r="J18">
        <f>'DNC4 FF'!J18</f>
        <v>15</v>
      </c>
      <c r="K18">
        <f>'DNC4 FF'!K18</f>
        <v>5</v>
      </c>
      <c r="L18">
        <f>'DNC4 FF'!L18</f>
        <v>7.6</v>
      </c>
      <c r="N18">
        <f>'# Out FF'!A18</f>
        <v>15</v>
      </c>
      <c r="O18">
        <f>'# Out FF'!B18</f>
        <v>766</v>
      </c>
      <c r="P18">
        <f>'# Out FF'!C18</f>
        <v>783</v>
      </c>
      <c r="Q18">
        <f>'# Out FF'!D18</f>
        <v>698</v>
      </c>
      <c r="R18">
        <f>'# Out FF'!E18</f>
        <v>744</v>
      </c>
      <c r="S18">
        <f>'# Out FF'!F18</f>
        <v>279</v>
      </c>
      <c r="T18">
        <f>'# Out FF'!G18</f>
        <v>392</v>
      </c>
      <c r="U18">
        <f>'# Out FF'!H18</f>
        <v>755</v>
      </c>
      <c r="V18">
        <f>'# Out FF'!I18</f>
        <v>725</v>
      </c>
      <c r="W18">
        <f>'# Out FF'!J18</f>
        <v>553</v>
      </c>
      <c r="X18">
        <f>'# Out FF'!K18</f>
        <v>766</v>
      </c>
      <c r="Y18">
        <f>'# Out FF'!L18</f>
        <v>646.1</v>
      </c>
      <c r="AB18">
        <v>6</v>
      </c>
      <c r="AC18">
        <v>718</v>
      </c>
      <c r="AF18" s="2">
        <f t="shared" si="0"/>
        <v>6.0000000000000001E-3</v>
      </c>
      <c r="AG18">
        <f t="shared" si="1"/>
        <v>0.71799999999999997</v>
      </c>
      <c r="AH18">
        <f t="shared" si="2"/>
        <v>0.69979289534261269</v>
      </c>
      <c r="AI18">
        <f t="shared" si="3"/>
        <v>1.8207104657387285E-2</v>
      </c>
    </row>
    <row r="19" spans="1:35" x14ac:dyDescent="0.35">
      <c r="A19">
        <f>'DNC4 FF'!A19</f>
        <v>16</v>
      </c>
      <c r="B19">
        <f>'DNC4 FF'!B19</f>
        <v>7</v>
      </c>
      <c r="C19">
        <f>'DNC4 FF'!C19</f>
        <v>6</v>
      </c>
      <c r="D19">
        <f>'DNC4 FF'!D19</f>
        <v>8</v>
      </c>
      <c r="E19">
        <f>'DNC4 FF'!E19</f>
        <v>4</v>
      </c>
      <c r="F19">
        <f>'DNC4 FF'!F19</f>
        <v>8</v>
      </c>
      <c r="G19">
        <f>'DNC4 FF'!G19</f>
        <v>9</v>
      </c>
      <c r="H19">
        <f>'DNC4 FF'!H19</f>
        <v>3</v>
      </c>
      <c r="I19">
        <f>'DNC4 FF'!I19</f>
        <v>5</v>
      </c>
      <c r="J19">
        <f>'DNC4 FF'!J19</f>
        <v>13</v>
      </c>
      <c r="K19">
        <f>'DNC4 FF'!K19</f>
        <v>10</v>
      </c>
      <c r="L19">
        <f>'DNC4 FF'!L19</f>
        <v>7.3</v>
      </c>
      <c r="N19">
        <f>'# Out FF'!A19</f>
        <v>16</v>
      </c>
      <c r="O19">
        <f>'# Out FF'!B19</f>
        <v>718</v>
      </c>
      <c r="P19">
        <f>'# Out FF'!C19</f>
        <v>797</v>
      </c>
      <c r="Q19">
        <f>'# Out FF'!D19</f>
        <v>831</v>
      </c>
      <c r="R19">
        <f>'# Out FF'!E19</f>
        <v>784</v>
      </c>
      <c r="S19">
        <f>'# Out FF'!F19</f>
        <v>722</v>
      </c>
      <c r="T19">
        <f>'# Out FF'!G19</f>
        <v>545</v>
      </c>
      <c r="U19">
        <f>'# Out FF'!H19</f>
        <v>751</v>
      </c>
      <c r="V19">
        <f>'# Out FF'!I19</f>
        <v>774</v>
      </c>
      <c r="W19">
        <f>'# Out FF'!J19</f>
        <v>357</v>
      </c>
      <c r="X19">
        <f>'# Out FF'!K19</f>
        <v>560</v>
      </c>
      <c r="Y19">
        <f>'# Out FF'!L19</f>
        <v>683.9</v>
      </c>
      <c r="AB19">
        <v>7</v>
      </c>
      <c r="AC19">
        <v>738</v>
      </c>
      <c r="AF19" s="2">
        <f t="shared" si="0"/>
        <v>7.0000000000000001E-3</v>
      </c>
      <c r="AG19">
        <f t="shared" si="1"/>
        <v>0.73799999999999999</v>
      </c>
      <c r="AH19">
        <f t="shared" si="2"/>
        <v>0.67217883422049818</v>
      </c>
      <c r="AI19">
        <f t="shared" si="3"/>
        <v>6.5821165779501811E-2</v>
      </c>
    </row>
    <row r="20" spans="1:35" x14ac:dyDescent="0.35">
      <c r="A20">
        <f>'DNC4 FF'!A20</f>
        <v>17</v>
      </c>
      <c r="B20">
        <f>'DNC4 FF'!B20</f>
        <v>8</v>
      </c>
      <c r="C20">
        <f>'DNC4 FF'!C20</f>
        <v>5</v>
      </c>
      <c r="D20">
        <f>'DNC4 FF'!D20</f>
        <v>3</v>
      </c>
      <c r="E20">
        <f>'DNC4 FF'!E20</f>
        <v>2</v>
      </c>
      <c r="F20">
        <f>'DNC4 FF'!F20</f>
        <v>1</v>
      </c>
      <c r="G20">
        <f>'DNC4 FF'!G20</f>
        <v>9</v>
      </c>
      <c r="H20">
        <f>'DNC4 FF'!H20</f>
        <v>6</v>
      </c>
      <c r="I20">
        <f>'DNC4 FF'!I20</f>
        <v>2</v>
      </c>
      <c r="J20">
        <f>'DNC4 FF'!J20</f>
        <v>24</v>
      </c>
      <c r="K20">
        <f>'DNC4 FF'!K20</f>
        <v>3</v>
      </c>
      <c r="L20">
        <f>'DNC4 FF'!L20</f>
        <v>6.3</v>
      </c>
      <c r="N20">
        <f>'# Out FF'!A20</f>
        <v>17</v>
      </c>
      <c r="O20">
        <f>'# Out FF'!B20</f>
        <v>738</v>
      </c>
      <c r="P20">
        <f>'# Out FF'!C20</f>
        <v>758</v>
      </c>
      <c r="Q20">
        <f>'# Out FF'!D20</f>
        <v>703</v>
      </c>
      <c r="R20">
        <f>'# Out FF'!E20</f>
        <v>804</v>
      </c>
      <c r="S20">
        <f>'# Out FF'!F20</f>
        <v>670</v>
      </c>
      <c r="T20">
        <f>'# Out FF'!G20</f>
        <v>687</v>
      </c>
      <c r="U20">
        <f>'# Out FF'!H20</f>
        <v>735</v>
      </c>
      <c r="V20">
        <f>'# Out FF'!I20</f>
        <v>530</v>
      </c>
      <c r="W20">
        <f>'# Out FF'!J20</f>
        <v>436</v>
      </c>
      <c r="X20">
        <f>'# Out FF'!K20</f>
        <v>843</v>
      </c>
      <c r="Y20">
        <f>'# Out FF'!L20</f>
        <v>690.4</v>
      </c>
      <c r="AB20">
        <v>8</v>
      </c>
      <c r="AC20">
        <v>665</v>
      </c>
      <c r="AF20" s="2">
        <f t="shared" si="0"/>
        <v>8.0000000000000002E-3</v>
      </c>
      <c r="AG20">
        <f t="shared" si="1"/>
        <v>0.66500000000000004</v>
      </c>
      <c r="AH20">
        <f t="shared" si="2"/>
        <v>0.64565443316314119</v>
      </c>
      <c r="AI20">
        <f t="shared" si="3"/>
        <v>1.9345566836858841E-2</v>
      </c>
    </row>
    <row r="21" spans="1:35" x14ac:dyDescent="0.35">
      <c r="A21">
        <f>'DNC4 FF'!A21</f>
        <v>18</v>
      </c>
      <c r="B21">
        <f>'DNC4 FF'!B21</f>
        <v>9</v>
      </c>
      <c r="C21">
        <f>'DNC4 FF'!C21</f>
        <v>5</v>
      </c>
      <c r="D21">
        <f>'DNC4 FF'!D21</f>
        <v>7</v>
      </c>
      <c r="E21">
        <f>'DNC4 FF'!E21</f>
        <v>3</v>
      </c>
      <c r="F21">
        <f>'DNC4 FF'!F21</f>
        <v>4</v>
      </c>
      <c r="G21">
        <f>'DNC4 FF'!G21</f>
        <v>3</v>
      </c>
      <c r="H21">
        <f>'DNC4 FF'!H21</f>
        <v>5</v>
      </c>
      <c r="I21">
        <f>'DNC4 FF'!I21</f>
        <v>3</v>
      </c>
      <c r="J21">
        <f>'DNC4 FF'!J21</f>
        <v>12</v>
      </c>
      <c r="K21">
        <f>'DNC4 FF'!K21</f>
        <v>8</v>
      </c>
      <c r="L21">
        <f>'DNC4 FF'!L21</f>
        <v>5.9</v>
      </c>
      <c r="N21">
        <f>'# Out FF'!A21</f>
        <v>18</v>
      </c>
      <c r="O21">
        <f>'# Out FF'!B21</f>
        <v>665</v>
      </c>
      <c r="P21">
        <f>'# Out FF'!C21</f>
        <v>568</v>
      </c>
      <c r="Q21">
        <f>'# Out FF'!D21</f>
        <v>743</v>
      </c>
      <c r="R21">
        <f>'# Out FF'!E21</f>
        <v>780</v>
      </c>
      <c r="S21">
        <f>'# Out FF'!F21</f>
        <v>770</v>
      </c>
      <c r="T21">
        <f>'# Out FF'!G21</f>
        <v>701</v>
      </c>
      <c r="U21">
        <f>'# Out FF'!H21</f>
        <v>723</v>
      </c>
      <c r="V21">
        <f>'# Out FF'!I21</f>
        <v>782</v>
      </c>
      <c r="W21">
        <f>'# Out FF'!J21</f>
        <v>213</v>
      </c>
      <c r="X21">
        <f>'# Out FF'!K21</f>
        <v>743</v>
      </c>
      <c r="Y21">
        <f>'# Out FF'!L21</f>
        <v>668.8</v>
      </c>
      <c r="AB21">
        <v>9</v>
      </c>
      <c r="AC21">
        <v>713</v>
      </c>
      <c r="AF21" s="2">
        <f t="shared" si="0"/>
        <v>8.9999999999999993E-3</v>
      </c>
      <c r="AG21">
        <f t="shared" si="1"/>
        <v>0.71299999999999997</v>
      </c>
      <c r="AH21">
        <f t="shared" si="2"/>
        <v>0.62017669382084306</v>
      </c>
      <c r="AI21">
        <f t="shared" si="3"/>
        <v>9.2823306179156906E-2</v>
      </c>
    </row>
    <row r="22" spans="1:35" x14ac:dyDescent="0.35">
      <c r="A22">
        <f>'DNC4 FF'!A22</f>
        <v>19</v>
      </c>
      <c r="B22">
        <f>'DNC4 FF'!B22</f>
        <v>10</v>
      </c>
      <c r="C22">
        <f>'DNC4 FF'!C22</f>
        <v>9</v>
      </c>
      <c r="D22">
        <f>'DNC4 FF'!D22</f>
        <v>12</v>
      </c>
      <c r="E22">
        <f>'DNC4 FF'!E22</f>
        <v>6</v>
      </c>
      <c r="F22">
        <f>'DNC4 FF'!F22</f>
        <v>2</v>
      </c>
      <c r="G22">
        <f>'DNC4 FF'!G22</f>
        <v>3</v>
      </c>
      <c r="H22">
        <f>'DNC4 FF'!H22</f>
        <v>3</v>
      </c>
      <c r="I22">
        <f>'DNC4 FF'!I22</f>
        <v>5</v>
      </c>
      <c r="J22">
        <f>'DNC4 FF'!J22</f>
        <v>4</v>
      </c>
      <c r="K22">
        <f>'DNC4 FF'!K22</f>
        <v>8</v>
      </c>
      <c r="L22">
        <f>'DNC4 FF'!L22</f>
        <v>6.2</v>
      </c>
      <c r="N22">
        <f>'# Out FF'!A22</f>
        <v>19</v>
      </c>
      <c r="O22">
        <f>'# Out FF'!B22</f>
        <v>713</v>
      </c>
      <c r="P22">
        <f>'# Out FF'!C22</f>
        <v>570</v>
      </c>
      <c r="Q22">
        <f>'# Out FF'!D22</f>
        <v>757</v>
      </c>
      <c r="R22">
        <f>'# Out FF'!E22</f>
        <v>758</v>
      </c>
      <c r="S22">
        <f>'# Out FF'!F22</f>
        <v>779</v>
      </c>
      <c r="T22">
        <f>'# Out FF'!G22</f>
        <v>772</v>
      </c>
      <c r="U22">
        <f>'# Out FF'!H22</f>
        <v>554</v>
      </c>
      <c r="V22">
        <f>'# Out FF'!I22</f>
        <v>765</v>
      </c>
      <c r="W22">
        <f>'# Out FF'!J22</f>
        <v>565</v>
      </c>
      <c r="X22">
        <f>'# Out FF'!K22</f>
        <v>679</v>
      </c>
      <c r="Y22">
        <f>'# Out FF'!L22</f>
        <v>691.2</v>
      </c>
      <c r="AB22">
        <v>10</v>
      </c>
      <c r="AC22">
        <v>848</v>
      </c>
      <c r="AF22" s="2">
        <f t="shared" si="0"/>
        <v>0.01</v>
      </c>
      <c r="AG22">
        <f t="shared" si="1"/>
        <v>0.84799999999999998</v>
      </c>
      <c r="AH22">
        <f t="shared" si="2"/>
        <v>0.59570431457312989</v>
      </c>
      <c r="AI22">
        <f t="shared" si="3"/>
        <v>0.25229568542687009</v>
      </c>
    </row>
    <row r="23" spans="1:35" x14ac:dyDescent="0.35">
      <c r="A23">
        <f>'DNC4 FF'!A23</f>
        <v>20</v>
      </c>
      <c r="B23">
        <f>'DNC4 FF'!B23</f>
        <v>12</v>
      </c>
      <c r="C23">
        <f>'DNC4 FF'!C23</f>
        <v>9</v>
      </c>
      <c r="D23">
        <f>'DNC4 FF'!D23</f>
        <v>6</v>
      </c>
      <c r="E23">
        <f>'DNC4 FF'!E23</f>
        <v>7</v>
      </c>
      <c r="F23">
        <f>'DNC4 FF'!F23</f>
        <v>2</v>
      </c>
      <c r="G23">
        <f>'DNC4 FF'!G23</f>
        <v>2</v>
      </c>
      <c r="H23">
        <f>'DNC4 FF'!H23</f>
        <v>4</v>
      </c>
      <c r="I23">
        <f>'DNC4 FF'!I23</f>
        <v>2</v>
      </c>
      <c r="J23">
        <f>'DNC4 FF'!J23</f>
        <v>6</v>
      </c>
      <c r="K23">
        <f>'DNC4 FF'!K23</f>
        <v>17</v>
      </c>
      <c r="L23">
        <f>'DNC4 FF'!L23</f>
        <v>6.7</v>
      </c>
      <c r="N23">
        <f>'# Out FF'!A23</f>
        <v>20</v>
      </c>
      <c r="O23">
        <f>'# Out FF'!B23</f>
        <v>848</v>
      </c>
      <c r="P23">
        <f>'# Out FF'!C23</f>
        <v>709</v>
      </c>
      <c r="Q23">
        <f>'# Out FF'!D23</f>
        <v>537</v>
      </c>
      <c r="R23">
        <f>'# Out FF'!E23</f>
        <v>722</v>
      </c>
      <c r="S23">
        <f>'# Out FF'!F23</f>
        <v>777</v>
      </c>
      <c r="T23">
        <f>'# Out FF'!G23</f>
        <v>783</v>
      </c>
      <c r="U23">
        <f>'# Out FF'!H23</f>
        <v>741</v>
      </c>
      <c r="V23">
        <f>'# Out FF'!I23</f>
        <v>533</v>
      </c>
      <c r="W23">
        <f>'# Out FF'!J23</f>
        <v>767</v>
      </c>
      <c r="X23">
        <f>'# Out FF'!K23</f>
        <v>663</v>
      </c>
      <c r="Y23">
        <f>'# Out FF'!L23</f>
        <v>708</v>
      </c>
      <c r="AB23">
        <v>12</v>
      </c>
      <c r="AC23">
        <v>558</v>
      </c>
      <c r="AF23" s="2">
        <f t="shared" si="0"/>
        <v>1.2E-2</v>
      </c>
      <c r="AG23">
        <f t="shared" si="1"/>
        <v>0.55800000000000005</v>
      </c>
      <c r="AH23">
        <f t="shared" si="2"/>
        <v>0.54961851444668564</v>
      </c>
      <c r="AI23">
        <f t="shared" si="3"/>
        <v>8.3814855533144161E-3</v>
      </c>
    </row>
    <row r="24" spans="1:35" x14ac:dyDescent="0.35">
      <c r="A24">
        <f>'DNC4 FF'!A24</f>
        <v>21</v>
      </c>
      <c r="B24">
        <f>'DNC4 FF'!B24</f>
        <v>7</v>
      </c>
      <c r="C24">
        <f>'DNC4 FF'!C24</f>
        <v>8</v>
      </c>
      <c r="D24">
        <f>'DNC4 FF'!D24</f>
        <v>8</v>
      </c>
      <c r="E24">
        <f>'DNC4 FF'!E24</f>
        <v>9</v>
      </c>
      <c r="F24">
        <f>'DNC4 FF'!F24</f>
        <v>5</v>
      </c>
      <c r="G24">
        <f>'DNC4 FF'!G24</f>
        <v>4</v>
      </c>
      <c r="H24">
        <f>'DNC4 FF'!H24</f>
        <v>6</v>
      </c>
      <c r="I24">
        <f>'DNC4 FF'!I24</f>
        <v>3</v>
      </c>
      <c r="J24">
        <f>'DNC4 FF'!J24</f>
        <v>0</v>
      </c>
      <c r="K24">
        <f>'DNC4 FF'!K24</f>
        <v>17</v>
      </c>
      <c r="L24">
        <f>'DNC4 FF'!L24</f>
        <v>6.7</v>
      </c>
      <c r="N24">
        <f>'# Out FF'!A24</f>
        <v>21</v>
      </c>
      <c r="O24">
        <f>'# Out FF'!B24</f>
        <v>558</v>
      </c>
      <c r="P24">
        <f>'# Out FF'!C24</f>
        <v>706</v>
      </c>
      <c r="Q24">
        <f>'# Out FF'!D24</f>
        <v>720</v>
      </c>
      <c r="R24">
        <f>'# Out FF'!E24</f>
        <v>751</v>
      </c>
      <c r="S24">
        <f>'# Out FF'!F24</f>
        <v>781</v>
      </c>
      <c r="T24">
        <f>'# Out FF'!G24</f>
        <v>797</v>
      </c>
      <c r="U24">
        <f>'# Out FF'!H24</f>
        <v>773</v>
      </c>
      <c r="V24">
        <f>'# Out FF'!I24</f>
        <v>784</v>
      </c>
      <c r="W24">
        <f>'# Out FF'!J24</f>
        <v>740</v>
      </c>
      <c r="X24">
        <f>'# Out FF'!K24</f>
        <v>474</v>
      </c>
      <c r="Y24">
        <f>'# Out FF'!L24</f>
        <v>708.4</v>
      </c>
      <c r="AB24">
        <v>7</v>
      </c>
      <c r="AC24">
        <v>719</v>
      </c>
      <c r="AF24" s="2">
        <f t="shared" si="0"/>
        <v>7.0000000000000001E-3</v>
      </c>
      <c r="AG24">
        <f t="shared" si="1"/>
        <v>0.71899999999999997</v>
      </c>
      <c r="AH24">
        <f t="shared" si="2"/>
        <v>0.67217883422049818</v>
      </c>
      <c r="AI24">
        <f t="shared" si="3"/>
        <v>4.6821165779501794E-2</v>
      </c>
    </row>
    <row r="25" spans="1:35" x14ac:dyDescent="0.35">
      <c r="A25">
        <f>'DNC4 FF'!A25</f>
        <v>22</v>
      </c>
      <c r="B25">
        <f>'DNC4 FF'!B25</f>
        <v>15</v>
      </c>
      <c r="C25">
        <f>'DNC4 FF'!C25</f>
        <v>5</v>
      </c>
      <c r="D25">
        <f>'DNC4 FF'!D25</f>
        <v>6</v>
      </c>
      <c r="E25">
        <f>'DNC4 FF'!E25</f>
        <v>9</v>
      </c>
      <c r="F25">
        <f>'DNC4 FF'!F25</f>
        <v>9</v>
      </c>
      <c r="G25">
        <f>'DNC4 FF'!G25</f>
        <v>1</v>
      </c>
      <c r="H25">
        <f>'DNC4 FF'!H25</f>
        <v>5</v>
      </c>
      <c r="I25">
        <f>'DNC4 FF'!I25</f>
        <v>7</v>
      </c>
      <c r="J25">
        <f>'DNC4 FF'!J25</f>
        <v>2</v>
      </c>
      <c r="K25">
        <f>'DNC4 FF'!K25</f>
        <v>13</v>
      </c>
      <c r="L25">
        <f>'DNC4 FF'!L25</f>
        <v>7.2</v>
      </c>
      <c r="N25">
        <f>'# Out FF'!A25</f>
        <v>22</v>
      </c>
      <c r="O25">
        <f>'# Out FF'!B25</f>
        <v>719</v>
      </c>
      <c r="P25">
        <f>'# Out FF'!C25</f>
        <v>705</v>
      </c>
      <c r="Q25">
        <f>'# Out FF'!D25</f>
        <v>699</v>
      </c>
      <c r="R25">
        <f>'# Out FF'!E25</f>
        <v>709</v>
      </c>
      <c r="S25">
        <f>'# Out FF'!F25</f>
        <v>537</v>
      </c>
      <c r="T25">
        <f>'# Out FF'!G25</f>
        <v>800</v>
      </c>
      <c r="U25">
        <f>'# Out FF'!H25</f>
        <v>720</v>
      </c>
      <c r="V25">
        <f>'# Out FF'!I25</f>
        <v>767</v>
      </c>
      <c r="W25">
        <f>'# Out FF'!J25</f>
        <v>990</v>
      </c>
      <c r="X25">
        <f>'# Out FF'!K25</f>
        <v>464</v>
      </c>
      <c r="Y25">
        <f>'# Out FF'!L25</f>
        <v>711</v>
      </c>
      <c r="AB25">
        <v>15</v>
      </c>
      <c r="AC25">
        <v>357</v>
      </c>
      <c r="AF25" s="2">
        <f t="shared" si="0"/>
        <v>1.4999999999999999E-2</v>
      </c>
      <c r="AG25">
        <f t="shared" si="1"/>
        <v>0.35699999999999998</v>
      </c>
      <c r="AH25">
        <f t="shared" si="2"/>
        <v>0.48708781615364399</v>
      </c>
      <c r="AI25">
        <f t="shared" si="3"/>
        <v>-0.13008781615364401</v>
      </c>
    </row>
    <row r="26" spans="1:35" x14ac:dyDescent="0.35">
      <c r="A26">
        <f>'DNC4 FF'!A26</f>
        <v>23</v>
      </c>
      <c r="B26">
        <f>'DNC4 FF'!B26</f>
        <v>15</v>
      </c>
      <c r="C26">
        <f>'DNC4 FF'!C26</f>
        <v>6</v>
      </c>
      <c r="D26">
        <f>'DNC4 FF'!D26</f>
        <v>5</v>
      </c>
      <c r="E26">
        <f>'DNC4 FF'!E26</f>
        <v>9</v>
      </c>
      <c r="F26">
        <f>'DNC4 FF'!F26</f>
        <v>11</v>
      </c>
      <c r="G26">
        <f>'DNC4 FF'!G26</f>
        <v>5</v>
      </c>
      <c r="H26">
        <f>'DNC4 FF'!H26</f>
        <v>8</v>
      </c>
      <c r="I26">
        <f>'DNC4 FF'!I26</f>
        <v>1</v>
      </c>
      <c r="J26">
        <f>'DNC4 FF'!J26</f>
        <v>2</v>
      </c>
      <c r="K26">
        <f>'DNC4 FF'!K26</f>
        <v>10</v>
      </c>
      <c r="L26">
        <f>'DNC4 FF'!L26</f>
        <v>7.2</v>
      </c>
      <c r="N26">
        <f>'# Out FF'!A26</f>
        <v>23</v>
      </c>
      <c r="O26">
        <f>'# Out FF'!B26</f>
        <v>357</v>
      </c>
      <c r="P26">
        <f>'# Out FF'!C26</f>
        <v>565</v>
      </c>
      <c r="Q26">
        <f>'# Out FF'!D26</f>
        <v>722</v>
      </c>
      <c r="R26">
        <f>'# Out FF'!E26</f>
        <v>702</v>
      </c>
      <c r="S26">
        <f>'# Out FF'!F26</f>
        <v>700</v>
      </c>
      <c r="T26">
        <f>'# Out FF'!G26</f>
        <v>795</v>
      </c>
      <c r="U26">
        <f>'# Out FF'!H26</f>
        <v>540</v>
      </c>
      <c r="V26">
        <f>'# Out FF'!I26</f>
        <v>779</v>
      </c>
      <c r="W26">
        <f>'# Out FF'!J26</f>
        <v>781</v>
      </c>
      <c r="X26">
        <f>'# Out FF'!K26</f>
        <v>469</v>
      </c>
      <c r="Y26">
        <f>'# Out FF'!L26</f>
        <v>641</v>
      </c>
      <c r="AB26">
        <v>15</v>
      </c>
      <c r="AC26">
        <v>359</v>
      </c>
      <c r="AF26" s="2">
        <f t="shared" si="0"/>
        <v>1.4999999999999999E-2</v>
      </c>
      <c r="AG26">
        <f t="shared" si="1"/>
        <v>0.35899999999999999</v>
      </c>
      <c r="AH26">
        <f t="shared" si="2"/>
        <v>0.48708781615364399</v>
      </c>
      <c r="AI26">
        <f t="shared" si="3"/>
        <v>-0.12808781615364401</v>
      </c>
    </row>
    <row r="27" spans="1:35" x14ac:dyDescent="0.35">
      <c r="A27">
        <f>'DNC4 FF'!A27</f>
        <v>24</v>
      </c>
      <c r="B27">
        <f>'DNC4 FF'!B27</f>
        <v>8</v>
      </c>
      <c r="C27">
        <f>'DNC4 FF'!C27</f>
        <v>4</v>
      </c>
      <c r="D27">
        <f>'DNC4 FF'!D27</f>
        <v>4</v>
      </c>
      <c r="E27">
        <f>'DNC4 FF'!E27</f>
        <v>6</v>
      </c>
      <c r="F27">
        <f>'DNC4 FF'!F27</f>
        <v>10</v>
      </c>
      <c r="G27">
        <f>'DNC4 FF'!G27</f>
        <v>5</v>
      </c>
      <c r="H27">
        <f>'DNC4 FF'!H27</f>
        <v>10</v>
      </c>
      <c r="I27">
        <f>'DNC4 FF'!I27</f>
        <v>4</v>
      </c>
      <c r="J27">
        <f>'DNC4 FF'!J27</f>
        <v>0</v>
      </c>
      <c r="K27">
        <f>'DNC4 FF'!K27</f>
        <v>7</v>
      </c>
      <c r="L27">
        <f>'DNC4 FF'!L27</f>
        <v>5.8</v>
      </c>
      <c r="N27">
        <f>'# Out FF'!A27</f>
        <v>24</v>
      </c>
      <c r="O27">
        <f>'# Out FF'!B27</f>
        <v>359</v>
      </c>
      <c r="P27">
        <f>'# Out FF'!C27</f>
        <v>741</v>
      </c>
      <c r="Q27">
        <f>'# Out FF'!D27</f>
        <v>532</v>
      </c>
      <c r="R27">
        <f>'# Out FF'!E27</f>
        <v>702</v>
      </c>
      <c r="S27">
        <f>'# Out FF'!F27</f>
        <v>692</v>
      </c>
      <c r="T27">
        <f>'# Out FF'!G27</f>
        <v>551</v>
      </c>
      <c r="U27">
        <f>'# Out FF'!H27</f>
        <v>681</v>
      </c>
      <c r="V27">
        <f>'# Out FF'!I27</f>
        <v>794</v>
      </c>
      <c r="W27">
        <f>'# Out FF'!J27</f>
        <v>791</v>
      </c>
      <c r="X27">
        <f>'# Out FF'!K27</f>
        <v>831</v>
      </c>
      <c r="Y27">
        <f>'# Out FF'!L27</f>
        <v>667.4</v>
      </c>
      <c r="AB27">
        <v>8</v>
      </c>
      <c r="AC27">
        <v>656</v>
      </c>
      <c r="AF27" s="2">
        <f t="shared" si="0"/>
        <v>8.0000000000000002E-3</v>
      </c>
      <c r="AG27">
        <f t="shared" si="1"/>
        <v>0.65600000000000003</v>
      </c>
      <c r="AH27">
        <f t="shared" si="2"/>
        <v>0.64565443316314119</v>
      </c>
      <c r="AI27">
        <f t="shared" si="3"/>
        <v>1.0345566836858833E-2</v>
      </c>
    </row>
    <row r="28" spans="1:35" x14ac:dyDescent="0.35">
      <c r="A28">
        <f>'DNC4 FF'!A28</f>
        <v>25</v>
      </c>
      <c r="B28">
        <f>'DNC4 FF'!B28</f>
        <v>6</v>
      </c>
      <c r="C28">
        <f>'DNC4 FF'!C28</f>
        <v>3</v>
      </c>
      <c r="D28">
        <f>'DNC4 FF'!D28</f>
        <v>4</v>
      </c>
      <c r="E28">
        <f>'DNC4 FF'!E28</f>
        <v>10</v>
      </c>
      <c r="F28">
        <f>'DNC4 FF'!F28</f>
        <v>5</v>
      </c>
      <c r="G28">
        <f>'DNC4 FF'!G28</f>
        <v>5</v>
      </c>
      <c r="H28">
        <f>'DNC4 FF'!H28</f>
        <v>10</v>
      </c>
      <c r="I28">
        <f>'DNC4 FF'!I28</f>
        <v>4</v>
      </c>
      <c r="J28">
        <f>'DNC4 FF'!J28</f>
        <v>9</v>
      </c>
      <c r="K28">
        <f>'DNC4 FF'!K28</f>
        <v>7</v>
      </c>
      <c r="L28">
        <f>'DNC4 FF'!L28</f>
        <v>6.3</v>
      </c>
      <c r="N28">
        <f>'# Out FF'!A28</f>
        <v>25</v>
      </c>
      <c r="O28">
        <f>'# Out FF'!B28</f>
        <v>656</v>
      </c>
      <c r="P28">
        <f>'# Out FF'!C28</f>
        <v>807</v>
      </c>
      <c r="Q28">
        <f>'# Out FF'!D28</f>
        <v>774</v>
      </c>
      <c r="R28">
        <f>'# Out FF'!E28</f>
        <v>702</v>
      </c>
      <c r="S28">
        <f>'# Out FF'!F28</f>
        <v>855</v>
      </c>
      <c r="T28">
        <f>'# Out FF'!G28</f>
        <v>550</v>
      </c>
      <c r="U28">
        <f>'# Out FF'!H28</f>
        <v>836</v>
      </c>
      <c r="V28">
        <f>'# Out FF'!I28</f>
        <v>775</v>
      </c>
      <c r="W28">
        <f>'# Out FF'!J28</f>
        <v>994</v>
      </c>
      <c r="X28">
        <f>'# Out FF'!K28</f>
        <v>745</v>
      </c>
      <c r="Y28">
        <f>'# Out FF'!L28</f>
        <v>769.4</v>
      </c>
      <c r="AB28">
        <v>6</v>
      </c>
      <c r="AC28">
        <v>700</v>
      </c>
      <c r="AF28" s="2">
        <f t="shared" si="0"/>
        <v>6.0000000000000001E-3</v>
      </c>
      <c r="AG28">
        <f t="shared" si="1"/>
        <v>0.7</v>
      </c>
      <c r="AH28">
        <f t="shared" si="2"/>
        <v>0.69979289534261269</v>
      </c>
      <c r="AI28">
        <f t="shared" si="3"/>
        <v>2.0710465738726924E-4</v>
      </c>
    </row>
    <row r="29" spans="1:35" x14ac:dyDescent="0.35">
      <c r="A29">
        <f>'DNC4 FF'!A29</f>
        <v>26</v>
      </c>
      <c r="B29">
        <f>'DNC4 FF'!B29</f>
        <v>1</v>
      </c>
      <c r="C29">
        <f>'DNC4 FF'!C29</f>
        <v>2</v>
      </c>
      <c r="D29">
        <f>'DNC4 FF'!D29</f>
        <v>4</v>
      </c>
      <c r="E29">
        <f>'DNC4 FF'!E29</f>
        <v>7</v>
      </c>
      <c r="F29">
        <f>'DNC4 FF'!F29</f>
        <v>9</v>
      </c>
      <c r="G29">
        <f>'DNC4 FF'!G29</f>
        <v>5</v>
      </c>
      <c r="H29">
        <f>'DNC4 FF'!H29</f>
        <v>7</v>
      </c>
      <c r="I29">
        <f>'DNC4 FF'!I29</f>
        <v>3</v>
      </c>
      <c r="J29">
        <f>'DNC4 FF'!J29</f>
        <v>6</v>
      </c>
      <c r="K29">
        <f>'DNC4 FF'!K29</f>
        <v>5</v>
      </c>
      <c r="L29">
        <f>'DNC4 FF'!L29</f>
        <v>4.9000000000000004</v>
      </c>
      <c r="N29">
        <f>'# Out FF'!A29</f>
        <v>26</v>
      </c>
      <c r="O29">
        <f>'# Out FF'!B29</f>
        <v>700</v>
      </c>
      <c r="P29">
        <f>'# Out FF'!C29</f>
        <v>774</v>
      </c>
      <c r="Q29">
        <f>'# Out FF'!D29</f>
        <v>786</v>
      </c>
      <c r="R29">
        <f>'# Out FF'!E29</f>
        <v>845</v>
      </c>
      <c r="S29">
        <f>'# Out FF'!F29</f>
        <v>514</v>
      </c>
      <c r="T29">
        <f>'# Out FF'!G29</f>
        <v>546</v>
      </c>
      <c r="U29">
        <f>'# Out FF'!H29</f>
        <v>831</v>
      </c>
      <c r="V29">
        <f>'# Out FF'!I29</f>
        <v>782</v>
      </c>
      <c r="W29">
        <f>'# Out FF'!J29</f>
        <v>717</v>
      </c>
      <c r="X29">
        <f>'# Out FF'!K29</f>
        <v>761</v>
      </c>
      <c r="Y29">
        <f>'# Out FF'!L29</f>
        <v>725.6</v>
      </c>
      <c r="AB29">
        <v>1</v>
      </c>
      <c r="AC29">
        <v>794</v>
      </c>
      <c r="AF29" s="2">
        <f t="shared" si="0"/>
        <v>1E-3</v>
      </c>
      <c r="AG29">
        <f t="shared" si="1"/>
        <v>0.79400000000000004</v>
      </c>
      <c r="AH29">
        <f t="shared" si="2"/>
        <v>0.85584084273568095</v>
      </c>
      <c r="AI29">
        <f t="shared" si="3"/>
        <v>-6.1840842735680912E-2</v>
      </c>
    </row>
    <row r="30" spans="1:35" x14ac:dyDescent="0.35">
      <c r="A30">
        <f>'DNC4 FF'!A30</f>
        <v>27</v>
      </c>
      <c r="B30">
        <f>'DNC4 FF'!B30</f>
        <v>0</v>
      </c>
      <c r="C30">
        <f>'DNC4 FF'!C30</f>
        <v>4</v>
      </c>
      <c r="D30">
        <f>'DNC4 FF'!D30</f>
        <v>3</v>
      </c>
      <c r="E30">
        <f>'DNC4 FF'!E30</f>
        <v>11</v>
      </c>
      <c r="F30">
        <f>'DNC4 FF'!F30</f>
        <v>4</v>
      </c>
      <c r="G30">
        <f>'DNC4 FF'!G30</f>
        <v>2</v>
      </c>
      <c r="H30">
        <f>'DNC4 FF'!H30</f>
        <v>7</v>
      </c>
      <c r="I30">
        <f>'DNC4 FF'!I30</f>
        <v>3</v>
      </c>
      <c r="J30">
        <f>'DNC4 FF'!J30</f>
        <v>9</v>
      </c>
      <c r="K30">
        <f>'DNC4 FF'!K30</f>
        <v>11</v>
      </c>
      <c r="L30">
        <f>'DNC4 FF'!L30</f>
        <v>5.4</v>
      </c>
      <c r="N30">
        <f>'# Out FF'!A30</f>
        <v>27</v>
      </c>
      <c r="O30">
        <f>'# Out FF'!B30</f>
        <v>794</v>
      </c>
      <c r="P30">
        <f>'# Out FF'!C30</f>
        <v>786</v>
      </c>
      <c r="Q30">
        <f>'# Out FF'!D30</f>
        <v>790</v>
      </c>
      <c r="R30">
        <f>'# Out FF'!E30</f>
        <v>751</v>
      </c>
      <c r="S30">
        <f>'# Out FF'!F30</f>
        <v>703</v>
      </c>
      <c r="T30">
        <f>'# Out FF'!G30</f>
        <v>548</v>
      </c>
      <c r="U30">
        <f>'# Out FF'!H30</f>
        <v>745</v>
      </c>
      <c r="V30">
        <f>'# Out FF'!I30</f>
        <v>772</v>
      </c>
      <c r="W30">
        <f>'# Out FF'!J30</f>
        <v>729</v>
      </c>
      <c r="X30">
        <f>'# Out FF'!K30</f>
        <v>546</v>
      </c>
      <c r="Y30">
        <f>'# Out FF'!L30</f>
        <v>716.4</v>
      </c>
      <c r="AB30">
        <v>0</v>
      </c>
      <c r="AC30">
        <v>995</v>
      </c>
      <c r="AF30" s="2">
        <f t="shared" si="0"/>
        <v>0</v>
      </c>
      <c r="AG30">
        <f t="shared" si="1"/>
        <v>0.995</v>
      </c>
      <c r="AH30">
        <f t="shared" si="2"/>
        <v>0.89100000000000001</v>
      </c>
      <c r="AI30">
        <f t="shared" si="3"/>
        <v>0.10399999999999998</v>
      </c>
    </row>
    <row r="31" spans="1:35" x14ac:dyDescent="0.35">
      <c r="A31">
        <f>'DNC4 FF'!A31</f>
        <v>28</v>
      </c>
      <c r="B31">
        <f>'DNC4 FF'!B31</f>
        <v>2</v>
      </c>
      <c r="C31">
        <f>'DNC4 FF'!C31</f>
        <v>6</v>
      </c>
      <c r="D31">
        <f>'DNC4 FF'!D31</f>
        <v>5</v>
      </c>
      <c r="E31">
        <f>'DNC4 FF'!E31</f>
        <v>7</v>
      </c>
      <c r="F31">
        <f>'DNC4 FF'!F31</f>
        <v>13</v>
      </c>
      <c r="G31">
        <f>'DNC4 FF'!G31</f>
        <v>4</v>
      </c>
      <c r="H31">
        <f>'DNC4 FF'!H31</f>
        <v>12</v>
      </c>
      <c r="I31">
        <f>'DNC4 FF'!I31</f>
        <v>0</v>
      </c>
      <c r="J31">
        <f>'DNC4 FF'!J31</f>
        <v>21</v>
      </c>
      <c r="K31">
        <f>'DNC4 FF'!K31</f>
        <v>7</v>
      </c>
      <c r="L31">
        <f>'DNC4 FF'!L31</f>
        <v>7.7</v>
      </c>
      <c r="N31">
        <f>'# Out FF'!A31</f>
        <v>28</v>
      </c>
      <c r="O31">
        <f>'# Out FF'!B31</f>
        <v>995</v>
      </c>
      <c r="P31">
        <f>'# Out FF'!C31</f>
        <v>801</v>
      </c>
      <c r="Q31">
        <f>'# Out FF'!D31</f>
        <v>758</v>
      </c>
      <c r="R31">
        <f>'# Out FF'!E31</f>
        <v>665</v>
      </c>
      <c r="S31">
        <f>'# Out FF'!F31</f>
        <v>771</v>
      </c>
      <c r="T31">
        <f>'# Out FF'!G31</f>
        <v>792</v>
      </c>
      <c r="U31">
        <f>'# Out FF'!H31</f>
        <v>742</v>
      </c>
      <c r="V31">
        <f>'# Out FF'!I31</f>
        <v>771</v>
      </c>
      <c r="W31">
        <f>'# Out FF'!J31</f>
        <v>698</v>
      </c>
      <c r="X31">
        <f>'# Out FF'!K31</f>
        <v>690</v>
      </c>
      <c r="Y31">
        <f>'# Out FF'!L31</f>
        <v>768.3</v>
      </c>
      <c r="AB31">
        <v>2</v>
      </c>
      <c r="AC31">
        <v>782</v>
      </c>
      <c r="AF31" s="2">
        <f t="shared" si="0"/>
        <v>2E-3</v>
      </c>
      <c r="AG31">
        <f t="shared" si="1"/>
        <v>0.78200000000000003</v>
      </c>
      <c r="AH31">
        <f t="shared" si="2"/>
        <v>0.82206907754716119</v>
      </c>
      <c r="AI31">
        <f t="shared" si="3"/>
        <v>-4.0069077547161158E-2</v>
      </c>
    </row>
    <row r="32" spans="1:35" x14ac:dyDescent="0.35">
      <c r="A32">
        <f>'DNC4 FF'!A32</f>
        <v>29</v>
      </c>
      <c r="B32">
        <f>'DNC4 FF'!B32</f>
        <v>0</v>
      </c>
      <c r="C32">
        <f>'DNC4 FF'!C32</f>
        <v>8</v>
      </c>
      <c r="D32">
        <f>'DNC4 FF'!D32</f>
        <v>4</v>
      </c>
      <c r="E32">
        <f>'DNC4 FF'!E32</f>
        <v>12</v>
      </c>
      <c r="F32">
        <f>'DNC4 FF'!F32</f>
        <v>4</v>
      </c>
      <c r="G32">
        <f>'DNC4 FF'!G32</f>
        <v>1</v>
      </c>
      <c r="H32">
        <f>'DNC4 FF'!H32</f>
        <v>18</v>
      </c>
      <c r="I32">
        <f>'DNC4 FF'!I32</f>
        <v>2</v>
      </c>
      <c r="J32">
        <f>'DNC4 FF'!J32</f>
        <v>9</v>
      </c>
      <c r="K32">
        <f>'DNC4 FF'!K32</f>
        <v>12</v>
      </c>
      <c r="L32">
        <f>'DNC4 FF'!L32</f>
        <v>7</v>
      </c>
      <c r="N32">
        <f>'# Out FF'!A32</f>
        <v>29</v>
      </c>
      <c r="O32">
        <f>'# Out FF'!B32</f>
        <v>782</v>
      </c>
      <c r="P32">
        <f>'# Out FF'!C32</f>
        <v>738</v>
      </c>
      <c r="Q32">
        <f>'# Out FF'!D32</f>
        <v>535</v>
      </c>
      <c r="R32">
        <f>'# Out FF'!E32</f>
        <v>748</v>
      </c>
      <c r="S32">
        <f>'# Out FF'!F32</f>
        <v>477</v>
      </c>
      <c r="T32">
        <f>'# Out FF'!G32</f>
        <v>805</v>
      </c>
      <c r="U32">
        <f>'# Out FF'!H32</f>
        <v>540</v>
      </c>
      <c r="V32">
        <f>'# Out FF'!I32</f>
        <v>996</v>
      </c>
      <c r="W32">
        <f>'# Out FF'!J32</f>
        <v>415</v>
      </c>
      <c r="X32">
        <f>'# Out FF'!K32</f>
        <v>746</v>
      </c>
      <c r="Y32">
        <f>'# Out FF'!L32</f>
        <v>678.2</v>
      </c>
      <c r="AB32">
        <v>0</v>
      </c>
      <c r="AC32">
        <v>998</v>
      </c>
      <c r="AF32" s="2">
        <f t="shared" si="0"/>
        <v>0</v>
      </c>
      <c r="AG32">
        <f t="shared" si="1"/>
        <v>0.998</v>
      </c>
      <c r="AH32">
        <f t="shared" si="2"/>
        <v>0.89100000000000001</v>
      </c>
      <c r="AI32">
        <f t="shared" si="3"/>
        <v>0.10699999999999998</v>
      </c>
    </row>
    <row r="33" spans="1:35" x14ac:dyDescent="0.35">
      <c r="A33">
        <f>'DNC4 FF'!A33</f>
        <v>30</v>
      </c>
      <c r="B33">
        <f>'DNC4 FF'!B33</f>
        <v>1</v>
      </c>
      <c r="C33">
        <f>'DNC4 FF'!C33</f>
        <v>11</v>
      </c>
      <c r="D33">
        <f>'DNC4 FF'!D33</f>
        <v>7</v>
      </c>
      <c r="E33">
        <f>'DNC4 FF'!E33</f>
        <v>12</v>
      </c>
      <c r="F33">
        <f>'DNC4 FF'!F33</f>
        <v>8</v>
      </c>
      <c r="G33">
        <f>'DNC4 FF'!G33</f>
        <v>2</v>
      </c>
      <c r="H33">
        <f>'DNC4 FF'!H33</f>
        <v>16</v>
      </c>
      <c r="I33">
        <f>'DNC4 FF'!I33</f>
        <v>1</v>
      </c>
      <c r="J33">
        <f>'DNC4 FF'!J33</f>
        <v>15</v>
      </c>
      <c r="K33">
        <f>'DNC4 FF'!K33</f>
        <v>5</v>
      </c>
      <c r="L33">
        <f>'DNC4 FF'!L33</f>
        <v>7.8</v>
      </c>
      <c r="N33">
        <f>'# Out FF'!A33</f>
        <v>30</v>
      </c>
      <c r="O33">
        <f>'# Out FF'!B33</f>
        <v>998</v>
      </c>
      <c r="P33">
        <f>'# Out FF'!C33</f>
        <v>691</v>
      </c>
      <c r="Q33">
        <f>'# Out FF'!D33</f>
        <v>781</v>
      </c>
      <c r="R33">
        <f>'# Out FF'!E33</f>
        <v>534</v>
      </c>
      <c r="S33">
        <f>'# Out FF'!F33</f>
        <v>780</v>
      </c>
      <c r="T33">
        <f>'# Out FF'!G33</f>
        <v>797</v>
      </c>
      <c r="U33">
        <f>'# Out FF'!H33</f>
        <v>546</v>
      </c>
      <c r="V33">
        <f>'# Out FF'!I33</f>
        <v>792</v>
      </c>
      <c r="W33">
        <f>'# Out FF'!J33</f>
        <v>698</v>
      </c>
      <c r="X33">
        <f>'# Out FF'!K33</f>
        <v>571</v>
      </c>
      <c r="Y33">
        <f>'# Out FF'!L33</f>
        <v>718.8</v>
      </c>
      <c r="AB33">
        <v>1</v>
      </c>
      <c r="AC33">
        <v>800</v>
      </c>
      <c r="AF33" s="2">
        <f t="shared" si="0"/>
        <v>1E-3</v>
      </c>
      <c r="AG33">
        <f t="shared" si="1"/>
        <v>0.8</v>
      </c>
      <c r="AH33">
        <f t="shared" si="2"/>
        <v>0.85584084273568095</v>
      </c>
      <c r="AI33">
        <f t="shared" si="3"/>
        <v>-5.5840842735680907E-2</v>
      </c>
    </row>
    <row r="34" spans="1:35" x14ac:dyDescent="0.35">
      <c r="A34">
        <f>'DNC4 FF'!A34</f>
        <v>31</v>
      </c>
      <c r="B34">
        <f>'DNC4 FF'!B34</f>
        <v>5</v>
      </c>
      <c r="C34">
        <f>'DNC4 FF'!C34</f>
        <v>13</v>
      </c>
      <c r="D34">
        <f>'DNC4 FF'!D34</f>
        <v>5</v>
      </c>
      <c r="E34">
        <f>'DNC4 FF'!E34</f>
        <v>9</v>
      </c>
      <c r="F34">
        <f>'DNC4 FF'!F34</f>
        <v>3</v>
      </c>
      <c r="G34">
        <f>'DNC4 FF'!G34</f>
        <v>1</v>
      </c>
      <c r="H34">
        <f>'DNC4 FF'!H34</f>
        <v>19</v>
      </c>
      <c r="I34">
        <f>'DNC4 FF'!I34</f>
        <v>0</v>
      </c>
      <c r="J34">
        <f>'DNC4 FF'!J34</f>
        <v>15</v>
      </c>
      <c r="K34">
        <f>'DNC4 FF'!K34</f>
        <v>8</v>
      </c>
      <c r="L34">
        <f>'DNC4 FF'!L34</f>
        <v>7.8</v>
      </c>
      <c r="N34">
        <f>'# Out FF'!A34</f>
        <v>31</v>
      </c>
      <c r="O34">
        <f>'# Out FF'!B34</f>
        <v>800</v>
      </c>
      <c r="P34">
        <f>'# Out FF'!C34</f>
        <v>661</v>
      </c>
      <c r="Q34">
        <f>'# Out FF'!D34</f>
        <v>760</v>
      </c>
      <c r="R34">
        <f>'# Out FF'!E34</f>
        <v>540</v>
      </c>
      <c r="S34">
        <f>'# Out FF'!F34</f>
        <v>679</v>
      </c>
      <c r="T34">
        <f>'# Out FF'!G34</f>
        <v>794</v>
      </c>
      <c r="U34">
        <f>'# Out FF'!H34</f>
        <v>452</v>
      </c>
      <c r="V34">
        <f>'# Out FF'!I34</f>
        <v>808</v>
      </c>
      <c r="W34">
        <f>'# Out FF'!J34</f>
        <v>353</v>
      </c>
      <c r="X34">
        <f>'# Out FF'!K34</f>
        <v>554</v>
      </c>
      <c r="Y34">
        <f>'# Out FF'!L34</f>
        <v>640.1</v>
      </c>
      <c r="AB34">
        <v>5</v>
      </c>
      <c r="AC34">
        <v>559</v>
      </c>
      <c r="AF34" s="2">
        <f t="shared" si="0"/>
        <v>5.0000000000000001E-3</v>
      </c>
      <c r="AG34">
        <f t="shared" si="1"/>
        <v>0.55900000000000005</v>
      </c>
      <c r="AH34">
        <f t="shared" si="2"/>
        <v>0.72854138131245416</v>
      </c>
      <c r="AI34">
        <f t="shared" si="3"/>
        <v>-0.16954138131245411</v>
      </c>
    </row>
    <row r="35" spans="1:35" x14ac:dyDescent="0.35">
      <c r="A35">
        <f>'DNC4 FF'!A35</f>
        <v>32</v>
      </c>
      <c r="B35">
        <f>'DNC4 FF'!B35</f>
        <v>6</v>
      </c>
      <c r="C35">
        <f>'DNC4 FF'!C35</f>
        <v>12</v>
      </c>
      <c r="D35">
        <f>'DNC4 FF'!D35</f>
        <v>3</v>
      </c>
      <c r="E35">
        <f>'DNC4 FF'!E35</f>
        <v>17</v>
      </c>
      <c r="F35">
        <f>'DNC4 FF'!F35</f>
        <v>0</v>
      </c>
      <c r="G35">
        <f>'DNC4 FF'!G35</f>
        <v>1</v>
      </c>
      <c r="H35">
        <f>'DNC4 FF'!H35</f>
        <v>13</v>
      </c>
      <c r="I35">
        <f>'DNC4 FF'!I35</f>
        <v>5</v>
      </c>
      <c r="J35">
        <f>'DNC4 FF'!J35</f>
        <v>5</v>
      </c>
      <c r="K35">
        <f>'DNC4 FF'!K35</f>
        <v>8</v>
      </c>
      <c r="L35">
        <f>'DNC4 FF'!L35</f>
        <v>7</v>
      </c>
      <c r="N35">
        <f>'# Out FF'!A35</f>
        <v>32</v>
      </c>
      <c r="O35">
        <f>'# Out FF'!B35</f>
        <v>559</v>
      </c>
      <c r="P35">
        <f>'# Out FF'!C35</f>
        <v>464</v>
      </c>
      <c r="Q35">
        <f>'# Out FF'!D35</f>
        <v>534</v>
      </c>
      <c r="R35">
        <f>'# Out FF'!E35</f>
        <v>684</v>
      </c>
      <c r="S35">
        <f>'# Out FF'!F35</f>
        <v>763</v>
      </c>
      <c r="T35">
        <f>'# Out FF'!G35</f>
        <v>794</v>
      </c>
      <c r="U35">
        <f>'# Out FF'!H35</f>
        <v>472</v>
      </c>
      <c r="V35">
        <f>'# Out FF'!I35</f>
        <v>995</v>
      </c>
      <c r="W35">
        <f>'# Out FF'!J35</f>
        <v>354</v>
      </c>
      <c r="X35">
        <f>'# Out FF'!K35</f>
        <v>680</v>
      </c>
      <c r="Y35">
        <f>'# Out FF'!L35</f>
        <v>629.9</v>
      </c>
      <c r="AB35">
        <v>6</v>
      </c>
      <c r="AC35">
        <v>723</v>
      </c>
      <c r="AF35" s="2">
        <f t="shared" si="0"/>
        <v>6.0000000000000001E-3</v>
      </c>
      <c r="AG35">
        <f t="shared" si="1"/>
        <v>0.72299999999999998</v>
      </c>
      <c r="AH35">
        <f t="shared" si="2"/>
        <v>0.69979289534261269</v>
      </c>
      <c r="AI35">
        <f t="shared" si="3"/>
        <v>2.320710465738729E-2</v>
      </c>
    </row>
    <row r="36" spans="1:35" x14ac:dyDescent="0.35">
      <c r="A36">
        <f>'DNC4 FF'!A36</f>
        <v>33</v>
      </c>
      <c r="B36">
        <f>'DNC4 FF'!B36</f>
        <v>7</v>
      </c>
      <c r="C36">
        <f>'DNC4 FF'!C36</f>
        <v>6</v>
      </c>
      <c r="D36">
        <f>'DNC4 FF'!D36</f>
        <v>2</v>
      </c>
      <c r="E36">
        <f>'DNC4 FF'!E36</f>
        <v>10</v>
      </c>
      <c r="F36">
        <f>'DNC4 FF'!F36</f>
        <v>4</v>
      </c>
      <c r="G36">
        <f>'DNC4 FF'!G36</f>
        <v>2</v>
      </c>
      <c r="H36">
        <f>'DNC4 FF'!H36</f>
        <v>10</v>
      </c>
      <c r="I36">
        <f>'DNC4 FF'!I36</f>
        <v>5</v>
      </c>
      <c r="J36">
        <f>'DNC4 FF'!J36</f>
        <v>6</v>
      </c>
      <c r="K36">
        <f>'DNC4 FF'!K36</f>
        <v>3</v>
      </c>
      <c r="L36">
        <f>'DNC4 FF'!L36</f>
        <v>5.5</v>
      </c>
      <c r="N36">
        <f>'# Out FF'!A36</f>
        <v>33</v>
      </c>
      <c r="O36">
        <f>'# Out FF'!B36</f>
        <v>723</v>
      </c>
      <c r="P36">
        <f>'# Out FF'!C36</f>
        <v>555</v>
      </c>
      <c r="Q36">
        <f>'# Out FF'!D36</f>
        <v>761</v>
      </c>
      <c r="R36">
        <f>'# Out FF'!E36</f>
        <v>427</v>
      </c>
      <c r="S36">
        <f>'# Out FF'!F36</f>
        <v>995</v>
      </c>
      <c r="T36">
        <f>'# Out FF'!G36</f>
        <v>794</v>
      </c>
      <c r="U36">
        <f>'# Out FF'!H36</f>
        <v>430</v>
      </c>
      <c r="V36">
        <f>'# Out FF'!I36</f>
        <v>543</v>
      </c>
      <c r="W36">
        <f>'# Out FF'!J36</f>
        <v>546</v>
      </c>
      <c r="X36">
        <f>'# Out FF'!K36</f>
        <v>692</v>
      </c>
      <c r="Y36">
        <f>'# Out FF'!L36</f>
        <v>646.6</v>
      </c>
      <c r="AB36">
        <v>7</v>
      </c>
      <c r="AC36">
        <v>746</v>
      </c>
      <c r="AF36" s="2">
        <f t="shared" si="0"/>
        <v>7.0000000000000001E-3</v>
      </c>
      <c r="AG36">
        <f t="shared" si="1"/>
        <v>0.746</v>
      </c>
      <c r="AH36">
        <f t="shared" si="2"/>
        <v>0.67217883422049818</v>
      </c>
      <c r="AI36">
        <f t="shared" si="3"/>
        <v>7.3821165779501818E-2</v>
      </c>
    </row>
    <row r="37" spans="1:35" x14ac:dyDescent="0.35">
      <c r="A37">
        <f>'DNC4 FF'!A37</f>
        <v>34</v>
      </c>
      <c r="B37">
        <f>'DNC4 FF'!B37</f>
        <v>3</v>
      </c>
      <c r="C37">
        <f>'DNC4 FF'!C37</f>
        <v>4</v>
      </c>
      <c r="D37">
        <f>'DNC4 FF'!D37</f>
        <v>2</v>
      </c>
      <c r="E37">
        <f>'DNC4 FF'!E37</f>
        <v>8</v>
      </c>
      <c r="F37">
        <f>'DNC4 FF'!F37</f>
        <v>1</v>
      </c>
      <c r="G37">
        <f>'DNC4 FF'!G37</f>
        <v>1</v>
      </c>
      <c r="H37">
        <f>'DNC4 FF'!H37</f>
        <v>6</v>
      </c>
      <c r="I37">
        <f>'DNC4 FF'!I37</f>
        <v>6</v>
      </c>
      <c r="J37">
        <f>'DNC4 FF'!J37</f>
        <v>2</v>
      </c>
      <c r="K37">
        <f>'DNC4 FF'!K37</f>
        <v>2</v>
      </c>
      <c r="L37">
        <f>'DNC4 FF'!L37</f>
        <v>3.5</v>
      </c>
      <c r="N37">
        <f>'# Out FF'!A37</f>
        <v>34</v>
      </c>
      <c r="O37">
        <f>'# Out FF'!B37</f>
        <v>746</v>
      </c>
      <c r="P37">
        <f>'# Out FF'!C37</f>
        <v>725</v>
      </c>
      <c r="Q37">
        <f>'# Out FF'!D37</f>
        <v>763</v>
      </c>
      <c r="R37">
        <f>'# Out FF'!E37</f>
        <v>831</v>
      </c>
      <c r="S37">
        <f>'# Out FF'!F37</f>
        <v>792</v>
      </c>
      <c r="T37">
        <f>'# Out FF'!G37</f>
        <v>795</v>
      </c>
      <c r="U37">
        <f>'# Out FF'!H37</f>
        <v>817</v>
      </c>
      <c r="V37">
        <f>'# Out FF'!I37</f>
        <v>536</v>
      </c>
      <c r="W37">
        <f>'# Out FF'!J37</f>
        <v>722</v>
      </c>
      <c r="X37">
        <f>'# Out FF'!K37</f>
        <v>760</v>
      </c>
      <c r="Y37">
        <f>'# Out FF'!L37</f>
        <v>748.7</v>
      </c>
      <c r="AB37">
        <v>3</v>
      </c>
      <c r="AC37">
        <v>763</v>
      </c>
      <c r="AF37" s="2">
        <f t="shared" si="0"/>
        <v>3.0000000000000001E-3</v>
      </c>
      <c r="AG37">
        <f t="shared" si="1"/>
        <v>0.76300000000000001</v>
      </c>
      <c r="AH37">
        <f t="shared" si="2"/>
        <v>0.78962995748025411</v>
      </c>
      <c r="AI37">
        <f t="shared" si="3"/>
        <v>-2.6629957480254096E-2</v>
      </c>
    </row>
    <row r="38" spans="1:35" x14ac:dyDescent="0.35">
      <c r="A38">
        <f>'DNC4 FF'!A38</f>
        <v>35</v>
      </c>
      <c r="B38">
        <f>'DNC4 FF'!B38</f>
        <v>2</v>
      </c>
      <c r="C38">
        <f>'DNC4 FF'!C38</f>
        <v>2</v>
      </c>
      <c r="D38">
        <f>'DNC4 FF'!D38</f>
        <v>0</v>
      </c>
      <c r="E38">
        <f>'DNC4 FF'!E38</f>
        <v>7</v>
      </c>
      <c r="F38">
        <f>'DNC4 FF'!F38</f>
        <v>1</v>
      </c>
      <c r="G38">
        <f>'DNC4 FF'!G38</f>
        <v>4</v>
      </c>
      <c r="H38">
        <f>'DNC4 FF'!H38</f>
        <v>7</v>
      </c>
      <c r="I38">
        <f>'DNC4 FF'!I38</f>
        <v>16</v>
      </c>
      <c r="J38">
        <f>'DNC4 FF'!J38</f>
        <v>0</v>
      </c>
      <c r="K38">
        <f>'DNC4 FF'!K38</f>
        <v>7</v>
      </c>
      <c r="L38">
        <f>'DNC4 FF'!L38</f>
        <v>4.5999999999999996</v>
      </c>
      <c r="N38">
        <f>'# Out FF'!A38</f>
        <v>35</v>
      </c>
      <c r="O38">
        <f>'# Out FF'!B38</f>
        <v>763</v>
      </c>
      <c r="P38">
        <f>'# Out FF'!C38</f>
        <v>788</v>
      </c>
      <c r="Q38">
        <f>'# Out FF'!D38</f>
        <v>771</v>
      </c>
      <c r="R38">
        <f>'# Out FF'!E38</f>
        <v>662</v>
      </c>
      <c r="S38">
        <f>'# Out FF'!F38</f>
        <v>791</v>
      </c>
      <c r="T38">
        <f>'# Out FF'!G38</f>
        <v>798</v>
      </c>
      <c r="U38">
        <f>'# Out FF'!H38</f>
        <v>699</v>
      </c>
      <c r="V38">
        <f>'# Out FF'!I38</f>
        <v>725</v>
      </c>
      <c r="W38">
        <f>'# Out FF'!J38</f>
        <v>766</v>
      </c>
      <c r="X38">
        <f>'# Out FF'!K38</f>
        <v>776</v>
      </c>
      <c r="Y38">
        <f>'# Out FF'!L38</f>
        <v>753.9</v>
      </c>
      <c r="AB38">
        <v>2</v>
      </c>
      <c r="AC38">
        <v>787</v>
      </c>
      <c r="AF38" s="2">
        <f t="shared" si="0"/>
        <v>2E-3</v>
      </c>
      <c r="AG38">
        <f t="shared" si="1"/>
        <v>0.78700000000000003</v>
      </c>
      <c r="AH38">
        <f t="shared" si="2"/>
        <v>0.82206907754716119</v>
      </c>
      <c r="AI38">
        <f t="shared" si="3"/>
        <v>-3.5069077547161154E-2</v>
      </c>
    </row>
    <row r="39" spans="1:35" x14ac:dyDescent="0.35">
      <c r="A39">
        <f>'DNC4 FF'!A39</f>
        <v>36</v>
      </c>
      <c r="B39">
        <f>'DNC4 FF'!B39</f>
        <v>4</v>
      </c>
      <c r="C39">
        <f>'DNC4 FF'!C39</f>
        <v>4</v>
      </c>
      <c r="D39">
        <f>'DNC4 FF'!D39</f>
        <v>2</v>
      </c>
      <c r="E39">
        <f>'DNC4 FF'!E39</f>
        <v>5</v>
      </c>
      <c r="F39">
        <f>'DNC4 FF'!F39</f>
        <v>10</v>
      </c>
      <c r="G39">
        <f>'DNC4 FF'!G39</f>
        <v>2</v>
      </c>
      <c r="H39">
        <f>'DNC4 FF'!H39</f>
        <v>5</v>
      </c>
      <c r="I39">
        <f>'DNC4 FF'!I39</f>
        <v>4</v>
      </c>
      <c r="J39">
        <f>'DNC4 FF'!J39</f>
        <v>0</v>
      </c>
      <c r="K39">
        <f>'DNC4 FF'!K39</f>
        <v>3</v>
      </c>
      <c r="L39">
        <f>'DNC4 FF'!L39</f>
        <v>3.9</v>
      </c>
      <c r="N39">
        <f>'# Out FF'!A39</f>
        <v>36</v>
      </c>
      <c r="O39">
        <f>'# Out FF'!B39</f>
        <v>787</v>
      </c>
      <c r="P39">
        <f>'# Out FF'!C39</f>
        <v>786</v>
      </c>
      <c r="Q39">
        <f>'# Out FF'!D39</f>
        <v>993</v>
      </c>
      <c r="R39">
        <f>'# Out FF'!E39</f>
        <v>749</v>
      </c>
      <c r="S39">
        <f>'# Out FF'!F39</f>
        <v>778</v>
      </c>
      <c r="T39">
        <f>'# Out FF'!G39</f>
        <v>814</v>
      </c>
      <c r="U39">
        <f>'# Out FF'!H39</f>
        <v>751</v>
      </c>
      <c r="V39">
        <f>'# Out FF'!I39</f>
        <v>475</v>
      </c>
      <c r="W39">
        <f>'# Out FF'!J39</f>
        <v>994</v>
      </c>
      <c r="X39">
        <f>'# Out FF'!K39</f>
        <v>756</v>
      </c>
      <c r="Y39">
        <f>'# Out FF'!L39</f>
        <v>788.3</v>
      </c>
      <c r="AB39">
        <v>4</v>
      </c>
      <c r="AC39">
        <v>788</v>
      </c>
      <c r="AF39" s="2">
        <f t="shared" si="0"/>
        <v>4.0000000000000001E-3</v>
      </c>
      <c r="AG39">
        <f t="shared" si="1"/>
        <v>0.78800000000000003</v>
      </c>
      <c r="AH39">
        <f t="shared" si="2"/>
        <v>0.75847089591385031</v>
      </c>
      <c r="AI39">
        <f t="shared" si="3"/>
        <v>2.9529104086149727E-2</v>
      </c>
    </row>
    <row r="40" spans="1:35" x14ac:dyDescent="0.35">
      <c r="A40">
        <f>'DNC4 FF'!A40</f>
        <v>37</v>
      </c>
      <c r="B40">
        <f>'DNC4 FF'!B40</f>
        <v>2</v>
      </c>
      <c r="C40">
        <f>'DNC4 FF'!C40</f>
        <v>2</v>
      </c>
      <c r="D40">
        <f>'DNC4 FF'!D40</f>
        <v>0</v>
      </c>
      <c r="E40">
        <f>'DNC4 FF'!E40</f>
        <v>9</v>
      </c>
      <c r="F40">
        <f>'DNC4 FF'!F40</f>
        <v>4</v>
      </c>
      <c r="G40">
        <f>'DNC4 FF'!G40</f>
        <v>2</v>
      </c>
      <c r="H40">
        <f>'DNC4 FF'!H40</f>
        <v>7</v>
      </c>
      <c r="I40">
        <f>'DNC4 FF'!I40</f>
        <v>8</v>
      </c>
      <c r="J40">
        <f>'DNC4 FF'!J40</f>
        <v>0</v>
      </c>
      <c r="K40">
        <f>'DNC4 FF'!K40</f>
        <v>7</v>
      </c>
      <c r="L40">
        <f>'DNC4 FF'!L40</f>
        <v>4.0999999999999996</v>
      </c>
      <c r="N40">
        <f>'# Out FF'!A40</f>
        <v>37</v>
      </c>
      <c r="O40">
        <f>'# Out FF'!B40</f>
        <v>788</v>
      </c>
      <c r="P40">
        <f>'# Out FF'!C40</f>
        <v>805</v>
      </c>
      <c r="Q40">
        <f>'# Out FF'!D40</f>
        <v>775</v>
      </c>
      <c r="R40">
        <f>'# Out FF'!E40</f>
        <v>518</v>
      </c>
      <c r="S40">
        <f>'# Out FF'!F40</f>
        <v>864</v>
      </c>
      <c r="T40">
        <f>'# Out FF'!G40</f>
        <v>780</v>
      </c>
      <c r="U40">
        <f>'# Out FF'!H40</f>
        <v>547</v>
      </c>
      <c r="V40">
        <f>'# Out FF'!I40</f>
        <v>771</v>
      </c>
      <c r="W40">
        <f>'# Out FF'!J40</f>
        <v>996</v>
      </c>
      <c r="X40">
        <f>'# Out FF'!K40</f>
        <v>760</v>
      </c>
      <c r="Y40">
        <f>'# Out FF'!L40</f>
        <v>760.4</v>
      </c>
      <c r="AB40">
        <v>2</v>
      </c>
      <c r="AC40">
        <v>780</v>
      </c>
      <c r="AF40" s="2">
        <f t="shared" si="0"/>
        <v>2E-3</v>
      </c>
      <c r="AG40">
        <f t="shared" si="1"/>
        <v>0.78</v>
      </c>
      <c r="AH40">
        <f t="shared" si="2"/>
        <v>0.82206907754716119</v>
      </c>
      <c r="AI40">
        <f t="shared" si="3"/>
        <v>-4.206907754716116E-2</v>
      </c>
    </row>
    <row r="41" spans="1:35" x14ac:dyDescent="0.35">
      <c r="A41">
        <f>'DNC4 FF'!A41</f>
        <v>38</v>
      </c>
      <c r="B41">
        <f>'DNC4 FF'!B41</f>
        <v>2</v>
      </c>
      <c r="C41">
        <f>'DNC4 FF'!C41</f>
        <v>6</v>
      </c>
      <c r="D41">
        <f>'DNC4 FF'!D41</f>
        <v>2</v>
      </c>
      <c r="E41">
        <f>'DNC4 FF'!E41</f>
        <v>5</v>
      </c>
      <c r="F41">
        <f>'DNC4 FF'!F41</f>
        <v>8</v>
      </c>
      <c r="G41">
        <f>'DNC4 FF'!G41</f>
        <v>1</v>
      </c>
      <c r="H41">
        <f>'DNC4 FF'!H41</f>
        <v>7</v>
      </c>
      <c r="I41">
        <f>'DNC4 FF'!I41</f>
        <v>11</v>
      </c>
      <c r="J41">
        <f>'DNC4 FF'!J41</f>
        <v>0</v>
      </c>
      <c r="K41">
        <f>'DNC4 FF'!K41</f>
        <v>8</v>
      </c>
      <c r="L41">
        <f>'DNC4 FF'!L41</f>
        <v>5</v>
      </c>
      <c r="N41">
        <f>'# Out FF'!A41</f>
        <v>38</v>
      </c>
      <c r="O41">
        <f>'# Out FF'!B41</f>
        <v>780</v>
      </c>
      <c r="P41">
        <f>'# Out FF'!C41</f>
        <v>777</v>
      </c>
      <c r="Q41">
        <f>'# Out FF'!D41</f>
        <v>992</v>
      </c>
      <c r="R41">
        <f>'# Out FF'!E41</f>
        <v>713</v>
      </c>
      <c r="S41">
        <f>'# Out FF'!F41</f>
        <v>783</v>
      </c>
      <c r="T41">
        <f>'# Out FF'!G41</f>
        <v>793</v>
      </c>
      <c r="U41">
        <f>'# Out FF'!H41</f>
        <v>755</v>
      </c>
      <c r="V41">
        <f>'# Out FF'!I41</f>
        <v>666</v>
      </c>
      <c r="W41">
        <f>'# Out FF'!J41</f>
        <v>997</v>
      </c>
      <c r="X41">
        <f>'# Out FF'!K41</f>
        <v>766</v>
      </c>
      <c r="Y41">
        <f>'# Out FF'!L41</f>
        <v>802.2</v>
      </c>
      <c r="AB41">
        <v>2</v>
      </c>
      <c r="AC41">
        <v>777</v>
      </c>
      <c r="AF41" s="2">
        <f t="shared" si="0"/>
        <v>2E-3</v>
      </c>
      <c r="AG41">
        <f t="shared" si="1"/>
        <v>0.77700000000000002</v>
      </c>
      <c r="AH41">
        <f t="shared" si="2"/>
        <v>0.82206907754716119</v>
      </c>
      <c r="AI41">
        <f t="shared" si="3"/>
        <v>-4.5069077547161163E-2</v>
      </c>
    </row>
    <row r="42" spans="1:35" x14ac:dyDescent="0.35">
      <c r="A42">
        <f>'DNC4 FF'!A42</f>
        <v>39</v>
      </c>
      <c r="B42">
        <f>'DNC4 FF'!B42</f>
        <v>4</v>
      </c>
      <c r="C42">
        <f>'DNC4 FF'!C42</f>
        <v>4</v>
      </c>
      <c r="D42">
        <f>'DNC4 FF'!D42</f>
        <v>3</v>
      </c>
      <c r="E42">
        <f>'DNC4 FF'!E42</f>
        <v>4</v>
      </c>
      <c r="F42">
        <f>'DNC4 FF'!F42</f>
        <v>7</v>
      </c>
      <c r="G42">
        <f>'DNC4 FF'!G42</f>
        <v>2</v>
      </c>
      <c r="H42">
        <f>'DNC4 FF'!H42</f>
        <v>9</v>
      </c>
      <c r="I42">
        <f>'DNC4 FF'!I42</f>
        <v>4</v>
      </c>
      <c r="J42">
        <f>'DNC4 FF'!J42</f>
        <v>2</v>
      </c>
      <c r="K42">
        <f>'DNC4 FF'!K42</f>
        <v>5</v>
      </c>
      <c r="L42">
        <f>'DNC4 FF'!L42</f>
        <v>4.4000000000000004</v>
      </c>
      <c r="N42">
        <f>'# Out FF'!A42</f>
        <v>39</v>
      </c>
      <c r="O42">
        <f>'# Out FF'!B42</f>
        <v>777</v>
      </c>
      <c r="P42">
        <f>'# Out FF'!C42</f>
        <v>749</v>
      </c>
      <c r="Q42">
        <f>'# Out FF'!D42</f>
        <v>767</v>
      </c>
      <c r="R42">
        <f>'# Out FF'!E42</f>
        <v>521</v>
      </c>
      <c r="S42">
        <f>'# Out FF'!F42</f>
        <v>681</v>
      </c>
      <c r="T42">
        <f>'# Out FF'!G42</f>
        <v>805</v>
      </c>
      <c r="U42">
        <f>'# Out FF'!H42</f>
        <v>755</v>
      </c>
      <c r="V42">
        <f>'# Out FF'!I42</f>
        <v>673</v>
      </c>
      <c r="W42">
        <f>'# Out FF'!J42</f>
        <v>995</v>
      </c>
      <c r="X42">
        <f>'# Out FF'!K42</f>
        <v>683</v>
      </c>
      <c r="Y42">
        <f>'# Out FF'!L42</f>
        <v>740.6</v>
      </c>
      <c r="AB42">
        <v>4</v>
      </c>
      <c r="AC42">
        <v>787</v>
      </c>
      <c r="AF42" s="2">
        <f t="shared" si="0"/>
        <v>4.0000000000000001E-3</v>
      </c>
      <c r="AG42">
        <f t="shared" si="1"/>
        <v>0.78700000000000003</v>
      </c>
      <c r="AH42">
        <f t="shared" si="2"/>
        <v>0.75847089591385031</v>
      </c>
      <c r="AI42">
        <f t="shared" si="3"/>
        <v>2.8529104086149726E-2</v>
      </c>
    </row>
    <row r="43" spans="1:35" x14ac:dyDescent="0.35">
      <c r="A43">
        <f>'DNC4 FF'!A43</f>
        <v>40</v>
      </c>
      <c r="B43">
        <f>'DNC4 FF'!B43</f>
        <v>1</v>
      </c>
      <c r="C43">
        <f>'DNC4 FF'!C43</f>
        <v>2</v>
      </c>
      <c r="D43">
        <f>'DNC4 FF'!D43</f>
        <v>1</v>
      </c>
      <c r="E43">
        <f>'DNC4 FF'!E43</f>
        <v>0</v>
      </c>
      <c r="F43">
        <f>'DNC4 FF'!F43</f>
        <v>9</v>
      </c>
      <c r="G43">
        <f>'DNC4 FF'!G43</f>
        <v>2</v>
      </c>
      <c r="H43">
        <f>'DNC4 FF'!H43</f>
        <v>3</v>
      </c>
      <c r="I43">
        <f>'DNC4 FF'!I43</f>
        <v>5</v>
      </c>
      <c r="J43">
        <f>'DNC4 FF'!J43</f>
        <v>1</v>
      </c>
      <c r="K43">
        <f>'DNC4 FF'!K43</f>
        <v>6</v>
      </c>
      <c r="L43">
        <f>'DNC4 FF'!L43</f>
        <v>3</v>
      </c>
      <c r="N43">
        <f>'# Out FF'!A43</f>
        <v>40</v>
      </c>
      <c r="O43">
        <f>'# Out FF'!B43</f>
        <v>787</v>
      </c>
      <c r="P43">
        <f>'# Out FF'!C43</f>
        <v>804</v>
      </c>
      <c r="Q43">
        <f>'# Out FF'!D43</f>
        <v>771</v>
      </c>
      <c r="R43">
        <f>'# Out FF'!E43</f>
        <v>786</v>
      </c>
      <c r="S43">
        <f>'# Out FF'!F43</f>
        <v>761</v>
      </c>
      <c r="T43">
        <f>'# Out FF'!G43</f>
        <v>791</v>
      </c>
      <c r="U43">
        <f>'# Out FF'!H43</f>
        <v>694</v>
      </c>
      <c r="V43">
        <f>'# Out FF'!I43</f>
        <v>776</v>
      </c>
      <c r="W43">
        <f>'# Out FF'!J43</f>
        <v>788</v>
      </c>
      <c r="X43">
        <f>'# Out FF'!K43</f>
        <v>548</v>
      </c>
      <c r="Y43">
        <f>'# Out FF'!L43</f>
        <v>750.6</v>
      </c>
      <c r="AB43">
        <v>1</v>
      </c>
      <c r="AC43">
        <v>804</v>
      </c>
      <c r="AF43" s="2">
        <f t="shared" si="0"/>
        <v>1E-3</v>
      </c>
      <c r="AG43">
        <f t="shared" si="1"/>
        <v>0.80400000000000005</v>
      </c>
      <c r="AH43">
        <f t="shared" si="2"/>
        <v>0.85584084273568095</v>
      </c>
      <c r="AI43">
        <f t="shared" si="3"/>
        <v>-5.1840842735680903E-2</v>
      </c>
    </row>
    <row r="44" spans="1:35" x14ac:dyDescent="0.35">
      <c r="A44">
        <f>'DNC4 FF'!A44</f>
        <v>41</v>
      </c>
      <c r="B44">
        <f>'DNC4 FF'!B44</f>
        <v>3</v>
      </c>
      <c r="C44">
        <f>'DNC4 FF'!C44</f>
        <v>6</v>
      </c>
      <c r="D44">
        <f>'DNC4 FF'!D44</f>
        <v>4</v>
      </c>
      <c r="E44">
        <f>'DNC4 FF'!E44</f>
        <v>1</v>
      </c>
      <c r="F44">
        <f>'DNC4 FF'!F44</f>
        <v>13</v>
      </c>
      <c r="G44">
        <f>'DNC4 FF'!G44</f>
        <v>3</v>
      </c>
      <c r="H44">
        <f>'DNC4 FF'!H44</f>
        <v>8</v>
      </c>
      <c r="I44">
        <f>'DNC4 FF'!I44</f>
        <v>7</v>
      </c>
      <c r="J44">
        <f>'DNC4 FF'!J44</f>
        <v>0</v>
      </c>
      <c r="K44">
        <f>'DNC4 FF'!K44</f>
        <v>6</v>
      </c>
      <c r="L44">
        <f>'DNC4 FF'!L44</f>
        <v>5.0999999999999996</v>
      </c>
      <c r="N44">
        <f>'# Out FF'!A44</f>
        <v>41</v>
      </c>
      <c r="O44">
        <f>'# Out FF'!B44</f>
        <v>804</v>
      </c>
      <c r="P44">
        <f>'# Out FF'!C44</f>
        <v>786</v>
      </c>
      <c r="Q44">
        <f>'# Out FF'!D44</f>
        <v>785</v>
      </c>
      <c r="R44">
        <f>'# Out FF'!E44</f>
        <v>993</v>
      </c>
      <c r="S44">
        <f>'# Out FF'!F44</f>
        <v>697</v>
      </c>
      <c r="T44">
        <f>'# Out FF'!G44</f>
        <v>793</v>
      </c>
      <c r="U44">
        <f>'# Out FF'!H44</f>
        <v>728</v>
      </c>
      <c r="V44">
        <f>'# Out FF'!I44</f>
        <v>521</v>
      </c>
      <c r="W44">
        <f>'# Out FF'!J44</f>
        <v>780</v>
      </c>
      <c r="X44">
        <f>'# Out FF'!K44</f>
        <v>720</v>
      </c>
      <c r="Y44">
        <f>'# Out FF'!L44</f>
        <v>760.7</v>
      </c>
      <c r="AB44">
        <v>3</v>
      </c>
      <c r="AC44">
        <v>763</v>
      </c>
      <c r="AF44" s="2">
        <f t="shared" si="0"/>
        <v>3.0000000000000001E-3</v>
      </c>
      <c r="AG44">
        <f t="shared" si="1"/>
        <v>0.76300000000000001</v>
      </c>
      <c r="AH44">
        <f t="shared" si="2"/>
        <v>0.78962995748025411</v>
      </c>
      <c r="AI44">
        <f t="shared" si="3"/>
        <v>-2.6629957480254096E-2</v>
      </c>
    </row>
    <row r="45" spans="1:35" x14ac:dyDescent="0.35">
      <c r="A45">
        <f>'DNC4 FF'!A45</f>
        <v>42</v>
      </c>
      <c r="B45">
        <f>'DNC4 FF'!B45</f>
        <v>3</v>
      </c>
      <c r="C45">
        <f>'DNC4 FF'!C45</f>
        <v>8</v>
      </c>
      <c r="D45">
        <f>'DNC4 FF'!D45</f>
        <v>2</v>
      </c>
      <c r="E45">
        <f>'DNC4 FF'!E45</f>
        <v>0</v>
      </c>
      <c r="F45">
        <f>'DNC4 FF'!F45</f>
        <v>4</v>
      </c>
      <c r="G45">
        <f>'DNC4 FF'!G45</f>
        <v>4</v>
      </c>
      <c r="H45">
        <f>'DNC4 FF'!H45</f>
        <v>3</v>
      </c>
      <c r="I45">
        <f>'DNC4 FF'!I45</f>
        <v>4</v>
      </c>
      <c r="J45">
        <f>'DNC4 FF'!J45</f>
        <v>0</v>
      </c>
      <c r="K45">
        <f>'DNC4 FF'!K45</f>
        <v>6</v>
      </c>
      <c r="L45">
        <f>'DNC4 FF'!L45</f>
        <v>3.4</v>
      </c>
      <c r="N45">
        <f>'# Out FF'!A45</f>
        <v>42</v>
      </c>
      <c r="O45">
        <f>'# Out FF'!B45</f>
        <v>763</v>
      </c>
      <c r="P45">
        <f>'# Out FF'!C45</f>
        <v>738</v>
      </c>
      <c r="Q45">
        <f>'# Out FF'!D45</f>
        <v>783</v>
      </c>
      <c r="R45">
        <f>'# Out FF'!E45</f>
        <v>795</v>
      </c>
      <c r="S45">
        <f>'# Out FF'!F45</f>
        <v>475</v>
      </c>
      <c r="T45">
        <f>'# Out FF'!G45</f>
        <v>783</v>
      </c>
      <c r="U45">
        <f>'# Out FF'!H45</f>
        <v>692</v>
      </c>
      <c r="V45">
        <f>'# Out FF'!I45</f>
        <v>778</v>
      </c>
      <c r="W45">
        <f>'# Out FF'!J45</f>
        <v>995</v>
      </c>
      <c r="X45">
        <f>'# Out FF'!K45</f>
        <v>727</v>
      </c>
      <c r="Y45">
        <f>'# Out FF'!L45</f>
        <v>752.9</v>
      </c>
      <c r="AB45">
        <v>3</v>
      </c>
      <c r="AC45">
        <v>767</v>
      </c>
      <c r="AF45" s="2">
        <f t="shared" si="0"/>
        <v>3.0000000000000001E-3</v>
      </c>
      <c r="AG45">
        <f t="shared" si="1"/>
        <v>0.76700000000000002</v>
      </c>
      <c r="AH45">
        <f t="shared" si="2"/>
        <v>0.78962995748025411</v>
      </c>
      <c r="AI45">
        <f t="shared" si="3"/>
        <v>-2.2629957480254093E-2</v>
      </c>
    </row>
    <row r="46" spans="1:35" x14ac:dyDescent="0.35">
      <c r="A46">
        <f>'DNC4 FF'!A46</f>
        <v>43</v>
      </c>
      <c r="B46">
        <f>'DNC4 FF'!B46</f>
        <v>4</v>
      </c>
      <c r="C46">
        <f>'DNC4 FF'!C46</f>
        <v>8</v>
      </c>
      <c r="D46">
        <f>'DNC4 FF'!D46</f>
        <v>4</v>
      </c>
      <c r="E46">
        <f>'DNC4 FF'!E46</f>
        <v>2</v>
      </c>
      <c r="F46">
        <f>'DNC4 FF'!F46</f>
        <v>12</v>
      </c>
      <c r="G46">
        <f>'DNC4 FF'!G46</f>
        <v>2</v>
      </c>
      <c r="H46">
        <f>'DNC4 FF'!H46</f>
        <v>5</v>
      </c>
      <c r="I46">
        <f>'DNC4 FF'!I46</f>
        <v>10</v>
      </c>
      <c r="J46">
        <f>'DNC4 FF'!J46</f>
        <v>0</v>
      </c>
      <c r="K46">
        <f>'DNC4 FF'!K46</f>
        <v>1</v>
      </c>
      <c r="L46">
        <f>'DNC4 FF'!L46</f>
        <v>4.8</v>
      </c>
      <c r="N46">
        <f>'# Out FF'!A46</f>
        <v>43</v>
      </c>
      <c r="O46">
        <f>'# Out FF'!B46</f>
        <v>767</v>
      </c>
      <c r="P46">
        <f>'# Out FF'!C46</f>
        <v>706</v>
      </c>
      <c r="Q46">
        <f>'# Out FF'!D46</f>
        <v>769</v>
      </c>
      <c r="R46">
        <f>'# Out FF'!E46</f>
        <v>996</v>
      </c>
      <c r="S46">
        <f>'# Out FF'!F46</f>
        <v>767</v>
      </c>
      <c r="T46">
        <f>'# Out FF'!G46</f>
        <v>796</v>
      </c>
      <c r="U46">
        <f>'# Out FF'!H46</f>
        <v>739</v>
      </c>
      <c r="V46">
        <f>'# Out FF'!I46</f>
        <v>771</v>
      </c>
      <c r="W46">
        <f>'# Out FF'!J46</f>
        <v>998</v>
      </c>
      <c r="X46">
        <f>'# Out FF'!K46</f>
        <v>727</v>
      </c>
      <c r="Y46">
        <f>'# Out FF'!L46</f>
        <v>803.6</v>
      </c>
      <c r="AB46">
        <v>4</v>
      </c>
      <c r="AC46">
        <v>778</v>
      </c>
      <c r="AF46" s="2">
        <f t="shared" si="0"/>
        <v>4.0000000000000001E-3</v>
      </c>
      <c r="AG46">
        <f t="shared" si="1"/>
        <v>0.77800000000000002</v>
      </c>
      <c r="AH46">
        <f t="shared" si="2"/>
        <v>0.75847089591385031</v>
      </c>
      <c r="AI46">
        <f t="shared" si="3"/>
        <v>1.9529104086149718E-2</v>
      </c>
    </row>
    <row r="47" spans="1:35" x14ac:dyDescent="0.35">
      <c r="A47">
        <f>'DNC4 FF'!A47</f>
        <v>44</v>
      </c>
      <c r="B47">
        <f>'DNC4 FF'!B47</f>
        <v>2</v>
      </c>
      <c r="C47">
        <f>'DNC4 FF'!C47</f>
        <v>9</v>
      </c>
      <c r="D47">
        <f>'DNC4 FF'!D47</f>
        <v>2</v>
      </c>
      <c r="E47">
        <f>'DNC4 FF'!E47</f>
        <v>4</v>
      </c>
      <c r="F47">
        <f>'DNC4 FF'!F47</f>
        <v>7</v>
      </c>
      <c r="G47">
        <f>'DNC4 FF'!G47</f>
        <v>3</v>
      </c>
      <c r="H47">
        <f>'DNC4 FF'!H47</f>
        <v>5</v>
      </c>
      <c r="I47">
        <f>'DNC4 FF'!I47</f>
        <v>3</v>
      </c>
      <c r="J47">
        <f>'DNC4 FF'!J47</f>
        <v>0</v>
      </c>
      <c r="K47">
        <f>'DNC4 FF'!K47</f>
        <v>4</v>
      </c>
      <c r="L47">
        <f>'DNC4 FF'!L47</f>
        <v>3.9</v>
      </c>
      <c r="N47">
        <f>'# Out FF'!A47</f>
        <v>44</v>
      </c>
      <c r="O47">
        <f>'# Out FF'!B47</f>
        <v>778</v>
      </c>
      <c r="P47">
        <f>'# Out FF'!C47</f>
        <v>693</v>
      </c>
      <c r="Q47">
        <f>'# Out FF'!D47</f>
        <v>776</v>
      </c>
      <c r="R47">
        <f>'# Out FF'!E47</f>
        <v>785</v>
      </c>
      <c r="S47">
        <f>'# Out FF'!F47</f>
        <v>578</v>
      </c>
      <c r="T47">
        <f>'# Out FF'!G47</f>
        <v>793</v>
      </c>
      <c r="U47">
        <f>'# Out FF'!H47</f>
        <v>544</v>
      </c>
      <c r="V47">
        <f>'# Out FF'!I47</f>
        <v>867</v>
      </c>
      <c r="W47">
        <f>'# Out FF'!J47</f>
        <v>995</v>
      </c>
      <c r="X47">
        <f>'# Out FF'!K47</f>
        <v>786</v>
      </c>
      <c r="Y47">
        <f>'# Out FF'!L47</f>
        <v>759.5</v>
      </c>
      <c r="AB47">
        <v>2</v>
      </c>
      <c r="AC47">
        <v>780</v>
      </c>
      <c r="AF47" s="2">
        <f t="shared" si="0"/>
        <v>2E-3</v>
      </c>
      <c r="AG47">
        <f t="shared" si="1"/>
        <v>0.78</v>
      </c>
      <c r="AH47">
        <f t="shared" si="2"/>
        <v>0.82206907754716119</v>
      </c>
      <c r="AI47">
        <f t="shared" si="3"/>
        <v>-4.206907754716116E-2</v>
      </c>
    </row>
    <row r="48" spans="1:35" x14ac:dyDescent="0.35">
      <c r="A48">
        <f>'DNC4 FF'!A48</f>
        <v>45</v>
      </c>
      <c r="B48">
        <f>'DNC4 FF'!B48</f>
        <v>1</v>
      </c>
      <c r="C48">
        <f>'DNC4 FF'!C48</f>
        <v>11</v>
      </c>
      <c r="D48">
        <f>'DNC4 FF'!D48</f>
        <v>2</v>
      </c>
      <c r="E48">
        <f>'DNC4 FF'!E48</f>
        <v>3</v>
      </c>
      <c r="F48">
        <f>'DNC4 FF'!F48</f>
        <v>4</v>
      </c>
      <c r="G48">
        <f>'DNC4 FF'!G48</f>
        <v>2</v>
      </c>
      <c r="H48">
        <f>'DNC4 FF'!H48</f>
        <v>3</v>
      </c>
      <c r="I48">
        <f>'DNC4 FF'!I48</f>
        <v>6</v>
      </c>
      <c r="J48">
        <f>'DNC4 FF'!J48</f>
        <v>4</v>
      </c>
      <c r="K48">
        <f>'DNC4 FF'!K48</f>
        <v>1</v>
      </c>
      <c r="L48">
        <f>'DNC4 FF'!L48</f>
        <v>3.7</v>
      </c>
      <c r="N48">
        <f>'# Out FF'!A48</f>
        <v>45</v>
      </c>
      <c r="O48">
        <f>'# Out FF'!B48</f>
        <v>780</v>
      </c>
      <c r="P48">
        <f>'# Out FF'!C48</f>
        <v>705</v>
      </c>
      <c r="Q48">
        <f>'# Out FF'!D48</f>
        <v>777</v>
      </c>
      <c r="R48">
        <f>'# Out FF'!E48</f>
        <v>793</v>
      </c>
      <c r="S48">
        <f>'# Out FF'!F48</f>
        <v>770</v>
      </c>
      <c r="T48">
        <f>'# Out FF'!G48</f>
        <v>782</v>
      </c>
      <c r="U48">
        <f>'# Out FF'!H48</f>
        <v>536</v>
      </c>
      <c r="V48">
        <f>'# Out FF'!I48</f>
        <v>757</v>
      </c>
      <c r="W48">
        <f>'# Out FF'!J48</f>
        <v>994</v>
      </c>
      <c r="X48">
        <f>'# Out FF'!K48</f>
        <v>811</v>
      </c>
      <c r="Y48">
        <f>'# Out FF'!L48</f>
        <v>770.5</v>
      </c>
      <c r="AB48">
        <v>1</v>
      </c>
      <c r="AC48">
        <v>801</v>
      </c>
      <c r="AF48" s="2">
        <f t="shared" si="0"/>
        <v>1E-3</v>
      </c>
      <c r="AG48">
        <f t="shared" si="1"/>
        <v>0.80100000000000005</v>
      </c>
      <c r="AH48">
        <f t="shared" si="2"/>
        <v>0.85584084273568095</v>
      </c>
      <c r="AI48">
        <f t="shared" si="3"/>
        <v>-5.4840842735680906E-2</v>
      </c>
    </row>
    <row r="49" spans="1:35" x14ac:dyDescent="0.35">
      <c r="A49">
        <f>'DNC4 FF'!A49</f>
        <v>46</v>
      </c>
      <c r="B49">
        <f>'DNC4 FF'!B49</f>
        <v>0</v>
      </c>
      <c r="C49">
        <f>'DNC4 FF'!C49</f>
        <v>8</v>
      </c>
      <c r="D49">
        <f>'DNC4 FF'!D49</f>
        <v>0</v>
      </c>
      <c r="E49">
        <f>'DNC4 FF'!E49</f>
        <v>5</v>
      </c>
      <c r="F49">
        <f>'DNC4 FF'!F49</f>
        <v>4</v>
      </c>
      <c r="G49">
        <f>'DNC4 FF'!G49</f>
        <v>4</v>
      </c>
      <c r="H49">
        <f>'DNC4 FF'!H49</f>
        <v>3</v>
      </c>
      <c r="I49">
        <f>'DNC4 FF'!I49</f>
        <v>8</v>
      </c>
      <c r="J49">
        <f>'DNC4 FF'!J49</f>
        <v>7</v>
      </c>
      <c r="K49">
        <f>'DNC4 FF'!K49</f>
        <v>2</v>
      </c>
      <c r="L49">
        <f>'DNC4 FF'!L49</f>
        <v>4.0999999999999996</v>
      </c>
      <c r="N49">
        <f>'# Out FF'!A49</f>
        <v>46</v>
      </c>
      <c r="O49">
        <f>'# Out FF'!B49</f>
        <v>801</v>
      </c>
      <c r="P49">
        <f>'# Out FF'!C49</f>
        <v>671</v>
      </c>
      <c r="Q49">
        <f>'# Out FF'!D49</f>
        <v>776</v>
      </c>
      <c r="R49">
        <f>'# Out FF'!E49</f>
        <v>763</v>
      </c>
      <c r="S49">
        <f>'# Out FF'!F49</f>
        <v>774</v>
      </c>
      <c r="T49">
        <f>'# Out FF'!G49</f>
        <v>790</v>
      </c>
      <c r="U49">
        <f>'# Out FF'!H49</f>
        <v>742</v>
      </c>
      <c r="V49">
        <f>'# Out FF'!I49</f>
        <v>713</v>
      </c>
      <c r="W49">
        <f>'# Out FF'!J49</f>
        <v>808</v>
      </c>
      <c r="X49">
        <f>'# Out FF'!K49</f>
        <v>793</v>
      </c>
      <c r="Y49">
        <f>'# Out FF'!L49</f>
        <v>763.1</v>
      </c>
      <c r="AB49">
        <v>0</v>
      </c>
      <c r="AC49">
        <v>998</v>
      </c>
      <c r="AF49" s="2">
        <f t="shared" si="0"/>
        <v>0</v>
      </c>
      <c r="AG49">
        <f t="shared" si="1"/>
        <v>0.998</v>
      </c>
      <c r="AH49">
        <f t="shared" si="2"/>
        <v>0.89100000000000001</v>
      </c>
      <c r="AI49">
        <f t="shared" si="3"/>
        <v>0.10699999999999998</v>
      </c>
    </row>
    <row r="50" spans="1:35" x14ac:dyDescent="0.35">
      <c r="A50">
        <f>'DNC4 FF'!A50</f>
        <v>47</v>
      </c>
      <c r="B50">
        <f>'DNC4 FF'!B50</f>
        <v>0</v>
      </c>
      <c r="C50">
        <f>'DNC4 FF'!C50</f>
        <v>8</v>
      </c>
      <c r="D50">
        <f>'DNC4 FF'!D50</f>
        <v>1</v>
      </c>
      <c r="E50">
        <f>'DNC4 FF'!E50</f>
        <v>2</v>
      </c>
      <c r="F50">
        <f>'DNC4 FF'!F50</f>
        <v>2</v>
      </c>
      <c r="G50">
        <f>'DNC4 FF'!G50</f>
        <v>2</v>
      </c>
      <c r="H50">
        <f>'DNC4 FF'!H50</f>
        <v>2</v>
      </c>
      <c r="I50">
        <f>'DNC4 FF'!I50</f>
        <v>8</v>
      </c>
      <c r="J50">
        <f>'DNC4 FF'!J50</f>
        <v>8</v>
      </c>
      <c r="K50">
        <f>'DNC4 FF'!K50</f>
        <v>2</v>
      </c>
      <c r="L50">
        <f>'DNC4 FF'!L50</f>
        <v>3.5</v>
      </c>
      <c r="N50">
        <f>'# Out FF'!A50</f>
        <v>47</v>
      </c>
      <c r="O50">
        <f>'# Out FF'!B50</f>
        <v>998</v>
      </c>
      <c r="P50">
        <f>'# Out FF'!C50</f>
        <v>697</v>
      </c>
      <c r="Q50">
        <f>'# Out FF'!D50</f>
        <v>990</v>
      </c>
      <c r="R50">
        <f>'# Out FF'!E50</f>
        <v>544</v>
      </c>
      <c r="S50">
        <f>'# Out FF'!F50</f>
        <v>780</v>
      </c>
      <c r="T50">
        <f>'# Out FF'!G50</f>
        <v>810</v>
      </c>
      <c r="U50">
        <f>'# Out FF'!H50</f>
        <v>733</v>
      </c>
      <c r="V50">
        <f>'# Out FF'!I50</f>
        <v>683</v>
      </c>
      <c r="W50">
        <f>'# Out FF'!J50</f>
        <v>770</v>
      </c>
      <c r="X50">
        <f>'# Out FF'!K50</f>
        <v>783</v>
      </c>
      <c r="Y50">
        <f>'# Out FF'!L50</f>
        <v>778.8</v>
      </c>
      <c r="AB50">
        <v>0</v>
      </c>
      <c r="AC50">
        <v>999</v>
      </c>
      <c r="AF50" s="2">
        <f t="shared" si="0"/>
        <v>0</v>
      </c>
      <c r="AG50">
        <f t="shared" si="1"/>
        <v>0.999</v>
      </c>
      <c r="AH50">
        <f t="shared" si="2"/>
        <v>0.89100000000000001</v>
      </c>
      <c r="AI50">
        <f t="shared" si="3"/>
        <v>0.10799999999999998</v>
      </c>
    </row>
    <row r="51" spans="1:35" x14ac:dyDescent="0.35">
      <c r="A51">
        <f>'DNC4 FF'!A51</f>
        <v>48</v>
      </c>
      <c r="B51">
        <f>'DNC4 FF'!B51</f>
        <v>0</v>
      </c>
      <c r="C51">
        <f>'DNC4 FF'!C51</f>
        <v>6</v>
      </c>
      <c r="D51">
        <f>'DNC4 FF'!D51</f>
        <v>0</v>
      </c>
      <c r="E51">
        <f>'DNC4 FF'!E51</f>
        <v>6</v>
      </c>
      <c r="F51">
        <f>'DNC4 FF'!F51</f>
        <v>1</v>
      </c>
      <c r="G51">
        <f>'DNC4 FF'!G51</f>
        <v>2</v>
      </c>
      <c r="H51">
        <f>'DNC4 FF'!H51</f>
        <v>1</v>
      </c>
      <c r="I51">
        <f>'DNC4 FF'!I51</f>
        <v>8</v>
      </c>
      <c r="J51">
        <f>'DNC4 FF'!J51</f>
        <v>17</v>
      </c>
      <c r="K51">
        <f>'DNC4 FF'!K51</f>
        <v>1</v>
      </c>
      <c r="L51">
        <f>'DNC4 FF'!L51</f>
        <v>4.2</v>
      </c>
      <c r="N51">
        <f>'# Out FF'!A51</f>
        <v>48</v>
      </c>
      <c r="O51">
        <f>'# Out FF'!B51</f>
        <v>999</v>
      </c>
      <c r="P51">
        <f>'# Out FF'!C51</f>
        <v>695</v>
      </c>
      <c r="Q51">
        <f>'# Out FF'!D51</f>
        <v>784</v>
      </c>
      <c r="R51">
        <f>'# Out FF'!E51</f>
        <v>776</v>
      </c>
      <c r="S51">
        <f>'# Out FF'!F51</f>
        <v>777</v>
      </c>
      <c r="T51">
        <f>'# Out FF'!G51</f>
        <v>788</v>
      </c>
      <c r="U51">
        <f>'# Out FF'!H51</f>
        <v>772</v>
      </c>
      <c r="V51">
        <f>'# Out FF'!I51</f>
        <v>684</v>
      </c>
      <c r="W51">
        <f>'# Out FF'!J51</f>
        <v>691</v>
      </c>
      <c r="X51">
        <f>'# Out FF'!K51</f>
        <v>792</v>
      </c>
      <c r="Y51">
        <f>'# Out FF'!L51</f>
        <v>775.8</v>
      </c>
      <c r="AB51">
        <v>0</v>
      </c>
      <c r="AC51">
        <v>999</v>
      </c>
      <c r="AF51" s="2">
        <f t="shared" si="0"/>
        <v>0</v>
      </c>
      <c r="AG51">
        <f t="shared" si="1"/>
        <v>0.999</v>
      </c>
      <c r="AH51">
        <f t="shared" si="2"/>
        <v>0.89100000000000001</v>
      </c>
      <c r="AI51">
        <f t="shared" si="3"/>
        <v>0.10799999999999998</v>
      </c>
    </row>
    <row r="52" spans="1:35" x14ac:dyDescent="0.35">
      <c r="A52">
        <f>'DNC4 FF'!A52</f>
        <v>49</v>
      </c>
      <c r="B52">
        <f>'DNC4 FF'!B52</f>
        <v>1</v>
      </c>
      <c r="C52">
        <f>'DNC4 FF'!C52</f>
        <v>9</v>
      </c>
      <c r="D52">
        <f>'DNC4 FF'!D52</f>
        <v>0</v>
      </c>
      <c r="E52">
        <f>'DNC4 FF'!E52</f>
        <v>2</v>
      </c>
      <c r="F52">
        <f>'DNC4 FF'!F52</f>
        <v>3</v>
      </c>
      <c r="G52">
        <f>'DNC4 FF'!G52</f>
        <v>1</v>
      </c>
      <c r="H52">
        <f>'DNC4 FF'!H52</f>
        <v>2</v>
      </c>
      <c r="I52">
        <f>'DNC4 FF'!I52</f>
        <v>9</v>
      </c>
      <c r="J52">
        <f>'DNC4 FF'!J52</f>
        <v>13</v>
      </c>
      <c r="K52">
        <f>'DNC4 FF'!K52</f>
        <v>1</v>
      </c>
      <c r="L52">
        <f>'DNC4 FF'!L52</f>
        <v>4.0999999999999996</v>
      </c>
      <c r="N52">
        <f>'# Out FF'!A52</f>
        <v>49</v>
      </c>
      <c r="O52">
        <f>'# Out FF'!B52</f>
        <v>999</v>
      </c>
      <c r="P52">
        <f>'# Out FF'!C52</f>
        <v>738</v>
      </c>
      <c r="Q52">
        <f>'# Out FF'!D52</f>
        <v>993</v>
      </c>
      <c r="R52">
        <f>'# Out FF'!E52</f>
        <v>721</v>
      </c>
      <c r="S52">
        <f>'# Out FF'!F52</f>
        <v>795</v>
      </c>
      <c r="T52">
        <f>'# Out FF'!G52</f>
        <v>794</v>
      </c>
      <c r="U52">
        <f>'# Out FF'!H52</f>
        <v>807</v>
      </c>
      <c r="V52">
        <f>'# Out FF'!I52</f>
        <v>678</v>
      </c>
      <c r="W52">
        <f>'# Out FF'!J52</f>
        <v>445</v>
      </c>
      <c r="X52">
        <f>'# Out FF'!K52</f>
        <v>797</v>
      </c>
      <c r="Y52">
        <f>'# Out FF'!L52</f>
        <v>776.7</v>
      </c>
      <c r="AB52">
        <v>1</v>
      </c>
      <c r="AC52">
        <v>805</v>
      </c>
      <c r="AF52" s="2">
        <f t="shared" si="0"/>
        <v>1E-3</v>
      </c>
      <c r="AG52">
        <f t="shared" si="1"/>
        <v>0.80500000000000005</v>
      </c>
      <c r="AH52">
        <f t="shared" si="2"/>
        <v>0.85584084273568095</v>
      </c>
      <c r="AI52">
        <f t="shared" si="3"/>
        <v>-5.0840842735680902E-2</v>
      </c>
    </row>
    <row r="53" spans="1:35" x14ac:dyDescent="0.35">
      <c r="A53">
        <f>'DNC4 FF'!A53</f>
        <v>50</v>
      </c>
      <c r="B53">
        <f>'DNC4 FF'!B53</f>
        <v>2</v>
      </c>
      <c r="C53">
        <f>'DNC4 FF'!C53</f>
        <v>5</v>
      </c>
      <c r="D53">
        <f>'DNC4 FF'!D53</f>
        <v>1</v>
      </c>
      <c r="E53">
        <f>'DNC4 FF'!E53</f>
        <v>1</v>
      </c>
      <c r="F53">
        <f>'DNC4 FF'!F53</f>
        <v>0</v>
      </c>
      <c r="G53">
        <f>'DNC4 FF'!G53</f>
        <v>1</v>
      </c>
      <c r="H53">
        <f>'DNC4 FF'!H53</f>
        <v>3</v>
      </c>
      <c r="I53">
        <f>'DNC4 FF'!I53</f>
        <v>10</v>
      </c>
      <c r="J53">
        <f>'DNC4 FF'!J53</f>
        <v>17</v>
      </c>
      <c r="K53">
        <f>'DNC4 FF'!K53</f>
        <v>1</v>
      </c>
      <c r="L53">
        <f>'DNC4 FF'!L53</f>
        <v>4.0999999999999996</v>
      </c>
      <c r="N53">
        <f>'# Out FF'!A53</f>
        <v>50</v>
      </c>
      <c r="O53">
        <f>'# Out FF'!B53</f>
        <v>805</v>
      </c>
      <c r="P53">
        <f>'# Out FF'!C53</f>
        <v>710</v>
      </c>
      <c r="Q53">
        <f>'# Out FF'!D53</f>
        <v>993</v>
      </c>
      <c r="R53">
        <f>'# Out FF'!E53</f>
        <v>784</v>
      </c>
      <c r="S53">
        <f>'# Out FF'!F53</f>
        <v>773</v>
      </c>
      <c r="T53">
        <f>'# Out FF'!G53</f>
        <v>792</v>
      </c>
      <c r="U53">
        <f>'# Out FF'!H53</f>
        <v>765</v>
      </c>
      <c r="V53">
        <f>'# Out FF'!I53</f>
        <v>697</v>
      </c>
      <c r="W53">
        <f>'# Out FF'!J53</f>
        <v>440</v>
      </c>
      <c r="X53">
        <f>'# Out FF'!K53</f>
        <v>800</v>
      </c>
      <c r="Y53">
        <f>'# Out FF'!L53</f>
        <v>755.9</v>
      </c>
      <c r="AB53">
        <v>2</v>
      </c>
      <c r="AC53">
        <v>771</v>
      </c>
      <c r="AF53" s="2">
        <f t="shared" si="0"/>
        <v>2E-3</v>
      </c>
      <c r="AG53">
        <f t="shared" si="1"/>
        <v>0.77100000000000002</v>
      </c>
      <c r="AH53">
        <f t="shared" si="2"/>
        <v>0.82206907754716119</v>
      </c>
      <c r="AI53">
        <f t="shared" si="3"/>
        <v>-5.1069077547161168E-2</v>
      </c>
    </row>
    <row r="54" spans="1:35" x14ac:dyDescent="0.35">
      <c r="A54">
        <f>'DNC4 FF'!A54</f>
        <v>51</v>
      </c>
      <c r="B54">
        <f>'DNC4 FF'!B54</f>
        <v>6</v>
      </c>
      <c r="C54">
        <f>'DNC4 FF'!C54</f>
        <v>8</v>
      </c>
      <c r="D54">
        <f>'DNC4 FF'!D54</f>
        <v>0</v>
      </c>
      <c r="E54">
        <f>'DNC4 FF'!E54</f>
        <v>0</v>
      </c>
      <c r="F54">
        <f>'DNC4 FF'!F54</f>
        <v>0</v>
      </c>
      <c r="G54">
        <f>'DNC4 FF'!G54</f>
        <v>2</v>
      </c>
      <c r="H54">
        <f>'DNC4 FF'!H54</f>
        <v>1</v>
      </c>
      <c r="I54">
        <f>'DNC4 FF'!I54</f>
        <v>11</v>
      </c>
      <c r="J54">
        <f>'DNC4 FF'!J54</f>
        <v>12</v>
      </c>
      <c r="K54">
        <f>'DNC4 FF'!K54</f>
        <v>0</v>
      </c>
      <c r="L54">
        <f>'DNC4 FF'!L54</f>
        <v>4</v>
      </c>
      <c r="N54">
        <f>'# Out FF'!A54</f>
        <v>51</v>
      </c>
      <c r="O54">
        <f>'# Out FF'!B54</f>
        <v>771</v>
      </c>
      <c r="P54">
        <f>'# Out FF'!C54</f>
        <v>576</v>
      </c>
      <c r="Q54">
        <f>'# Out FF'!D54</f>
        <v>793</v>
      </c>
      <c r="R54">
        <f>'# Out FF'!E54</f>
        <v>781</v>
      </c>
      <c r="S54">
        <f>'# Out FF'!F54</f>
        <v>995</v>
      </c>
      <c r="T54">
        <f>'# Out FF'!G54</f>
        <v>802</v>
      </c>
      <c r="U54">
        <f>'# Out FF'!H54</f>
        <v>744</v>
      </c>
      <c r="V54">
        <f>'# Out FF'!I54</f>
        <v>852</v>
      </c>
      <c r="W54">
        <f>'# Out FF'!J54</f>
        <v>432</v>
      </c>
      <c r="X54">
        <f>'# Out FF'!K54</f>
        <v>792</v>
      </c>
      <c r="Y54">
        <f>'# Out FF'!L54</f>
        <v>753.8</v>
      </c>
      <c r="AB54">
        <v>6</v>
      </c>
      <c r="AC54">
        <v>720</v>
      </c>
      <c r="AF54" s="2">
        <f t="shared" si="0"/>
        <v>6.0000000000000001E-3</v>
      </c>
      <c r="AG54">
        <f t="shared" si="1"/>
        <v>0.72</v>
      </c>
      <c r="AH54">
        <f t="shared" si="2"/>
        <v>0.69979289534261269</v>
      </c>
      <c r="AI54">
        <f t="shared" si="3"/>
        <v>2.0207104657387287E-2</v>
      </c>
    </row>
    <row r="55" spans="1:35" x14ac:dyDescent="0.35">
      <c r="A55">
        <f>'DNC4 FF'!A55</f>
        <v>52</v>
      </c>
      <c r="B55">
        <f>'DNC4 FF'!B55</f>
        <v>6</v>
      </c>
      <c r="C55">
        <f>'DNC4 FF'!C55</f>
        <v>7</v>
      </c>
      <c r="D55">
        <f>'DNC4 FF'!D55</f>
        <v>0</v>
      </c>
      <c r="E55">
        <f>'DNC4 FF'!E55</f>
        <v>1</v>
      </c>
      <c r="F55">
        <f>'DNC4 FF'!F55</f>
        <v>0</v>
      </c>
      <c r="G55">
        <f>'DNC4 FF'!G55</f>
        <v>5</v>
      </c>
      <c r="H55">
        <f>'DNC4 FF'!H55</f>
        <v>3</v>
      </c>
      <c r="I55">
        <f>'DNC4 FF'!I55</f>
        <v>10</v>
      </c>
      <c r="J55">
        <f>'DNC4 FF'!J55</f>
        <v>3</v>
      </c>
      <c r="K55">
        <f>'DNC4 FF'!K55</f>
        <v>0</v>
      </c>
      <c r="L55">
        <f>'DNC4 FF'!L55</f>
        <v>3.5</v>
      </c>
      <c r="N55">
        <f>'# Out FF'!A55</f>
        <v>52</v>
      </c>
      <c r="O55">
        <f>'# Out FF'!B55</f>
        <v>720</v>
      </c>
      <c r="P55">
        <f>'# Out FF'!C55</f>
        <v>693</v>
      </c>
      <c r="Q55">
        <f>'# Out FF'!D55</f>
        <v>994</v>
      </c>
      <c r="R55">
        <f>'# Out FF'!E55</f>
        <v>996</v>
      </c>
      <c r="S55">
        <f>'# Out FF'!F55</f>
        <v>996</v>
      </c>
      <c r="T55">
        <f>'# Out FF'!G55</f>
        <v>791</v>
      </c>
      <c r="U55">
        <f>'# Out FF'!H55</f>
        <v>803</v>
      </c>
      <c r="V55">
        <f>'# Out FF'!I55</f>
        <v>661</v>
      </c>
      <c r="W55">
        <f>'# Out FF'!J55</f>
        <v>565</v>
      </c>
      <c r="X55">
        <f>'# Out FF'!K55</f>
        <v>998</v>
      </c>
      <c r="Y55">
        <f>'# Out FF'!L55</f>
        <v>821.7</v>
      </c>
      <c r="AB55">
        <v>6</v>
      </c>
      <c r="AC55">
        <v>712</v>
      </c>
      <c r="AF55" s="2">
        <f t="shared" si="0"/>
        <v>6.0000000000000001E-3</v>
      </c>
      <c r="AG55">
        <f t="shared" si="1"/>
        <v>0.71199999999999997</v>
      </c>
      <c r="AH55">
        <f t="shared" si="2"/>
        <v>0.69979289534261269</v>
      </c>
      <c r="AI55">
        <f t="shared" si="3"/>
        <v>1.220710465738728E-2</v>
      </c>
    </row>
    <row r="56" spans="1:35" x14ac:dyDescent="0.35">
      <c r="A56">
        <f>'DNC4 FF'!A56</f>
        <v>53</v>
      </c>
      <c r="B56">
        <f>'DNC4 FF'!B56</f>
        <v>5</v>
      </c>
      <c r="C56">
        <f>'DNC4 FF'!C56</f>
        <v>1</v>
      </c>
      <c r="D56">
        <f>'DNC4 FF'!D56</f>
        <v>0</v>
      </c>
      <c r="E56">
        <f>'DNC4 FF'!E56</f>
        <v>1</v>
      </c>
      <c r="F56">
        <f>'DNC4 FF'!F56</f>
        <v>0</v>
      </c>
      <c r="G56">
        <f>'DNC4 FF'!G56</f>
        <v>2</v>
      </c>
      <c r="H56">
        <f>'DNC4 FF'!H56</f>
        <v>0</v>
      </c>
      <c r="I56">
        <f>'DNC4 FF'!I56</f>
        <v>8</v>
      </c>
      <c r="J56">
        <f>'DNC4 FF'!J56</f>
        <v>6</v>
      </c>
      <c r="K56">
        <f>'DNC4 FF'!K56</f>
        <v>0</v>
      </c>
      <c r="L56">
        <f>'DNC4 FF'!L56</f>
        <v>2.2999999999999998</v>
      </c>
      <c r="N56">
        <f>'# Out FF'!A56</f>
        <v>53</v>
      </c>
      <c r="O56">
        <f>'# Out FF'!B56</f>
        <v>712</v>
      </c>
      <c r="P56">
        <f>'# Out FF'!C56</f>
        <v>777</v>
      </c>
      <c r="Q56">
        <f>'# Out FF'!D56</f>
        <v>993</v>
      </c>
      <c r="R56">
        <f>'# Out FF'!E56</f>
        <v>796</v>
      </c>
      <c r="S56">
        <f>'# Out FF'!F56</f>
        <v>997</v>
      </c>
      <c r="T56">
        <f>'# Out FF'!G56</f>
        <v>545</v>
      </c>
      <c r="U56">
        <f>'# Out FF'!H56</f>
        <v>747</v>
      </c>
      <c r="V56">
        <f>'# Out FF'!I56</f>
        <v>859</v>
      </c>
      <c r="W56">
        <f>'# Out FF'!J56</f>
        <v>744</v>
      </c>
      <c r="X56">
        <f>'# Out FF'!K56</f>
        <v>999</v>
      </c>
      <c r="Y56">
        <f>'# Out FF'!L56</f>
        <v>816.9</v>
      </c>
      <c r="AB56">
        <v>5</v>
      </c>
      <c r="AC56">
        <v>549</v>
      </c>
      <c r="AF56" s="2">
        <f t="shared" si="0"/>
        <v>5.0000000000000001E-3</v>
      </c>
      <c r="AG56">
        <f t="shared" si="1"/>
        <v>0.54900000000000004</v>
      </c>
      <c r="AH56">
        <f t="shared" si="2"/>
        <v>0.72854138131245416</v>
      </c>
      <c r="AI56">
        <f t="shared" si="3"/>
        <v>-0.17954138131245412</v>
      </c>
    </row>
    <row r="57" spans="1:35" x14ac:dyDescent="0.35">
      <c r="A57">
        <f>'DNC4 FF'!A57</f>
        <v>54</v>
      </c>
      <c r="B57">
        <f>'DNC4 FF'!B57</f>
        <v>6</v>
      </c>
      <c r="C57">
        <f>'DNC4 FF'!C57</f>
        <v>2</v>
      </c>
      <c r="D57" t="e">
        <f>'DNC4 FF'!D57</f>
        <v>#REF!</v>
      </c>
      <c r="E57">
        <f>'DNC4 FF'!E57</f>
        <v>0</v>
      </c>
      <c r="F57">
        <f>'DNC4 FF'!F57</f>
        <v>0</v>
      </c>
      <c r="G57">
        <f>'DNC4 FF'!G57</f>
        <v>5</v>
      </c>
      <c r="H57">
        <f>'DNC4 FF'!H57</f>
        <v>0</v>
      </c>
      <c r="I57">
        <f>'DNC4 FF'!I57</f>
        <v>14</v>
      </c>
      <c r="J57">
        <f>'DNC4 FF'!J57</f>
        <v>3</v>
      </c>
      <c r="K57">
        <f>'DNC4 FF'!K57</f>
        <v>0</v>
      </c>
      <c r="L57" t="e">
        <f>'DNC4 FF'!L57</f>
        <v>#REF!</v>
      </c>
      <c r="N57">
        <f>'# Out FF'!A57</f>
        <v>54</v>
      </c>
      <c r="O57">
        <f>'# Out FF'!B57</f>
        <v>549</v>
      </c>
      <c r="P57">
        <f>'# Out FF'!C57</f>
        <v>802</v>
      </c>
      <c r="Q57">
        <f>'# Out FF'!D57</f>
        <v>1000</v>
      </c>
      <c r="R57">
        <f>'# Out FF'!E57</f>
        <v>792</v>
      </c>
      <c r="S57">
        <f>'# Out FF'!F57</f>
        <v>996</v>
      </c>
      <c r="T57">
        <f>'# Out FF'!G57</f>
        <v>785</v>
      </c>
      <c r="U57">
        <f>'# Out FF'!H57</f>
        <v>993</v>
      </c>
      <c r="V57">
        <f>'# Out FF'!I57</f>
        <v>677</v>
      </c>
      <c r="W57">
        <f>'# Out FF'!J57</f>
        <v>734</v>
      </c>
      <c r="X57">
        <f>'# Out FF'!K57</f>
        <v>998</v>
      </c>
      <c r="Y57">
        <f>'# Out FF'!L57</f>
        <v>832.6</v>
      </c>
      <c r="AB57">
        <v>6</v>
      </c>
      <c r="AC57">
        <v>718</v>
      </c>
      <c r="AF57" s="2">
        <f t="shared" si="0"/>
        <v>6.0000000000000001E-3</v>
      </c>
      <c r="AG57">
        <f t="shared" si="1"/>
        <v>0.71799999999999997</v>
      </c>
      <c r="AH57">
        <f t="shared" si="2"/>
        <v>0.69979289534261269</v>
      </c>
      <c r="AI57">
        <f t="shared" si="3"/>
        <v>1.8207104657387285E-2</v>
      </c>
    </row>
    <row r="58" spans="1:35" x14ac:dyDescent="0.35">
      <c r="A58">
        <f>'DNC4 FF'!A58</f>
        <v>55</v>
      </c>
      <c r="B58">
        <f>'DNC4 FF'!B58</f>
        <v>5</v>
      </c>
      <c r="C58">
        <f>'DNC4 FF'!C58</f>
        <v>1</v>
      </c>
      <c r="D58" t="e">
        <f>'DNC4 FF'!D58</f>
        <v>#REF!</v>
      </c>
      <c r="E58">
        <f>'DNC4 FF'!E58</f>
        <v>2</v>
      </c>
      <c r="F58">
        <f>'DNC4 FF'!F58</f>
        <v>4</v>
      </c>
      <c r="G58">
        <f>'DNC4 FF'!G58</f>
        <v>5</v>
      </c>
      <c r="H58">
        <f>'DNC4 FF'!H58</f>
        <v>1</v>
      </c>
      <c r="I58">
        <f>'DNC4 FF'!I58</f>
        <v>10</v>
      </c>
      <c r="J58">
        <f>'DNC4 FF'!J58</f>
        <v>2</v>
      </c>
      <c r="K58">
        <f>'DNC4 FF'!K58</f>
        <v>2</v>
      </c>
      <c r="L58" t="e">
        <f>'DNC4 FF'!L58</f>
        <v>#REF!</v>
      </c>
      <c r="N58">
        <f>'# Out FF'!A58</f>
        <v>55</v>
      </c>
      <c r="O58">
        <f>'# Out FF'!B58</f>
        <v>718</v>
      </c>
      <c r="P58">
        <f>'# Out FF'!C58</f>
        <v>793</v>
      </c>
      <c r="Q58">
        <f>'# Out FF'!D58</f>
        <v>1000</v>
      </c>
      <c r="R58">
        <f>'# Out FF'!E58</f>
        <v>999</v>
      </c>
      <c r="S58">
        <f>'# Out FF'!F58</f>
        <v>995</v>
      </c>
      <c r="T58">
        <f>'# Out FF'!G58</f>
        <v>552</v>
      </c>
      <c r="U58">
        <f>'# Out FF'!H58</f>
        <v>996</v>
      </c>
      <c r="V58">
        <f>'# Out FF'!I58</f>
        <v>462</v>
      </c>
      <c r="W58">
        <f>'# Out FF'!J58</f>
        <v>755</v>
      </c>
      <c r="X58">
        <f>'# Out FF'!K58</f>
        <v>998</v>
      </c>
      <c r="Y58">
        <f>'# Out FF'!L58</f>
        <v>826.8</v>
      </c>
      <c r="AB58">
        <v>5</v>
      </c>
      <c r="AC58">
        <v>546</v>
      </c>
      <c r="AF58" s="2">
        <f t="shared" si="0"/>
        <v>5.0000000000000001E-3</v>
      </c>
      <c r="AG58">
        <f t="shared" si="1"/>
        <v>0.54600000000000004</v>
      </c>
      <c r="AH58">
        <f t="shared" si="2"/>
        <v>0.72854138131245416</v>
      </c>
      <c r="AI58">
        <f t="shared" si="3"/>
        <v>-0.18254138131245412</v>
      </c>
    </row>
    <row r="59" spans="1:35" x14ac:dyDescent="0.35">
      <c r="A59">
        <f>'DNC4 FF'!A59</f>
        <v>56</v>
      </c>
      <c r="B59">
        <f>'DNC4 FF'!B59</f>
        <v>7</v>
      </c>
      <c r="C59">
        <f>'DNC4 FF'!C59</f>
        <v>2</v>
      </c>
      <c r="D59" t="e">
        <f>'DNC4 FF'!D59</f>
        <v>#REF!</v>
      </c>
      <c r="E59">
        <f>'DNC4 FF'!E59</f>
        <v>2</v>
      </c>
      <c r="F59">
        <f>'DNC4 FF'!F59</f>
        <v>2</v>
      </c>
      <c r="G59">
        <f>'DNC4 FF'!G59</f>
        <v>4</v>
      </c>
      <c r="H59">
        <f>'DNC4 FF'!H59</f>
        <v>0</v>
      </c>
      <c r="I59">
        <f>'DNC4 FF'!I59</f>
        <v>15</v>
      </c>
      <c r="J59">
        <f>'DNC4 FF'!J59</f>
        <v>3</v>
      </c>
      <c r="K59">
        <f>'DNC4 FF'!K59</f>
        <v>0</v>
      </c>
      <c r="L59" t="e">
        <f>'DNC4 FF'!L59</f>
        <v>#REF!</v>
      </c>
      <c r="N59">
        <f>'# Out FF'!A59</f>
        <v>56</v>
      </c>
      <c r="O59">
        <f>'# Out FF'!B59</f>
        <v>546</v>
      </c>
      <c r="P59">
        <f>'# Out FF'!C59</f>
        <v>808</v>
      </c>
      <c r="Q59">
        <f>'# Out FF'!D59</f>
        <v>1000</v>
      </c>
      <c r="R59">
        <f>'# Out FF'!E59</f>
        <v>790</v>
      </c>
      <c r="S59">
        <f>'# Out FF'!F59</f>
        <v>793</v>
      </c>
      <c r="T59">
        <f>'# Out FF'!G59</f>
        <v>541</v>
      </c>
      <c r="U59">
        <f>'# Out FF'!H59</f>
        <v>813</v>
      </c>
      <c r="V59">
        <f>'# Out FF'!I59</f>
        <v>843</v>
      </c>
      <c r="W59">
        <f>'# Out FF'!J59</f>
        <v>777</v>
      </c>
      <c r="X59">
        <f>'# Out FF'!K59</f>
        <v>797</v>
      </c>
      <c r="Y59">
        <f>'# Out FF'!L59</f>
        <v>770.8</v>
      </c>
      <c r="AB59">
        <v>7</v>
      </c>
      <c r="AC59">
        <v>746</v>
      </c>
      <c r="AF59" s="2">
        <f t="shared" si="0"/>
        <v>7.0000000000000001E-3</v>
      </c>
      <c r="AG59">
        <f t="shared" si="1"/>
        <v>0.746</v>
      </c>
      <c r="AH59">
        <f t="shared" si="2"/>
        <v>0.67217883422049818</v>
      </c>
      <c r="AI59">
        <f t="shared" si="3"/>
        <v>7.3821165779501818E-2</v>
      </c>
    </row>
    <row r="60" spans="1:35" x14ac:dyDescent="0.35">
      <c r="A60">
        <f>'DNC4 FF'!A60</f>
        <v>57</v>
      </c>
      <c r="B60">
        <f>'DNC4 FF'!B60</f>
        <v>1</v>
      </c>
      <c r="C60">
        <f>'DNC4 FF'!C60</f>
        <v>7</v>
      </c>
      <c r="D60" t="e">
        <f>'DNC4 FF'!D60</f>
        <v>#REF!</v>
      </c>
      <c r="E60">
        <f>'DNC4 FF'!E60</f>
        <v>2</v>
      </c>
      <c r="F60">
        <f>'DNC4 FF'!F60</f>
        <v>4</v>
      </c>
      <c r="G60">
        <f>'DNC4 FF'!G60</f>
        <v>4</v>
      </c>
      <c r="H60">
        <f>'DNC4 FF'!H60</f>
        <v>0</v>
      </c>
      <c r="I60">
        <f>'DNC4 FF'!I60</f>
        <v>8</v>
      </c>
      <c r="J60">
        <f>'DNC4 FF'!J60</f>
        <v>1</v>
      </c>
      <c r="K60">
        <f>'DNC4 FF'!K60</f>
        <v>2</v>
      </c>
      <c r="L60" t="e">
        <f>'DNC4 FF'!L60</f>
        <v>#REF!</v>
      </c>
      <c r="N60">
        <f>'# Out FF'!A60</f>
        <v>57</v>
      </c>
      <c r="O60">
        <f>'# Out FF'!B60</f>
        <v>746</v>
      </c>
      <c r="P60">
        <f>'# Out FF'!C60</f>
        <v>792</v>
      </c>
      <c r="Q60">
        <f>'# Out FF'!D60</f>
        <v>1000</v>
      </c>
      <c r="R60">
        <f>'# Out FF'!E60</f>
        <v>795</v>
      </c>
      <c r="S60">
        <f>'# Out FF'!F60</f>
        <v>778</v>
      </c>
      <c r="T60">
        <f>'# Out FF'!G60</f>
        <v>802</v>
      </c>
      <c r="U60">
        <f>'# Out FF'!H60</f>
        <v>997</v>
      </c>
      <c r="V60">
        <f>'# Out FF'!I60</f>
        <v>360</v>
      </c>
      <c r="W60">
        <f>'# Out FF'!J60</f>
        <v>762</v>
      </c>
      <c r="X60">
        <f>'# Out FF'!K60</f>
        <v>997</v>
      </c>
      <c r="Y60">
        <f>'# Out FF'!L60</f>
        <v>802.9</v>
      </c>
      <c r="AB60">
        <v>1</v>
      </c>
      <c r="AC60">
        <v>790</v>
      </c>
      <c r="AF60" s="2">
        <f t="shared" si="0"/>
        <v>1E-3</v>
      </c>
      <c r="AG60">
        <f t="shared" si="1"/>
        <v>0.79</v>
      </c>
      <c r="AH60">
        <f t="shared" si="2"/>
        <v>0.85584084273568095</v>
      </c>
      <c r="AI60">
        <f t="shared" si="3"/>
        <v>-6.5840842735680916E-2</v>
      </c>
    </row>
    <row r="61" spans="1:35" x14ac:dyDescent="0.35">
      <c r="A61">
        <f>'DNC4 FF'!A61</f>
        <v>58</v>
      </c>
      <c r="B61">
        <f>'DNC4 FF'!B61</f>
        <v>4</v>
      </c>
      <c r="C61">
        <f>'DNC4 FF'!C61</f>
        <v>4</v>
      </c>
      <c r="D61" t="e">
        <f>'DNC4 FF'!D61</f>
        <v>#REF!</v>
      </c>
      <c r="E61">
        <f>'DNC4 FF'!E61</f>
        <v>5</v>
      </c>
      <c r="F61">
        <f>'DNC4 FF'!F61</f>
        <v>5</v>
      </c>
      <c r="G61">
        <f>'DNC4 FF'!G61</f>
        <v>2</v>
      </c>
      <c r="H61">
        <f>'DNC4 FF'!H61</f>
        <v>3</v>
      </c>
      <c r="I61">
        <f>'DNC4 FF'!I61</f>
        <v>7</v>
      </c>
      <c r="J61">
        <f>'DNC4 FF'!J61</f>
        <v>2</v>
      </c>
      <c r="K61">
        <f>'DNC4 FF'!K61</f>
        <v>3</v>
      </c>
      <c r="L61" t="e">
        <f>'DNC4 FF'!L61</f>
        <v>#REF!</v>
      </c>
      <c r="N61">
        <f>'# Out FF'!A61</f>
        <v>58</v>
      </c>
      <c r="O61">
        <f>'# Out FF'!B61</f>
        <v>790</v>
      </c>
      <c r="P61">
        <f>'# Out FF'!C61</f>
        <v>780</v>
      </c>
      <c r="Q61">
        <f>'# Out FF'!D61</f>
        <v>1000</v>
      </c>
      <c r="R61">
        <f>'# Out FF'!E61</f>
        <v>784</v>
      </c>
      <c r="S61">
        <f>'# Out FF'!F61</f>
        <v>778</v>
      </c>
      <c r="T61">
        <f>'# Out FF'!G61</f>
        <v>798</v>
      </c>
      <c r="U61">
        <f>'# Out FF'!H61</f>
        <v>997</v>
      </c>
      <c r="V61">
        <f>'# Out FF'!I61</f>
        <v>680</v>
      </c>
      <c r="W61">
        <f>'# Out FF'!J61</f>
        <v>776</v>
      </c>
      <c r="X61">
        <f>'# Out FF'!K61</f>
        <v>788</v>
      </c>
      <c r="Y61">
        <f>'# Out FF'!L61</f>
        <v>817.1</v>
      </c>
      <c r="AB61">
        <v>4</v>
      </c>
      <c r="AC61">
        <v>777</v>
      </c>
      <c r="AF61" s="2">
        <f t="shared" si="0"/>
        <v>4.0000000000000001E-3</v>
      </c>
      <c r="AG61">
        <f t="shared" si="1"/>
        <v>0.77700000000000002</v>
      </c>
      <c r="AH61">
        <f t="shared" si="2"/>
        <v>0.75847089591385031</v>
      </c>
      <c r="AI61">
        <f t="shared" si="3"/>
        <v>1.8529104086149717E-2</v>
      </c>
    </row>
    <row r="62" spans="1:35" x14ac:dyDescent="0.35">
      <c r="A62">
        <f>'DNC4 FF'!A62</f>
        <v>59</v>
      </c>
      <c r="B62">
        <f>'DNC4 FF'!B62</f>
        <v>0</v>
      </c>
      <c r="C62">
        <f>'DNC4 FF'!C62</f>
        <v>5</v>
      </c>
      <c r="D62" t="e">
        <f>'DNC4 FF'!D62</f>
        <v>#REF!</v>
      </c>
      <c r="E62">
        <f>'DNC4 FF'!E62</f>
        <v>4</v>
      </c>
      <c r="F62">
        <f>'DNC4 FF'!F62</f>
        <v>6</v>
      </c>
      <c r="G62">
        <f>'DNC4 FF'!G62</f>
        <v>4</v>
      </c>
      <c r="H62">
        <f>'DNC4 FF'!H62</f>
        <v>1</v>
      </c>
      <c r="I62">
        <f>'DNC4 FF'!I62</f>
        <v>7</v>
      </c>
      <c r="J62">
        <f>'DNC4 FF'!J62</f>
        <v>1</v>
      </c>
      <c r="K62">
        <f>'DNC4 FF'!K62</f>
        <v>1</v>
      </c>
      <c r="L62" t="e">
        <f>'DNC4 FF'!L62</f>
        <v>#REF!</v>
      </c>
      <c r="N62">
        <f>'# Out FF'!A62</f>
        <v>59</v>
      </c>
      <c r="O62">
        <f>'# Out FF'!B62</f>
        <v>777</v>
      </c>
      <c r="P62">
        <f>'# Out FF'!C62</f>
        <v>805</v>
      </c>
      <c r="Q62">
        <f>'# Out FF'!D62</f>
        <v>1000</v>
      </c>
      <c r="R62">
        <f>'# Out FF'!E62</f>
        <v>539</v>
      </c>
      <c r="S62">
        <f>'# Out FF'!F62</f>
        <v>532</v>
      </c>
      <c r="T62">
        <f>'# Out FF'!G62</f>
        <v>789</v>
      </c>
      <c r="U62">
        <f>'# Out FF'!H62</f>
        <v>753</v>
      </c>
      <c r="V62">
        <f>'# Out FF'!I62</f>
        <v>766</v>
      </c>
      <c r="W62">
        <f>'# Out FF'!J62</f>
        <v>779</v>
      </c>
      <c r="X62">
        <f>'# Out FF'!K62</f>
        <v>760</v>
      </c>
      <c r="Y62">
        <f>'# Out FF'!L62</f>
        <v>750</v>
      </c>
      <c r="AB62">
        <v>0</v>
      </c>
      <c r="AC62">
        <v>995</v>
      </c>
      <c r="AF62" s="2">
        <f t="shared" si="0"/>
        <v>0</v>
      </c>
      <c r="AG62">
        <f t="shared" si="1"/>
        <v>0.995</v>
      </c>
      <c r="AH62">
        <f t="shared" si="2"/>
        <v>0.89100000000000001</v>
      </c>
      <c r="AI62">
        <f t="shared" si="3"/>
        <v>0.10399999999999998</v>
      </c>
    </row>
    <row r="63" spans="1:35" x14ac:dyDescent="0.35">
      <c r="A63">
        <f>'DNC4 FF'!A63</f>
        <v>60</v>
      </c>
      <c r="B63">
        <f>'DNC4 FF'!B63</f>
        <v>2</v>
      </c>
      <c r="C63">
        <f>'DNC4 FF'!C63</f>
        <v>5</v>
      </c>
      <c r="D63" t="e">
        <f>'DNC4 FF'!D63</f>
        <v>#REF!</v>
      </c>
      <c r="E63">
        <f>'DNC4 FF'!E63</f>
        <v>5</v>
      </c>
      <c r="F63">
        <f>'DNC4 FF'!F63</f>
        <v>3</v>
      </c>
      <c r="G63">
        <f>'DNC4 FF'!G63</f>
        <v>3</v>
      </c>
      <c r="H63">
        <f>'DNC4 FF'!H63</f>
        <v>3</v>
      </c>
      <c r="I63">
        <f>'DNC4 FF'!I63</f>
        <v>1</v>
      </c>
      <c r="J63">
        <f>'DNC4 FF'!J63</f>
        <v>1</v>
      </c>
      <c r="K63">
        <f>'DNC4 FF'!K63</f>
        <v>7</v>
      </c>
      <c r="L63" t="e">
        <f>'DNC4 FF'!L63</f>
        <v>#REF!</v>
      </c>
      <c r="N63">
        <f>'# Out FF'!A63</f>
        <v>60</v>
      </c>
      <c r="O63">
        <f>'# Out FF'!B63</f>
        <v>995</v>
      </c>
      <c r="P63">
        <f>'# Out FF'!C63</f>
        <v>574</v>
      </c>
      <c r="Q63">
        <f>'# Out FF'!D63</f>
        <v>1000</v>
      </c>
      <c r="R63">
        <f>'# Out FF'!E63</f>
        <v>788</v>
      </c>
      <c r="S63">
        <f>'# Out FF'!F63</f>
        <v>749</v>
      </c>
      <c r="T63">
        <f>'# Out FF'!G63</f>
        <v>800</v>
      </c>
      <c r="U63">
        <f>'# Out FF'!H63</f>
        <v>804</v>
      </c>
      <c r="V63">
        <f>'# Out FF'!I63</f>
        <v>760</v>
      </c>
      <c r="W63">
        <f>'# Out FF'!J63</f>
        <v>792</v>
      </c>
      <c r="X63">
        <f>'# Out FF'!K63</f>
        <v>787</v>
      </c>
      <c r="Y63">
        <f>'# Out FF'!L63</f>
        <v>804.9</v>
      </c>
      <c r="AB63">
        <v>2</v>
      </c>
      <c r="AC63">
        <v>778</v>
      </c>
      <c r="AF63" s="2">
        <f t="shared" si="0"/>
        <v>2E-3</v>
      </c>
      <c r="AG63">
        <f t="shared" si="1"/>
        <v>0.77800000000000002</v>
      </c>
      <c r="AH63">
        <f t="shared" si="2"/>
        <v>0.82206907754716119</v>
      </c>
      <c r="AI63">
        <f t="shared" si="3"/>
        <v>-4.4069077547161162E-2</v>
      </c>
    </row>
    <row r="64" spans="1:35" x14ac:dyDescent="0.35">
      <c r="A64">
        <f>'DNC4 FF'!A64</f>
        <v>61</v>
      </c>
      <c r="B64">
        <f>'DNC4 FF'!B64</f>
        <v>2</v>
      </c>
      <c r="C64">
        <f>'DNC4 FF'!C64</f>
        <v>4</v>
      </c>
      <c r="D64" t="e">
        <f>'DNC4 FF'!D64</f>
        <v>#REF!</v>
      </c>
      <c r="E64">
        <f>'DNC4 FF'!E64</f>
        <v>8</v>
      </c>
      <c r="F64">
        <f>'DNC4 FF'!F64</f>
        <v>4</v>
      </c>
      <c r="G64">
        <f>'DNC4 FF'!G64</f>
        <v>1</v>
      </c>
      <c r="H64">
        <f>'DNC4 FF'!H64</f>
        <v>2</v>
      </c>
      <c r="I64">
        <f>'DNC4 FF'!I64</f>
        <v>4</v>
      </c>
      <c r="J64">
        <f>'DNC4 FF'!J64</f>
        <v>4</v>
      </c>
      <c r="K64">
        <f>'DNC4 FF'!K64</f>
        <v>4</v>
      </c>
      <c r="L64" t="e">
        <f>'DNC4 FF'!L64</f>
        <v>#REF!</v>
      </c>
      <c r="N64">
        <f>'# Out FF'!A64</f>
        <v>61</v>
      </c>
      <c r="O64">
        <f>'# Out FF'!B64</f>
        <v>778</v>
      </c>
      <c r="P64">
        <f>'# Out FF'!C64</f>
        <v>566</v>
      </c>
      <c r="Q64">
        <f>'# Out FF'!D64</f>
        <v>1000</v>
      </c>
      <c r="R64">
        <f>'# Out FF'!E64</f>
        <v>528</v>
      </c>
      <c r="S64">
        <f>'# Out FF'!F64</f>
        <v>759</v>
      </c>
      <c r="T64">
        <f>'# Out FF'!G64</f>
        <v>786</v>
      </c>
      <c r="U64">
        <f>'# Out FF'!H64</f>
        <v>749</v>
      </c>
      <c r="V64">
        <f>'# Out FF'!I64</f>
        <v>791</v>
      </c>
      <c r="W64">
        <f>'# Out FF'!J64</f>
        <v>790</v>
      </c>
      <c r="X64">
        <f>'# Out FF'!K64</f>
        <v>778</v>
      </c>
      <c r="Y64">
        <f>'# Out FF'!L64</f>
        <v>752.5</v>
      </c>
      <c r="AB64">
        <v>2</v>
      </c>
      <c r="AC64">
        <v>785</v>
      </c>
      <c r="AF64" s="2">
        <f t="shared" si="0"/>
        <v>2E-3</v>
      </c>
      <c r="AG64">
        <f t="shared" si="1"/>
        <v>0.78500000000000003</v>
      </c>
      <c r="AH64">
        <f t="shared" si="2"/>
        <v>0.82206907754716119</v>
      </c>
      <c r="AI64">
        <f t="shared" si="3"/>
        <v>-3.7069077547161156E-2</v>
      </c>
    </row>
    <row r="65" spans="1:35" x14ac:dyDescent="0.35">
      <c r="A65">
        <f>'DNC4 FF'!A65</f>
        <v>62</v>
      </c>
      <c r="B65">
        <f>'DNC4 FF'!B65</f>
        <v>1</v>
      </c>
      <c r="C65">
        <f>'DNC4 FF'!C65</f>
        <v>1</v>
      </c>
      <c r="D65" t="e">
        <f>'DNC4 FF'!D65</f>
        <v>#REF!</v>
      </c>
      <c r="E65">
        <f>'DNC4 FF'!E65</f>
        <v>5</v>
      </c>
      <c r="F65">
        <f>'DNC4 FF'!F65</f>
        <v>0</v>
      </c>
      <c r="G65">
        <f>'DNC4 FF'!G65</f>
        <v>2</v>
      </c>
      <c r="H65">
        <f>'DNC4 FF'!H65</f>
        <v>2</v>
      </c>
      <c r="I65">
        <f>'DNC4 FF'!I65</f>
        <v>0</v>
      </c>
      <c r="J65">
        <f>'DNC4 FF'!J65</f>
        <v>2</v>
      </c>
      <c r="K65">
        <f>'DNC4 FF'!K65</f>
        <v>5</v>
      </c>
      <c r="L65" t="e">
        <f>'DNC4 FF'!L65</f>
        <v>#REF!</v>
      </c>
      <c r="N65">
        <f>'# Out FF'!A65</f>
        <v>62</v>
      </c>
      <c r="O65">
        <f>'# Out FF'!B65</f>
        <v>785</v>
      </c>
      <c r="P65">
        <f>'# Out FF'!C65</f>
        <v>800</v>
      </c>
      <c r="Q65">
        <f>'# Out FF'!D65</f>
        <v>1000</v>
      </c>
      <c r="R65">
        <f>'# Out FF'!E65</f>
        <v>681</v>
      </c>
      <c r="S65">
        <f>'# Out FF'!F65</f>
        <v>786</v>
      </c>
      <c r="T65">
        <f>'# Out FF'!G65</f>
        <v>796</v>
      </c>
      <c r="U65">
        <f>'# Out FF'!H65</f>
        <v>774</v>
      </c>
      <c r="V65">
        <f>'# Out FF'!I65</f>
        <v>792</v>
      </c>
      <c r="W65">
        <f>'# Out FF'!J65</f>
        <v>808</v>
      </c>
      <c r="X65">
        <f>'# Out FF'!K65</f>
        <v>798</v>
      </c>
      <c r="Y65">
        <f>'# Out FF'!L65</f>
        <v>802</v>
      </c>
      <c r="AB65">
        <v>1</v>
      </c>
      <c r="AC65">
        <v>803</v>
      </c>
      <c r="AF65" s="2">
        <f t="shared" si="0"/>
        <v>1E-3</v>
      </c>
      <c r="AG65">
        <f t="shared" si="1"/>
        <v>0.80300000000000005</v>
      </c>
      <c r="AH65">
        <f t="shared" si="2"/>
        <v>0.85584084273568095</v>
      </c>
      <c r="AI65">
        <f t="shared" si="3"/>
        <v>-5.2840842735680904E-2</v>
      </c>
    </row>
    <row r="66" spans="1:35" x14ac:dyDescent="0.35">
      <c r="A66">
        <f>'DNC4 FF'!A66</f>
        <v>63</v>
      </c>
      <c r="B66">
        <f>'DNC4 FF'!B66</f>
        <v>6</v>
      </c>
      <c r="C66">
        <f>'DNC4 FF'!C66</f>
        <v>0</v>
      </c>
      <c r="D66" t="e">
        <f>'DNC4 FF'!D66</f>
        <v>#REF!</v>
      </c>
      <c r="E66">
        <f>'DNC4 FF'!E66</f>
        <v>5</v>
      </c>
      <c r="F66">
        <f>'DNC4 FF'!F66</f>
        <v>2</v>
      </c>
      <c r="G66">
        <f>'DNC4 FF'!G66</f>
        <v>2</v>
      </c>
      <c r="H66">
        <f>'DNC4 FF'!H66</f>
        <v>1</v>
      </c>
      <c r="I66">
        <f>'DNC4 FF'!I66</f>
        <v>0</v>
      </c>
      <c r="J66">
        <f>'DNC4 FF'!J66</f>
        <v>2</v>
      </c>
      <c r="K66">
        <f>'DNC4 FF'!K66</f>
        <v>4</v>
      </c>
      <c r="L66" t="e">
        <f>'DNC4 FF'!L66</f>
        <v>#REF!</v>
      </c>
      <c r="N66">
        <f>'# Out FF'!A66</f>
        <v>63</v>
      </c>
      <c r="O66">
        <f>'# Out FF'!B66</f>
        <v>803</v>
      </c>
      <c r="P66">
        <f>'# Out FF'!C66</f>
        <v>807</v>
      </c>
      <c r="Q66">
        <f>'# Out FF'!D66</f>
        <v>1000</v>
      </c>
      <c r="R66">
        <f>'# Out FF'!E66</f>
        <v>519</v>
      </c>
      <c r="S66">
        <f>'# Out FF'!F66</f>
        <v>992</v>
      </c>
      <c r="T66">
        <f>'# Out FF'!G66</f>
        <v>793</v>
      </c>
      <c r="U66">
        <f>'# Out FF'!H66</f>
        <v>769</v>
      </c>
      <c r="V66">
        <f>'# Out FF'!I66</f>
        <v>994</v>
      </c>
      <c r="W66">
        <f>'# Out FF'!J66</f>
        <v>781</v>
      </c>
      <c r="X66">
        <f>'# Out FF'!K66</f>
        <v>555</v>
      </c>
      <c r="Y66">
        <f>'# Out FF'!L66</f>
        <v>801.3</v>
      </c>
      <c r="AB66">
        <v>6</v>
      </c>
      <c r="AC66">
        <v>716</v>
      </c>
      <c r="AF66" s="2">
        <f t="shared" si="0"/>
        <v>6.0000000000000001E-3</v>
      </c>
      <c r="AG66">
        <f t="shared" si="1"/>
        <v>0.71599999999999997</v>
      </c>
      <c r="AH66">
        <f t="shared" si="2"/>
        <v>0.69979289534261269</v>
      </c>
      <c r="AI66">
        <f t="shared" si="3"/>
        <v>1.6207104657387283E-2</v>
      </c>
    </row>
    <row r="67" spans="1:35" x14ac:dyDescent="0.35">
      <c r="A67">
        <f>'DNC4 FF'!A67</f>
        <v>64</v>
      </c>
      <c r="B67">
        <f>'DNC4 FF'!B67</f>
        <v>2</v>
      </c>
      <c r="C67">
        <f>'DNC4 FF'!C67</f>
        <v>0</v>
      </c>
      <c r="D67" t="e">
        <f>'DNC4 FF'!D67</f>
        <v>#REF!</v>
      </c>
      <c r="E67">
        <f>'DNC4 FF'!E67</f>
        <v>1</v>
      </c>
      <c r="F67">
        <f>'DNC4 FF'!F67</f>
        <v>0</v>
      </c>
      <c r="G67">
        <f>'DNC4 FF'!G67</f>
        <v>4</v>
      </c>
      <c r="H67">
        <f>'DNC4 FF'!H67</f>
        <v>2</v>
      </c>
      <c r="I67">
        <f>'DNC4 FF'!I67</f>
        <v>0</v>
      </c>
      <c r="J67">
        <f>'DNC4 FF'!J67</f>
        <v>1</v>
      </c>
      <c r="K67">
        <f>'DNC4 FF'!K67</f>
        <v>5</v>
      </c>
      <c r="L67" t="e">
        <f>'DNC4 FF'!L67</f>
        <v>#REF!</v>
      </c>
      <c r="N67">
        <f>'# Out FF'!A67</f>
        <v>64</v>
      </c>
      <c r="O67">
        <f>'# Out FF'!B67</f>
        <v>716</v>
      </c>
      <c r="P67">
        <f>'# Out FF'!C67</f>
        <v>994</v>
      </c>
      <c r="Q67">
        <f>'# Out FF'!D67</f>
        <v>1000</v>
      </c>
      <c r="R67">
        <f>'# Out FF'!E67</f>
        <v>531</v>
      </c>
      <c r="S67">
        <f>'# Out FF'!F67</f>
        <v>789</v>
      </c>
      <c r="T67">
        <f>'# Out FF'!G67</f>
        <v>787</v>
      </c>
      <c r="U67">
        <f>'# Out FF'!H67</f>
        <v>806</v>
      </c>
      <c r="V67">
        <f>'# Out FF'!I67</f>
        <v>998</v>
      </c>
      <c r="W67">
        <f>'# Out FF'!J67</f>
        <v>787</v>
      </c>
      <c r="X67">
        <f>'# Out FF'!K67</f>
        <v>802</v>
      </c>
      <c r="Y67">
        <f>'# Out FF'!L67</f>
        <v>821</v>
      </c>
      <c r="AB67">
        <v>2</v>
      </c>
      <c r="AC67">
        <v>767</v>
      </c>
      <c r="AF67" s="2">
        <f t="shared" si="0"/>
        <v>2E-3</v>
      </c>
      <c r="AG67">
        <f t="shared" si="1"/>
        <v>0.76700000000000002</v>
      </c>
      <c r="AH67">
        <f t="shared" si="2"/>
        <v>0.82206907754716119</v>
      </c>
      <c r="AI67">
        <f t="shared" si="3"/>
        <v>-5.5069077547161172E-2</v>
      </c>
    </row>
    <row r="68" spans="1:35" x14ac:dyDescent="0.35">
      <c r="A68">
        <f>'DNC4 FF'!A68</f>
        <v>65</v>
      </c>
      <c r="B68">
        <f>'DNC4 FF'!B68</f>
        <v>2</v>
      </c>
      <c r="C68">
        <f>'DNC4 FF'!C68</f>
        <v>0</v>
      </c>
      <c r="D68" t="e">
        <f>'DNC4 FF'!D68</f>
        <v>#REF!</v>
      </c>
      <c r="E68">
        <f>'DNC4 FF'!E68</f>
        <v>2</v>
      </c>
      <c r="F68">
        <f>'DNC4 FF'!F68</f>
        <v>0</v>
      </c>
      <c r="G68">
        <f>'DNC4 FF'!G68</f>
        <v>4</v>
      </c>
      <c r="H68">
        <f>'DNC4 FF'!H68</f>
        <v>1</v>
      </c>
      <c r="I68">
        <f>'DNC4 FF'!I68</f>
        <v>0</v>
      </c>
      <c r="J68">
        <f>'DNC4 FF'!J68</f>
        <v>2</v>
      </c>
      <c r="K68">
        <f>'DNC4 FF'!K68</f>
        <v>4</v>
      </c>
      <c r="L68" t="e">
        <f>'DNC4 FF'!L68</f>
        <v>#REF!</v>
      </c>
      <c r="N68">
        <f>'# Out FF'!A68</f>
        <v>65</v>
      </c>
      <c r="O68">
        <f>'# Out FF'!B68</f>
        <v>767</v>
      </c>
      <c r="P68">
        <f>'# Out FF'!C68</f>
        <v>998</v>
      </c>
      <c r="Q68">
        <f>'# Out FF'!D68</f>
        <v>1000</v>
      </c>
      <c r="R68">
        <f>'# Out FF'!E68</f>
        <v>785</v>
      </c>
      <c r="S68">
        <f>'# Out FF'!F68</f>
        <v>995</v>
      </c>
      <c r="T68">
        <f>'# Out FF'!G68</f>
        <v>802</v>
      </c>
      <c r="U68">
        <f>'# Out FF'!H68</f>
        <v>774</v>
      </c>
      <c r="V68">
        <f>'# Out FF'!I68</f>
        <v>998</v>
      </c>
      <c r="W68">
        <f>'# Out FF'!J68</f>
        <v>780</v>
      </c>
      <c r="X68">
        <f>'# Out FF'!K68</f>
        <v>552</v>
      </c>
      <c r="Y68">
        <f>'# Out FF'!L68</f>
        <v>845.1</v>
      </c>
      <c r="AB68">
        <v>2</v>
      </c>
      <c r="AC68">
        <v>786</v>
      </c>
      <c r="AF68" s="2">
        <f t="shared" ref="AF68:AF131" si="4">AB68/1000</f>
        <v>2E-3</v>
      </c>
      <c r="AG68">
        <f t="shared" ref="AG68:AG131" si="5">AC68/1000</f>
        <v>0.78600000000000003</v>
      </c>
      <c r="AH68">
        <f t="shared" ref="AH68:AH131" si="6">0.891*EXP(-40.26*AF68)</f>
        <v>0.82206907754716119</v>
      </c>
      <c r="AI68">
        <f t="shared" ref="AI68:AI131" si="7">AG68-AH68</f>
        <v>-3.6069077547161155E-2</v>
      </c>
    </row>
    <row r="69" spans="1:35" x14ac:dyDescent="0.35">
      <c r="A69">
        <f>'DNC4 FF'!A69</f>
        <v>66</v>
      </c>
      <c r="B69">
        <f>'DNC4 FF'!B69</f>
        <v>2</v>
      </c>
      <c r="C69">
        <f>'DNC4 FF'!C69</f>
        <v>0</v>
      </c>
      <c r="D69" t="e">
        <f>'DNC4 FF'!D69</f>
        <v>#REF!</v>
      </c>
      <c r="E69">
        <f>'DNC4 FF'!E69</f>
        <v>0</v>
      </c>
      <c r="F69">
        <f>'DNC4 FF'!F69</f>
        <v>5</v>
      </c>
      <c r="G69">
        <f>'DNC4 FF'!G69</f>
        <v>3</v>
      </c>
      <c r="H69">
        <f>'DNC4 FF'!H69</f>
        <v>1</v>
      </c>
      <c r="I69">
        <f>'DNC4 FF'!I69</f>
        <v>0</v>
      </c>
      <c r="J69">
        <f>'DNC4 FF'!J69</f>
        <v>1</v>
      </c>
      <c r="K69">
        <f>'DNC4 FF'!K69</f>
        <v>4</v>
      </c>
      <c r="L69" t="e">
        <f>'DNC4 FF'!L69</f>
        <v>#REF!</v>
      </c>
      <c r="N69">
        <f>'# Out FF'!A69</f>
        <v>66</v>
      </c>
      <c r="O69">
        <f>'# Out FF'!B69</f>
        <v>786</v>
      </c>
      <c r="P69">
        <f>'# Out FF'!C69</f>
        <v>998</v>
      </c>
      <c r="Q69">
        <f>'# Out FF'!D69</f>
        <v>1000</v>
      </c>
      <c r="R69">
        <f>'# Out FF'!E69</f>
        <v>783</v>
      </c>
      <c r="S69">
        <f>'# Out FF'!F69</f>
        <v>995</v>
      </c>
      <c r="T69">
        <f>'# Out FF'!G69</f>
        <v>804</v>
      </c>
      <c r="U69">
        <f>'# Out FF'!H69</f>
        <v>816</v>
      </c>
      <c r="V69">
        <f>'# Out FF'!I69</f>
        <v>999</v>
      </c>
      <c r="W69">
        <f>'# Out FF'!J69</f>
        <v>785</v>
      </c>
      <c r="X69">
        <f>'# Out FF'!K69</f>
        <v>790</v>
      </c>
      <c r="Y69">
        <f>'# Out FF'!L69</f>
        <v>875.6</v>
      </c>
      <c r="AB69">
        <v>2</v>
      </c>
      <c r="AC69">
        <v>777</v>
      </c>
      <c r="AF69" s="2">
        <f t="shared" si="4"/>
        <v>2E-3</v>
      </c>
      <c r="AG69">
        <f t="shared" si="5"/>
        <v>0.77700000000000002</v>
      </c>
      <c r="AH69">
        <f t="shared" si="6"/>
        <v>0.82206907754716119</v>
      </c>
      <c r="AI69">
        <f t="shared" si="7"/>
        <v>-4.5069077547161163E-2</v>
      </c>
    </row>
    <row r="70" spans="1:35" x14ac:dyDescent="0.35">
      <c r="A70">
        <f>'DNC4 FF'!A70</f>
        <v>67</v>
      </c>
      <c r="B70">
        <f>'DNC4 FF'!B70</f>
        <v>3</v>
      </c>
      <c r="C70">
        <f>'DNC4 FF'!C70</f>
        <v>1</v>
      </c>
      <c r="D70" t="e">
        <f>'DNC4 FF'!D70</f>
        <v>#REF!</v>
      </c>
      <c r="E70">
        <f>'DNC4 FF'!E70</f>
        <v>1</v>
      </c>
      <c r="F70">
        <f>'DNC4 FF'!F70</f>
        <v>2</v>
      </c>
      <c r="G70">
        <f>'DNC4 FF'!G70</f>
        <v>2</v>
      </c>
      <c r="H70">
        <f>'DNC4 FF'!H70</f>
        <v>2</v>
      </c>
      <c r="I70">
        <f>'DNC4 FF'!I70</f>
        <v>2</v>
      </c>
      <c r="J70">
        <f>'DNC4 FF'!J70</f>
        <v>0</v>
      </c>
      <c r="K70">
        <f>'DNC4 FF'!K70</f>
        <v>3</v>
      </c>
      <c r="L70" t="e">
        <f>'DNC4 FF'!L70</f>
        <v>#REF!</v>
      </c>
      <c r="N70">
        <f>'# Out FF'!A70</f>
        <v>67</v>
      </c>
      <c r="O70">
        <f>'# Out FF'!B70</f>
        <v>777</v>
      </c>
      <c r="P70">
        <f>'# Out FF'!C70</f>
        <v>996</v>
      </c>
      <c r="Q70">
        <f>'# Out FF'!D70</f>
        <v>1000</v>
      </c>
      <c r="R70">
        <f>'# Out FF'!E70</f>
        <v>997</v>
      </c>
      <c r="S70">
        <f>'# Out FF'!F70</f>
        <v>545</v>
      </c>
      <c r="T70">
        <f>'# Out FF'!G70</f>
        <v>775</v>
      </c>
      <c r="U70">
        <f>'# Out FF'!H70</f>
        <v>800</v>
      </c>
      <c r="V70">
        <f>'# Out FF'!I70</f>
        <v>997</v>
      </c>
      <c r="W70">
        <f>'# Out FF'!J70</f>
        <v>786</v>
      </c>
      <c r="X70">
        <f>'# Out FF'!K70</f>
        <v>800</v>
      </c>
      <c r="Y70">
        <f>'# Out FF'!L70</f>
        <v>847.3</v>
      </c>
      <c r="AB70">
        <v>3</v>
      </c>
      <c r="AC70">
        <v>757</v>
      </c>
      <c r="AF70" s="2">
        <f t="shared" si="4"/>
        <v>3.0000000000000001E-3</v>
      </c>
      <c r="AG70">
        <f t="shared" si="5"/>
        <v>0.75700000000000001</v>
      </c>
      <c r="AH70">
        <f t="shared" si="6"/>
        <v>0.78962995748025411</v>
      </c>
      <c r="AI70">
        <f t="shared" si="7"/>
        <v>-3.2629957480254101E-2</v>
      </c>
    </row>
    <row r="71" spans="1:35" x14ac:dyDescent="0.35">
      <c r="A71">
        <f>'DNC4 FF'!A71</f>
        <v>68</v>
      </c>
      <c r="B71">
        <f>'DNC4 FF'!B71</f>
        <v>5</v>
      </c>
      <c r="C71">
        <f>'DNC4 FF'!C71</f>
        <v>3</v>
      </c>
      <c r="D71" t="e">
        <f>'DNC4 FF'!D71</f>
        <v>#REF!</v>
      </c>
      <c r="E71">
        <f>'DNC4 FF'!E71</f>
        <v>1</v>
      </c>
      <c r="F71">
        <f>'DNC4 FF'!F71</f>
        <v>2</v>
      </c>
      <c r="G71">
        <f>'DNC4 FF'!G71</f>
        <v>5</v>
      </c>
      <c r="H71">
        <f>'DNC4 FF'!H71</f>
        <v>2</v>
      </c>
      <c r="I71">
        <f>'DNC4 FF'!I71</f>
        <v>0</v>
      </c>
      <c r="J71">
        <f>'DNC4 FF'!J71</f>
        <v>0</v>
      </c>
      <c r="K71">
        <f>'DNC4 FF'!K71</f>
        <v>2</v>
      </c>
      <c r="L71" t="e">
        <f>'DNC4 FF'!L71</f>
        <v>#REF!</v>
      </c>
      <c r="N71">
        <f>'# Out FF'!A71</f>
        <v>68</v>
      </c>
      <c r="O71">
        <f>'# Out FF'!B71</f>
        <v>757</v>
      </c>
      <c r="P71">
        <f>'# Out FF'!C71</f>
        <v>802</v>
      </c>
      <c r="Q71">
        <f>'# Out FF'!D71</f>
        <v>1000</v>
      </c>
      <c r="R71">
        <f>'# Out FF'!E71</f>
        <v>798</v>
      </c>
      <c r="S71">
        <f>'# Out FF'!F71</f>
        <v>776</v>
      </c>
      <c r="T71">
        <f>'# Out FF'!G71</f>
        <v>782</v>
      </c>
      <c r="U71">
        <f>'# Out FF'!H71</f>
        <v>782</v>
      </c>
      <c r="V71">
        <f>'# Out FF'!I71</f>
        <v>783</v>
      </c>
      <c r="W71">
        <f>'# Out FF'!J71</f>
        <v>994</v>
      </c>
      <c r="X71">
        <f>'# Out FF'!K71</f>
        <v>749</v>
      </c>
      <c r="Y71">
        <f>'# Out FF'!L71</f>
        <v>822.3</v>
      </c>
      <c r="AB71">
        <v>5</v>
      </c>
      <c r="AC71">
        <v>567</v>
      </c>
      <c r="AF71" s="2">
        <f t="shared" si="4"/>
        <v>5.0000000000000001E-3</v>
      </c>
      <c r="AG71">
        <f t="shared" si="5"/>
        <v>0.56699999999999995</v>
      </c>
      <c r="AH71">
        <f t="shared" si="6"/>
        <v>0.72854138131245416</v>
      </c>
      <c r="AI71">
        <f t="shared" si="7"/>
        <v>-0.16154138131245421</v>
      </c>
    </row>
    <row r="72" spans="1:35" x14ac:dyDescent="0.35">
      <c r="A72">
        <f>'DNC4 FF'!A72</f>
        <v>69</v>
      </c>
      <c r="B72">
        <f>'DNC4 FF'!B72</f>
        <v>4</v>
      </c>
      <c r="C72">
        <f>'DNC4 FF'!C72</f>
        <v>3</v>
      </c>
      <c r="D72" t="e">
        <f>'DNC4 FF'!D72</f>
        <v>#REF!</v>
      </c>
      <c r="E72">
        <f>'DNC4 FF'!E72</f>
        <v>0</v>
      </c>
      <c r="F72">
        <f>'DNC4 FF'!F72</f>
        <v>7</v>
      </c>
      <c r="G72">
        <f>'DNC4 FF'!G72</f>
        <v>4</v>
      </c>
      <c r="H72">
        <f>'DNC4 FF'!H72</f>
        <v>3</v>
      </c>
      <c r="I72">
        <f>'DNC4 FF'!I72</f>
        <v>1</v>
      </c>
      <c r="J72">
        <f>'DNC4 FF'!J72</f>
        <v>0</v>
      </c>
      <c r="K72">
        <f>'DNC4 FF'!K72</f>
        <v>2</v>
      </c>
      <c r="L72" t="e">
        <f>'DNC4 FF'!L72</f>
        <v>#REF!</v>
      </c>
      <c r="N72">
        <f>'# Out FF'!A72</f>
        <v>69</v>
      </c>
      <c r="O72">
        <f>'# Out FF'!B72</f>
        <v>567</v>
      </c>
      <c r="P72">
        <f>'# Out FF'!C72</f>
        <v>770</v>
      </c>
      <c r="Q72">
        <f>'# Out FF'!D72</f>
        <v>1000</v>
      </c>
      <c r="R72">
        <f>'# Out FF'!E72</f>
        <v>790</v>
      </c>
      <c r="S72">
        <f>'# Out FF'!F72</f>
        <v>776</v>
      </c>
      <c r="T72">
        <f>'# Out FF'!G72</f>
        <v>542</v>
      </c>
      <c r="U72">
        <f>'# Out FF'!H72</f>
        <v>772</v>
      </c>
      <c r="V72">
        <f>'# Out FF'!I72</f>
        <v>996</v>
      </c>
      <c r="W72">
        <f>'# Out FF'!J72</f>
        <v>997</v>
      </c>
      <c r="X72">
        <f>'# Out FF'!K72</f>
        <v>781</v>
      </c>
      <c r="Y72">
        <f>'# Out FF'!L72</f>
        <v>799.1</v>
      </c>
      <c r="AB72">
        <v>4</v>
      </c>
      <c r="AC72">
        <v>789</v>
      </c>
      <c r="AF72" s="2">
        <f t="shared" si="4"/>
        <v>4.0000000000000001E-3</v>
      </c>
      <c r="AG72">
        <f t="shared" si="5"/>
        <v>0.78900000000000003</v>
      </c>
      <c r="AH72">
        <f t="shared" si="6"/>
        <v>0.75847089591385031</v>
      </c>
      <c r="AI72">
        <f t="shared" si="7"/>
        <v>3.0529104086149728E-2</v>
      </c>
    </row>
    <row r="73" spans="1:35" x14ac:dyDescent="0.35">
      <c r="A73">
        <f>'DNC4 FF'!A73</f>
        <v>70</v>
      </c>
      <c r="B73">
        <f>'DNC4 FF'!B73</f>
        <v>1</v>
      </c>
      <c r="C73">
        <f>'DNC4 FF'!C73</f>
        <v>1</v>
      </c>
      <c r="D73" t="e">
        <f>'DNC4 FF'!D73</f>
        <v>#REF!</v>
      </c>
      <c r="E73">
        <f>'DNC4 FF'!E73</f>
        <v>1</v>
      </c>
      <c r="F73">
        <f>'DNC4 FF'!F73</f>
        <v>1</v>
      </c>
      <c r="G73">
        <f>'DNC4 FF'!G73</f>
        <v>5</v>
      </c>
      <c r="H73">
        <f>'DNC4 FF'!H73</f>
        <v>1</v>
      </c>
      <c r="I73">
        <f>'DNC4 FF'!I73</f>
        <v>2</v>
      </c>
      <c r="J73">
        <f>'DNC4 FF'!J73</f>
        <v>0</v>
      </c>
      <c r="K73">
        <f>'DNC4 FF'!K73</f>
        <v>3</v>
      </c>
      <c r="L73" t="e">
        <f>'DNC4 FF'!L73</f>
        <v>#REF!</v>
      </c>
      <c r="N73">
        <f>'# Out FF'!A73</f>
        <v>70</v>
      </c>
      <c r="O73">
        <f>'# Out FF'!B73</f>
        <v>789</v>
      </c>
      <c r="P73">
        <f>'# Out FF'!C73</f>
        <v>775</v>
      </c>
      <c r="Q73">
        <f>'# Out FF'!D73</f>
        <v>1000</v>
      </c>
      <c r="R73">
        <f>'# Out FF'!E73</f>
        <v>998</v>
      </c>
      <c r="S73">
        <f>'# Out FF'!F73</f>
        <v>778</v>
      </c>
      <c r="T73">
        <f>'# Out FF'!G73</f>
        <v>803</v>
      </c>
      <c r="U73">
        <f>'# Out FF'!H73</f>
        <v>741</v>
      </c>
      <c r="V73">
        <f>'# Out FF'!I73</f>
        <v>794</v>
      </c>
      <c r="W73">
        <f>'# Out FF'!J73</f>
        <v>998</v>
      </c>
      <c r="X73">
        <f>'# Out FF'!K73</f>
        <v>790</v>
      </c>
      <c r="Y73">
        <f>'# Out FF'!L73</f>
        <v>846.6</v>
      </c>
      <c r="AB73">
        <v>1</v>
      </c>
      <c r="AC73">
        <v>803</v>
      </c>
      <c r="AF73" s="2">
        <f t="shared" si="4"/>
        <v>1E-3</v>
      </c>
      <c r="AG73">
        <f t="shared" si="5"/>
        <v>0.80300000000000005</v>
      </c>
      <c r="AH73">
        <f t="shared" si="6"/>
        <v>0.85584084273568095</v>
      </c>
      <c r="AI73">
        <f t="shared" si="7"/>
        <v>-5.2840842735680904E-2</v>
      </c>
    </row>
    <row r="74" spans="1:35" x14ac:dyDescent="0.35">
      <c r="A74">
        <f>'DNC4 FF'!A74</f>
        <v>71</v>
      </c>
      <c r="B74">
        <f>'DNC4 FF'!B74</f>
        <v>2</v>
      </c>
      <c r="C74">
        <f>'DNC4 FF'!C74</f>
        <v>1</v>
      </c>
      <c r="D74" t="e">
        <f>'DNC4 FF'!D74</f>
        <v>#REF!</v>
      </c>
      <c r="E74">
        <f>'DNC4 FF'!E74</f>
        <v>1</v>
      </c>
      <c r="F74">
        <f>'DNC4 FF'!F74</f>
        <v>1</v>
      </c>
      <c r="G74">
        <f>'DNC4 FF'!G74</f>
        <v>5</v>
      </c>
      <c r="H74">
        <f>'DNC4 FF'!H74</f>
        <v>0</v>
      </c>
      <c r="I74">
        <f>'DNC4 FF'!I74</f>
        <v>1</v>
      </c>
      <c r="J74">
        <f>'DNC4 FF'!J74</f>
        <v>3</v>
      </c>
      <c r="K74">
        <f>'DNC4 FF'!K74</f>
        <v>0</v>
      </c>
      <c r="L74" t="e">
        <f>'DNC4 FF'!L74</f>
        <v>#REF!</v>
      </c>
      <c r="N74">
        <f>'# Out FF'!A74</f>
        <v>71</v>
      </c>
      <c r="O74">
        <f>'# Out FF'!B74</f>
        <v>803</v>
      </c>
      <c r="P74">
        <f>'# Out FF'!C74</f>
        <v>805</v>
      </c>
      <c r="Q74">
        <f>'# Out FF'!D74</f>
        <v>1000</v>
      </c>
      <c r="R74">
        <f>'# Out FF'!E74</f>
        <v>803</v>
      </c>
      <c r="S74">
        <f>'# Out FF'!F74</f>
        <v>779</v>
      </c>
      <c r="T74">
        <f>'# Out FF'!G74</f>
        <v>549</v>
      </c>
      <c r="U74">
        <f>'# Out FF'!H74</f>
        <v>800</v>
      </c>
      <c r="V74">
        <f>'# Out FF'!I74</f>
        <v>788</v>
      </c>
      <c r="W74">
        <f>'# Out FF'!J74</f>
        <v>998</v>
      </c>
      <c r="X74">
        <f>'# Out FF'!K74</f>
        <v>771</v>
      </c>
      <c r="Y74">
        <f>'# Out FF'!L74</f>
        <v>809.6</v>
      </c>
      <c r="AB74">
        <v>2</v>
      </c>
      <c r="AC74">
        <v>779</v>
      </c>
      <c r="AF74" s="2">
        <f t="shared" si="4"/>
        <v>2E-3</v>
      </c>
      <c r="AG74">
        <f t="shared" si="5"/>
        <v>0.77900000000000003</v>
      </c>
      <c r="AH74">
        <f t="shared" si="6"/>
        <v>0.82206907754716119</v>
      </c>
      <c r="AI74">
        <f t="shared" si="7"/>
        <v>-4.3069077547161161E-2</v>
      </c>
    </row>
    <row r="75" spans="1:35" x14ac:dyDescent="0.35">
      <c r="A75">
        <f>'DNC4 FF'!A75</f>
        <v>72</v>
      </c>
      <c r="B75">
        <f>'DNC4 FF'!B75</f>
        <v>1</v>
      </c>
      <c r="C75">
        <f>'DNC4 FF'!C75</f>
        <v>1</v>
      </c>
      <c r="D75" t="e">
        <f>'DNC4 FF'!D75</f>
        <v>#REF!</v>
      </c>
      <c r="E75">
        <f>'DNC4 FF'!E75</f>
        <v>1</v>
      </c>
      <c r="F75">
        <f>'DNC4 FF'!F75</f>
        <v>1</v>
      </c>
      <c r="G75">
        <f>'DNC4 FF'!G75</f>
        <v>2</v>
      </c>
      <c r="H75">
        <f>'DNC4 FF'!H75</f>
        <v>3</v>
      </c>
      <c r="I75">
        <f>'DNC4 FF'!I75</f>
        <v>5</v>
      </c>
      <c r="J75">
        <f>'DNC4 FF'!J75</f>
        <v>0</v>
      </c>
      <c r="K75">
        <f>'DNC4 FF'!K75</f>
        <v>2</v>
      </c>
      <c r="L75" t="e">
        <f>'DNC4 FF'!L75</f>
        <v>#REF!</v>
      </c>
      <c r="N75">
        <f>'# Out FF'!A75</f>
        <v>72</v>
      </c>
      <c r="O75">
        <f>'# Out FF'!B75</f>
        <v>779</v>
      </c>
      <c r="P75">
        <f>'# Out FF'!C75</f>
        <v>803</v>
      </c>
      <c r="Q75">
        <f>'# Out FF'!D75</f>
        <v>1000</v>
      </c>
      <c r="R75">
        <f>'# Out FF'!E75</f>
        <v>797</v>
      </c>
      <c r="S75">
        <f>'# Out FF'!F75</f>
        <v>792</v>
      </c>
      <c r="T75">
        <f>'# Out FF'!G75</f>
        <v>551</v>
      </c>
      <c r="U75">
        <f>'# Out FF'!H75</f>
        <v>993</v>
      </c>
      <c r="V75">
        <f>'# Out FF'!I75</f>
        <v>808</v>
      </c>
      <c r="W75">
        <f>'# Out FF'!J75</f>
        <v>774</v>
      </c>
      <c r="X75">
        <f>'# Out FF'!K75</f>
        <v>994</v>
      </c>
      <c r="Y75">
        <f>'# Out FF'!L75</f>
        <v>829.1</v>
      </c>
      <c r="AB75">
        <v>1</v>
      </c>
      <c r="AC75">
        <v>812</v>
      </c>
      <c r="AF75" s="2">
        <f t="shared" si="4"/>
        <v>1E-3</v>
      </c>
      <c r="AG75">
        <f t="shared" si="5"/>
        <v>0.81200000000000006</v>
      </c>
      <c r="AH75">
        <f t="shared" si="6"/>
        <v>0.85584084273568095</v>
      </c>
      <c r="AI75">
        <f t="shared" si="7"/>
        <v>-4.3840842735680896E-2</v>
      </c>
    </row>
    <row r="76" spans="1:35" x14ac:dyDescent="0.35">
      <c r="A76">
        <f>'DNC4 FF'!A76</f>
        <v>73</v>
      </c>
      <c r="B76">
        <f>'DNC4 FF'!B76</f>
        <v>0</v>
      </c>
      <c r="C76">
        <f>'DNC4 FF'!C76</f>
        <v>0</v>
      </c>
      <c r="D76" t="e">
        <f>'DNC4 FF'!D76</f>
        <v>#REF!</v>
      </c>
      <c r="E76">
        <f>'DNC4 FF'!E76</f>
        <v>1</v>
      </c>
      <c r="F76">
        <f>'DNC4 FF'!F76</f>
        <v>0</v>
      </c>
      <c r="G76">
        <f>'DNC4 FF'!G76</f>
        <v>0</v>
      </c>
      <c r="H76">
        <f>'DNC4 FF'!H76</f>
        <v>2</v>
      </c>
      <c r="I76">
        <f>'DNC4 FF'!I76</f>
        <v>2</v>
      </c>
      <c r="J76">
        <f>'DNC4 FF'!J76</f>
        <v>0</v>
      </c>
      <c r="K76">
        <f>'DNC4 FF'!K76</f>
        <v>0</v>
      </c>
      <c r="L76" t="e">
        <f>'DNC4 FF'!L76</f>
        <v>#REF!</v>
      </c>
      <c r="N76">
        <f>'# Out FF'!A76</f>
        <v>73</v>
      </c>
      <c r="O76">
        <f>'# Out FF'!B76</f>
        <v>812</v>
      </c>
      <c r="P76">
        <f>'# Out FF'!C76</f>
        <v>809</v>
      </c>
      <c r="Q76">
        <f>'# Out FF'!D76</f>
        <v>1000</v>
      </c>
      <c r="R76">
        <f>'# Out FF'!E76</f>
        <v>807</v>
      </c>
      <c r="S76">
        <f>'# Out FF'!F76</f>
        <v>796</v>
      </c>
      <c r="T76">
        <f>'# Out FF'!G76</f>
        <v>789</v>
      </c>
      <c r="U76">
        <f>'# Out FF'!H76</f>
        <v>741</v>
      </c>
      <c r="V76">
        <f>'# Out FF'!I76</f>
        <v>537</v>
      </c>
      <c r="W76">
        <f>'# Out FF'!J76</f>
        <v>994</v>
      </c>
      <c r="X76">
        <f>'# Out FF'!K76</f>
        <v>786</v>
      </c>
      <c r="Y76">
        <f>'# Out FF'!L76</f>
        <v>807.1</v>
      </c>
      <c r="AB76">
        <v>0</v>
      </c>
      <c r="AC76">
        <v>995</v>
      </c>
      <c r="AF76" s="2">
        <f t="shared" si="4"/>
        <v>0</v>
      </c>
      <c r="AG76">
        <f t="shared" si="5"/>
        <v>0.995</v>
      </c>
      <c r="AH76">
        <f t="shared" si="6"/>
        <v>0.89100000000000001</v>
      </c>
      <c r="AI76">
        <f t="shared" si="7"/>
        <v>0.10399999999999998</v>
      </c>
    </row>
    <row r="77" spans="1:35" x14ac:dyDescent="0.35">
      <c r="A77">
        <f>'DNC4 FF'!A77</f>
        <v>74</v>
      </c>
      <c r="B77">
        <f>'DNC4 FF'!B77</f>
        <v>0</v>
      </c>
      <c r="C77">
        <f>'DNC4 FF'!C77</f>
        <v>0</v>
      </c>
      <c r="D77" t="e">
        <f>'DNC4 FF'!D77</f>
        <v>#REF!</v>
      </c>
      <c r="E77">
        <f>'DNC4 FF'!E77</f>
        <v>0</v>
      </c>
      <c r="F77">
        <f>'DNC4 FF'!F77</f>
        <v>2</v>
      </c>
      <c r="G77">
        <f>'DNC4 FF'!G77</f>
        <v>1</v>
      </c>
      <c r="H77">
        <f>'DNC4 FF'!H77</f>
        <v>2</v>
      </c>
      <c r="I77">
        <f>'DNC4 FF'!I77</f>
        <v>0</v>
      </c>
      <c r="J77">
        <f>'DNC4 FF'!J77</f>
        <v>1</v>
      </c>
      <c r="K77">
        <f>'DNC4 FF'!K77</f>
        <v>1</v>
      </c>
      <c r="L77" t="e">
        <f>'DNC4 FF'!L77</f>
        <v>#REF!</v>
      </c>
      <c r="N77">
        <f>'# Out FF'!A77</f>
        <v>74</v>
      </c>
      <c r="O77">
        <f>'# Out FF'!B77</f>
        <v>995</v>
      </c>
      <c r="P77">
        <f>'# Out FF'!C77</f>
        <v>996</v>
      </c>
      <c r="Q77">
        <f>'# Out FF'!D77</f>
        <v>1000</v>
      </c>
      <c r="R77">
        <f>'# Out FF'!E77</f>
        <v>796</v>
      </c>
      <c r="S77">
        <f>'# Out FF'!F77</f>
        <v>997</v>
      </c>
      <c r="T77">
        <f>'# Out FF'!G77</f>
        <v>997</v>
      </c>
      <c r="U77">
        <f>'# Out FF'!H77</f>
        <v>771</v>
      </c>
      <c r="V77">
        <f>'# Out FF'!I77</f>
        <v>782</v>
      </c>
      <c r="W77">
        <f>'# Out FF'!J77</f>
        <v>993</v>
      </c>
      <c r="X77">
        <f>'# Out FF'!K77</f>
        <v>997</v>
      </c>
      <c r="Y77">
        <f>'# Out FF'!L77</f>
        <v>932.4</v>
      </c>
      <c r="AB77">
        <v>0</v>
      </c>
      <c r="AC77">
        <v>999</v>
      </c>
      <c r="AF77" s="2">
        <f t="shared" si="4"/>
        <v>0</v>
      </c>
      <c r="AG77">
        <f t="shared" si="5"/>
        <v>0.999</v>
      </c>
      <c r="AH77">
        <f t="shared" si="6"/>
        <v>0.89100000000000001</v>
      </c>
      <c r="AI77">
        <f t="shared" si="7"/>
        <v>0.10799999999999998</v>
      </c>
    </row>
    <row r="78" spans="1:35" x14ac:dyDescent="0.35">
      <c r="A78">
        <f>'DNC4 FF'!A78</f>
        <v>75</v>
      </c>
      <c r="B78">
        <f>'DNC4 FF'!B78</f>
        <v>0</v>
      </c>
      <c r="C78">
        <f>'DNC4 FF'!C78</f>
        <v>0</v>
      </c>
      <c r="D78" t="e">
        <f>'DNC4 FF'!D78</f>
        <v>#REF!</v>
      </c>
      <c r="E78">
        <f>'DNC4 FF'!E78</f>
        <v>0</v>
      </c>
      <c r="F78">
        <f>'DNC4 FF'!F78</f>
        <v>0</v>
      </c>
      <c r="G78">
        <f>'DNC4 FF'!G78</f>
        <v>1</v>
      </c>
      <c r="H78">
        <f>'DNC4 FF'!H78</f>
        <v>8</v>
      </c>
      <c r="I78">
        <f>'DNC4 FF'!I78</f>
        <v>2</v>
      </c>
      <c r="J78">
        <f>'DNC4 FF'!J78</f>
        <v>0</v>
      </c>
      <c r="K78">
        <f>'DNC4 FF'!K78</f>
        <v>2</v>
      </c>
      <c r="L78" t="e">
        <f>'DNC4 FF'!L78</f>
        <v>#REF!</v>
      </c>
      <c r="N78">
        <f>'# Out FF'!A78</f>
        <v>75</v>
      </c>
      <c r="O78">
        <f>'# Out FF'!B78</f>
        <v>999</v>
      </c>
      <c r="P78">
        <f>'# Out FF'!C78</f>
        <v>996</v>
      </c>
      <c r="Q78">
        <f>'# Out FF'!D78</f>
        <v>1000</v>
      </c>
      <c r="R78">
        <f>'# Out FF'!E78</f>
        <v>996</v>
      </c>
      <c r="S78">
        <f>'# Out FF'!F78</f>
        <v>790</v>
      </c>
      <c r="T78">
        <f>'# Out FF'!G78</f>
        <v>810</v>
      </c>
      <c r="U78">
        <f>'# Out FF'!H78</f>
        <v>774</v>
      </c>
      <c r="V78">
        <f>'# Out FF'!I78</f>
        <v>995</v>
      </c>
      <c r="W78">
        <f>'# Out FF'!J78</f>
        <v>790</v>
      </c>
      <c r="X78">
        <f>'# Out FF'!K78</f>
        <v>786</v>
      </c>
      <c r="Y78">
        <f>'# Out FF'!L78</f>
        <v>893.6</v>
      </c>
      <c r="AB78">
        <v>0</v>
      </c>
      <c r="AC78">
        <v>999</v>
      </c>
      <c r="AF78" s="2">
        <f t="shared" si="4"/>
        <v>0</v>
      </c>
      <c r="AG78">
        <f t="shared" si="5"/>
        <v>0.999</v>
      </c>
      <c r="AH78">
        <f t="shared" si="6"/>
        <v>0.89100000000000001</v>
      </c>
      <c r="AI78">
        <f t="shared" si="7"/>
        <v>0.10799999999999998</v>
      </c>
    </row>
    <row r="79" spans="1:35" x14ac:dyDescent="0.35">
      <c r="A79">
        <f>'DNC4 FF'!A79</f>
        <v>76</v>
      </c>
      <c r="B79">
        <f>'DNC4 FF'!B79</f>
        <v>0</v>
      </c>
      <c r="C79" t="e">
        <f>'DNC4 FF'!C79</f>
        <v>#REF!</v>
      </c>
      <c r="D79" t="e">
        <f>'DNC4 FF'!D79</f>
        <v>#REF!</v>
      </c>
      <c r="E79">
        <f>'DNC4 FF'!E79</f>
        <v>0</v>
      </c>
      <c r="F79">
        <f>'DNC4 FF'!F79</f>
        <v>2</v>
      </c>
      <c r="G79">
        <f>'DNC4 FF'!G79</f>
        <v>4</v>
      </c>
      <c r="H79">
        <f>'DNC4 FF'!H79</f>
        <v>0</v>
      </c>
      <c r="I79">
        <f>'DNC4 FF'!I79</f>
        <v>0</v>
      </c>
      <c r="J79">
        <f>'DNC4 FF'!J79</f>
        <v>0</v>
      </c>
      <c r="K79">
        <f>'DNC4 FF'!K79</f>
        <v>1</v>
      </c>
      <c r="L79" t="e">
        <f>'DNC4 FF'!L79</f>
        <v>#REF!</v>
      </c>
      <c r="N79">
        <f>'# Out FF'!A79</f>
        <v>76</v>
      </c>
      <c r="O79">
        <f>'# Out FF'!B79</f>
        <v>999</v>
      </c>
      <c r="P79">
        <f>'# Out FF'!C79</f>
        <v>1000</v>
      </c>
      <c r="Q79">
        <f>'# Out FF'!D79</f>
        <v>1000</v>
      </c>
      <c r="R79">
        <f>'# Out FF'!E79</f>
        <v>998</v>
      </c>
      <c r="S79">
        <f>'# Out FF'!F79</f>
        <v>995</v>
      </c>
      <c r="T79">
        <f>'# Out FF'!G79</f>
        <v>791</v>
      </c>
      <c r="U79">
        <f>'# Out FF'!H79</f>
        <v>697</v>
      </c>
      <c r="V79">
        <f>'# Out FF'!I79</f>
        <v>788</v>
      </c>
      <c r="W79">
        <f>'# Out FF'!J79</f>
        <v>994</v>
      </c>
      <c r="X79">
        <f>'# Out FF'!K79</f>
        <v>794</v>
      </c>
      <c r="Y79">
        <f>'# Out FF'!L79</f>
        <v>905.6</v>
      </c>
      <c r="AB79" cm="1">
        <f t="array" ref="AB79:AB153">C3:C77</f>
        <v>0</v>
      </c>
      <c r="AC79" cm="1">
        <f t="array" ref="AC79:AC153">P4:P78</f>
        <v>996</v>
      </c>
      <c r="AF79" s="2">
        <f t="shared" si="4"/>
        <v>0</v>
      </c>
      <c r="AG79">
        <f t="shared" si="5"/>
        <v>0.996</v>
      </c>
      <c r="AH79">
        <f t="shared" si="6"/>
        <v>0.89100000000000001</v>
      </c>
      <c r="AI79">
        <f t="shared" si="7"/>
        <v>0.10499999999999998</v>
      </c>
    </row>
    <row r="80" spans="1:35" x14ac:dyDescent="0.35">
      <c r="A80">
        <f>'DNC4 FF'!A80</f>
        <v>77</v>
      </c>
      <c r="B80" t="e">
        <f>'DNC4 FF'!B80</f>
        <v>#REF!</v>
      </c>
      <c r="C80" t="e">
        <f>'DNC4 FF'!C80</f>
        <v>#REF!</v>
      </c>
      <c r="D80" t="e">
        <f>'DNC4 FF'!D80</f>
        <v>#REF!</v>
      </c>
      <c r="E80" t="e">
        <f>'DNC4 FF'!E80</f>
        <v>#REF!</v>
      </c>
      <c r="F80">
        <f>'DNC4 FF'!F80</f>
        <v>4</v>
      </c>
      <c r="G80">
        <f>'DNC4 FF'!G80</f>
        <v>2</v>
      </c>
      <c r="H80">
        <f>'DNC4 FF'!H80</f>
        <v>2</v>
      </c>
      <c r="I80">
        <f>'DNC4 FF'!I80</f>
        <v>2</v>
      </c>
      <c r="J80">
        <f>'DNC4 FF'!J80</f>
        <v>1</v>
      </c>
      <c r="K80">
        <f>'DNC4 FF'!K80</f>
        <v>0</v>
      </c>
      <c r="L80" t="e">
        <f>'DNC4 FF'!L80</f>
        <v>#REF!</v>
      </c>
      <c r="N80">
        <f>'# Out FF'!A80</f>
        <v>77</v>
      </c>
      <c r="O80">
        <f>'# Out FF'!B80</f>
        <v>1000</v>
      </c>
      <c r="P80">
        <f>'# Out FF'!C80</f>
        <v>1000</v>
      </c>
      <c r="Q80">
        <f>'# Out FF'!D80</f>
        <v>1000</v>
      </c>
      <c r="R80">
        <f>'# Out FF'!E80</f>
        <v>1000</v>
      </c>
      <c r="S80">
        <f>'# Out FF'!F80</f>
        <v>787</v>
      </c>
      <c r="T80">
        <f>'# Out FF'!G80</f>
        <v>803</v>
      </c>
      <c r="U80">
        <f>'# Out FF'!H80</f>
        <v>986</v>
      </c>
      <c r="V80">
        <f>'# Out FF'!I80</f>
        <v>998</v>
      </c>
      <c r="W80">
        <f>'# Out FF'!J80</f>
        <v>994</v>
      </c>
      <c r="X80">
        <f>'# Out FF'!K80</f>
        <v>788</v>
      </c>
      <c r="Y80">
        <f>'# Out FF'!L80</f>
        <v>935.6</v>
      </c>
      <c r="AB80">
        <v>0</v>
      </c>
      <c r="AC80">
        <v>996</v>
      </c>
      <c r="AF80" s="2">
        <f t="shared" si="4"/>
        <v>0</v>
      </c>
      <c r="AG80">
        <f t="shared" si="5"/>
        <v>0.996</v>
      </c>
      <c r="AH80">
        <f t="shared" si="6"/>
        <v>0.89100000000000001</v>
      </c>
      <c r="AI80">
        <f t="shared" si="7"/>
        <v>0.10499999999999998</v>
      </c>
    </row>
    <row r="81" spans="1:35" x14ac:dyDescent="0.35">
      <c r="A81">
        <f>'DNC4 FF'!A81</f>
        <v>78</v>
      </c>
      <c r="B81" t="e">
        <f>'DNC4 FF'!B81</f>
        <v>#REF!</v>
      </c>
      <c r="C81" t="e">
        <f>'DNC4 FF'!C81</f>
        <v>#REF!</v>
      </c>
      <c r="D81" t="e">
        <f>'DNC4 FF'!D81</f>
        <v>#REF!</v>
      </c>
      <c r="E81" t="e">
        <f>'DNC4 FF'!E81</f>
        <v>#REF!</v>
      </c>
      <c r="F81">
        <f>'DNC4 FF'!F81</f>
        <v>2</v>
      </c>
      <c r="G81">
        <f>'DNC4 FF'!G81</f>
        <v>2</v>
      </c>
      <c r="H81">
        <f>'DNC4 FF'!H81</f>
        <v>1</v>
      </c>
      <c r="I81">
        <f>'DNC4 FF'!I81</f>
        <v>8</v>
      </c>
      <c r="J81">
        <f>'DNC4 FF'!J81</f>
        <v>0</v>
      </c>
      <c r="K81">
        <f>'DNC4 FF'!K81</f>
        <v>2</v>
      </c>
      <c r="L81" t="e">
        <f>'DNC4 FF'!L81</f>
        <v>#REF!</v>
      </c>
      <c r="N81">
        <f>'# Out FF'!A81</f>
        <v>78</v>
      </c>
      <c r="O81">
        <f>'# Out FF'!B81</f>
        <v>1000</v>
      </c>
      <c r="P81">
        <f>'# Out FF'!C81</f>
        <v>1000</v>
      </c>
      <c r="Q81">
        <f>'# Out FF'!D81</f>
        <v>1000</v>
      </c>
      <c r="R81">
        <f>'# Out FF'!E81</f>
        <v>1000</v>
      </c>
      <c r="S81">
        <f>'# Out FF'!F81</f>
        <v>786</v>
      </c>
      <c r="T81">
        <f>'# Out FF'!G81</f>
        <v>790</v>
      </c>
      <c r="U81">
        <f>'# Out FF'!H81</f>
        <v>769</v>
      </c>
      <c r="V81">
        <f>'# Out FF'!I81</f>
        <v>776</v>
      </c>
      <c r="W81">
        <f>'# Out FF'!J81</f>
        <v>783</v>
      </c>
      <c r="X81">
        <f>'# Out FF'!K81</f>
        <v>997</v>
      </c>
      <c r="Y81">
        <f>'# Out FF'!L81</f>
        <v>890.1</v>
      </c>
      <c r="AB81">
        <v>0</v>
      </c>
      <c r="AC81">
        <v>998</v>
      </c>
      <c r="AF81" s="2">
        <f t="shared" si="4"/>
        <v>0</v>
      </c>
      <c r="AG81">
        <f t="shared" si="5"/>
        <v>0.998</v>
      </c>
      <c r="AH81">
        <f t="shared" si="6"/>
        <v>0.89100000000000001</v>
      </c>
      <c r="AI81">
        <f t="shared" si="7"/>
        <v>0.10699999999999998</v>
      </c>
    </row>
    <row r="82" spans="1:35" x14ac:dyDescent="0.35">
      <c r="A82">
        <f>'DNC4 FF'!A82</f>
        <v>79</v>
      </c>
      <c r="B82" t="e">
        <f>'DNC4 FF'!B82</f>
        <v>#REF!</v>
      </c>
      <c r="C82" t="e">
        <f>'DNC4 FF'!C82</f>
        <v>#REF!</v>
      </c>
      <c r="D82" t="e">
        <f>'DNC4 FF'!D82</f>
        <v>#REF!</v>
      </c>
      <c r="E82" t="e">
        <f>'DNC4 FF'!E82</f>
        <v>#REF!</v>
      </c>
      <c r="F82">
        <f>'DNC4 FF'!F82</f>
        <v>4</v>
      </c>
      <c r="G82">
        <f>'DNC4 FF'!G82</f>
        <v>1</v>
      </c>
      <c r="H82">
        <f>'DNC4 FF'!H82</f>
        <v>0</v>
      </c>
      <c r="I82">
        <f>'DNC4 FF'!I82</f>
        <v>3</v>
      </c>
      <c r="J82">
        <f>'DNC4 FF'!J82</f>
        <v>1</v>
      </c>
      <c r="K82">
        <f>'DNC4 FF'!K82</f>
        <v>1</v>
      </c>
      <c r="L82" t="e">
        <f>'DNC4 FF'!L82</f>
        <v>#REF!</v>
      </c>
      <c r="N82">
        <f>'# Out FF'!A82</f>
        <v>79</v>
      </c>
      <c r="O82">
        <f>'# Out FF'!B82</f>
        <v>1000</v>
      </c>
      <c r="P82">
        <f>'# Out FF'!C82</f>
        <v>1000</v>
      </c>
      <c r="Q82">
        <f>'# Out FF'!D82</f>
        <v>1000</v>
      </c>
      <c r="R82">
        <f>'# Out FF'!E82</f>
        <v>1000</v>
      </c>
      <c r="S82">
        <f>'# Out FF'!F82</f>
        <v>783</v>
      </c>
      <c r="T82">
        <f>'# Out FF'!G82</f>
        <v>796</v>
      </c>
      <c r="U82">
        <f>'# Out FF'!H82</f>
        <v>819</v>
      </c>
      <c r="V82">
        <f>'# Out FF'!I82</f>
        <v>709</v>
      </c>
      <c r="W82">
        <f>'# Out FF'!J82</f>
        <v>995</v>
      </c>
      <c r="X82">
        <f>'# Out FF'!K82</f>
        <v>794</v>
      </c>
      <c r="Y82">
        <f>'# Out FF'!L82</f>
        <v>889.6</v>
      </c>
      <c r="AB82">
        <v>2</v>
      </c>
      <c r="AC82">
        <v>796</v>
      </c>
      <c r="AF82" s="2">
        <f t="shared" si="4"/>
        <v>2E-3</v>
      </c>
      <c r="AG82">
        <f t="shared" si="5"/>
        <v>0.79600000000000004</v>
      </c>
      <c r="AH82">
        <f t="shared" si="6"/>
        <v>0.82206907754716119</v>
      </c>
      <c r="AI82">
        <f t="shared" si="7"/>
        <v>-2.6069077547161146E-2</v>
      </c>
    </row>
    <row r="83" spans="1:35" x14ac:dyDescent="0.35">
      <c r="A83">
        <f>'DNC4 FF'!A83</f>
        <v>80</v>
      </c>
      <c r="B83" t="e">
        <f>'DNC4 FF'!B83</f>
        <v>#REF!</v>
      </c>
      <c r="C83" t="e">
        <f>'DNC4 FF'!C83</f>
        <v>#REF!</v>
      </c>
      <c r="D83" t="e">
        <f>'DNC4 FF'!D83</f>
        <v>#REF!</v>
      </c>
      <c r="E83" t="e">
        <f>'DNC4 FF'!E83</f>
        <v>#REF!</v>
      </c>
      <c r="F83">
        <f>'DNC4 FF'!F83</f>
        <v>3</v>
      </c>
      <c r="G83">
        <f>'DNC4 FF'!G83</f>
        <v>3</v>
      </c>
      <c r="H83">
        <f>'DNC4 FF'!H83</f>
        <v>1</v>
      </c>
      <c r="I83">
        <f>'DNC4 FF'!I83</f>
        <v>14</v>
      </c>
      <c r="J83">
        <f>'DNC4 FF'!J83</f>
        <v>0</v>
      </c>
      <c r="K83">
        <f>'DNC4 FF'!K83</f>
        <v>2</v>
      </c>
      <c r="L83" t="e">
        <f>'DNC4 FF'!L83</f>
        <v>#REF!</v>
      </c>
      <c r="N83">
        <f>'# Out FF'!A83</f>
        <v>80</v>
      </c>
      <c r="O83">
        <f>'# Out FF'!B83</f>
        <v>1000</v>
      </c>
      <c r="P83">
        <f>'# Out FF'!C83</f>
        <v>1000</v>
      </c>
      <c r="Q83">
        <f>'# Out FF'!D83</f>
        <v>1000</v>
      </c>
      <c r="R83">
        <f>'# Out FF'!E83</f>
        <v>1000</v>
      </c>
      <c r="S83">
        <f>'# Out FF'!F83</f>
        <v>785</v>
      </c>
      <c r="T83">
        <f>'# Out FF'!G83</f>
        <v>786</v>
      </c>
      <c r="U83">
        <f>'# Out FF'!H83</f>
        <v>995</v>
      </c>
      <c r="V83">
        <f>'# Out FF'!I83</f>
        <v>761</v>
      </c>
      <c r="W83">
        <f>'# Out FF'!J83</f>
        <v>792</v>
      </c>
      <c r="X83">
        <f>'# Out FF'!K83</f>
        <v>798</v>
      </c>
      <c r="Y83">
        <f>'# Out FF'!L83</f>
        <v>891.7</v>
      </c>
      <c r="AB83">
        <v>1</v>
      </c>
      <c r="AC83">
        <v>807</v>
      </c>
      <c r="AF83" s="2">
        <f t="shared" si="4"/>
        <v>1E-3</v>
      </c>
      <c r="AG83">
        <f t="shared" si="5"/>
        <v>0.80700000000000005</v>
      </c>
      <c r="AH83">
        <f t="shared" si="6"/>
        <v>0.85584084273568095</v>
      </c>
      <c r="AI83">
        <f t="shared" si="7"/>
        <v>-4.8840842735680901E-2</v>
      </c>
    </row>
    <row r="84" spans="1:35" x14ac:dyDescent="0.35">
      <c r="A84">
        <f>'DNC4 FF'!A84</f>
        <v>81</v>
      </c>
      <c r="B84" t="e">
        <f>'DNC4 FF'!B84</f>
        <v>#REF!</v>
      </c>
      <c r="C84" t="e">
        <f>'DNC4 FF'!C84</f>
        <v>#REF!</v>
      </c>
      <c r="D84" t="e">
        <f>'DNC4 FF'!D84</f>
        <v>#REF!</v>
      </c>
      <c r="E84" t="e">
        <f>'DNC4 FF'!E84</f>
        <v>#REF!</v>
      </c>
      <c r="F84">
        <f>'DNC4 FF'!F84</f>
        <v>1</v>
      </c>
      <c r="G84">
        <f>'DNC4 FF'!G84</f>
        <v>3</v>
      </c>
      <c r="H84">
        <f>'DNC4 FF'!H84</f>
        <v>0</v>
      </c>
      <c r="I84">
        <f>'DNC4 FF'!I84</f>
        <v>6</v>
      </c>
      <c r="J84">
        <f>'DNC4 FF'!J84</f>
        <v>0</v>
      </c>
      <c r="K84">
        <f>'DNC4 FF'!K84</f>
        <v>4</v>
      </c>
      <c r="L84" t="e">
        <f>'DNC4 FF'!L84</f>
        <v>#REF!</v>
      </c>
      <c r="N84">
        <f>'# Out FF'!A84</f>
        <v>81</v>
      </c>
      <c r="O84">
        <f>'# Out FF'!B84</f>
        <v>1000</v>
      </c>
      <c r="P84">
        <f>'# Out FF'!C84</f>
        <v>1000</v>
      </c>
      <c r="Q84">
        <f>'# Out FF'!D84</f>
        <v>1000</v>
      </c>
      <c r="R84">
        <f>'# Out FF'!E84</f>
        <v>1000</v>
      </c>
      <c r="S84">
        <f>'# Out FF'!F84</f>
        <v>761</v>
      </c>
      <c r="T84">
        <f>'# Out FF'!G84</f>
        <v>789</v>
      </c>
      <c r="U84">
        <f>'# Out FF'!H84</f>
        <v>808</v>
      </c>
      <c r="V84">
        <f>'# Out FF'!I84</f>
        <v>466</v>
      </c>
      <c r="W84">
        <f>'# Out FF'!J84</f>
        <v>995</v>
      </c>
      <c r="X84">
        <f>'# Out FF'!K84</f>
        <v>784</v>
      </c>
      <c r="Y84">
        <f>'# Out FF'!L84</f>
        <v>860.3</v>
      </c>
      <c r="AB84">
        <v>4</v>
      </c>
      <c r="AC84">
        <v>795</v>
      </c>
      <c r="AF84" s="2">
        <f t="shared" si="4"/>
        <v>4.0000000000000001E-3</v>
      </c>
      <c r="AG84">
        <f t="shared" si="5"/>
        <v>0.79500000000000004</v>
      </c>
      <c r="AH84">
        <f t="shared" si="6"/>
        <v>0.75847089591385031</v>
      </c>
      <c r="AI84">
        <f t="shared" si="7"/>
        <v>3.6529104086149733E-2</v>
      </c>
    </row>
    <row r="85" spans="1:35" x14ac:dyDescent="0.35">
      <c r="A85">
        <f>'DNC4 FF'!A85</f>
        <v>82</v>
      </c>
      <c r="B85" t="e">
        <f>'DNC4 FF'!B85</f>
        <v>#REF!</v>
      </c>
      <c r="C85" t="e">
        <f>'DNC4 FF'!C85</f>
        <v>#REF!</v>
      </c>
      <c r="D85" t="e">
        <f>'DNC4 FF'!D85</f>
        <v>#REF!</v>
      </c>
      <c r="E85" t="e">
        <f>'DNC4 FF'!E85</f>
        <v>#REF!</v>
      </c>
      <c r="F85">
        <f>'DNC4 FF'!F85</f>
        <v>2</v>
      </c>
      <c r="G85">
        <f>'DNC4 FF'!G85</f>
        <v>1</v>
      </c>
      <c r="H85">
        <f>'DNC4 FF'!H85</f>
        <v>0</v>
      </c>
      <c r="I85">
        <f>'DNC4 FF'!I85</f>
        <v>1</v>
      </c>
      <c r="J85">
        <f>'DNC4 FF'!J85</f>
        <v>1</v>
      </c>
      <c r="K85">
        <f>'DNC4 FF'!K85</f>
        <v>0</v>
      </c>
      <c r="L85" t="e">
        <f>'DNC4 FF'!L85</f>
        <v>#REF!</v>
      </c>
      <c r="N85">
        <f>'# Out FF'!A85</f>
        <v>82</v>
      </c>
      <c r="O85">
        <f>'# Out FF'!B85</f>
        <v>1000</v>
      </c>
      <c r="P85">
        <f>'# Out FF'!C85</f>
        <v>1000</v>
      </c>
      <c r="Q85">
        <f>'# Out FF'!D85</f>
        <v>1000</v>
      </c>
      <c r="R85">
        <f>'# Out FF'!E85</f>
        <v>1000</v>
      </c>
      <c r="S85">
        <f>'# Out FF'!F85</f>
        <v>796</v>
      </c>
      <c r="T85">
        <f>'# Out FF'!G85</f>
        <v>786</v>
      </c>
      <c r="U85">
        <f>'# Out FF'!H85</f>
        <v>996</v>
      </c>
      <c r="V85">
        <f>'# Out FF'!I85</f>
        <v>729</v>
      </c>
      <c r="W85">
        <f>'# Out FF'!J85</f>
        <v>995</v>
      </c>
      <c r="X85">
        <f>'# Out FF'!K85</f>
        <v>802</v>
      </c>
      <c r="Y85">
        <f>'# Out FF'!L85</f>
        <v>910.4</v>
      </c>
      <c r="AB85">
        <v>10</v>
      </c>
      <c r="AC85">
        <v>842</v>
      </c>
      <c r="AF85" s="2">
        <f t="shared" si="4"/>
        <v>0.01</v>
      </c>
      <c r="AG85">
        <f t="shared" si="5"/>
        <v>0.84199999999999997</v>
      </c>
      <c r="AH85">
        <f t="shared" si="6"/>
        <v>0.59570431457312989</v>
      </c>
      <c r="AI85">
        <f t="shared" si="7"/>
        <v>0.24629568542687008</v>
      </c>
    </row>
    <row r="86" spans="1:35" x14ac:dyDescent="0.35">
      <c r="A86">
        <f>'DNC4 FF'!A86</f>
        <v>83</v>
      </c>
      <c r="B86" t="e">
        <f>'DNC4 FF'!B86</f>
        <v>#REF!</v>
      </c>
      <c r="C86" t="e">
        <f>'DNC4 FF'!C86</f>
        <v>#REF!</v>
      </c>
      <c r="D86" t="e">
        <f>'DNC4 FF'!D86</f>
        <v>#REF!</v>
      </c>
      <c r="E86" t="e">
        <f>'DNC4 FF'!E86</f>
        <v>#REF!</v>
      </c>
      <c r="F86">
        <f>'DNC4 FF'!F86</f>
        <v>0</v>
      </c>
      <c r="G86">
        <f>'DNC4 FF'!G86</f>
        <v>2</v>
      </c>
      <c r="H86">
        <f>'DNC4 FF'!H86</f>
        <v>2</v>
      </c>
      <c r="I86">
        <f>'DNC4 FF'!I86</f>
        <v>4</v>
      </c>
      <c r="J86">
        <f>'DNC4 FF'!J86</f>
        <v>1</v>
      </c>
      <c r="K86">
        <f>'DNC4 FF'!K86</f>
        <v>2</v>
      </c>
      <c r="L86" t="e">
        <f>'DNC4 FF'!L86</f>
        <v>#REF!</v>
      </c>
      <c r="N86">
        <f>'# Out FF'!A86</f>
        <v>83</v>
      </c>
      <c r="O86">
        <f>'# Out FF'!B86</f>
        <v>1000</v>
      </c>
      <c r="P86">
        <f>'# Out FF'!C86</f>
        <v>1000</v>
      </c>
      <c r="Q86">
        <f>'# Out FF'!D86</f>
        <v>1000</v>
      </c>
      <c r="R86">
        <f>'# Out FF'!E86</f>
        <v>1000</v>
      </c>
      <c r="S86">
        <f>'# Out FF'!F86</f>
        <v>788</v>
      </c>
      <c r="T86">
        <f>'# Out FF'!G86</f>
        <v>787</v>
      </c>
      <c r="U86">
        <f>'# Out FF'!H86</f>
        <v>997</v>
      </c>
      <c r="V86">
        <f>'# Out FF'!I86</f>
        <v>787</v>
      </c>
      <c r="W86">
        <f>'# Out FF'!J86</f>
        <v>782</v>
      </c>
      <c r="X86">
        <f>'# Out FF'!K86</f>
        <v>994</v>
      </c>
      <c r="Y86">
        <f>'# Out FF'!L86</f>
        <v>913.5</v>
      </c>
      <c r="AB86">
        <v>16</v>
      </c>
      <c r="AC86">
        <v>458</v>
      </c>
      <c r="AF86" s="2">
        <f t="shared" si="4"/>
        <v>1.6E-2</v>
      </c>
      <c r="AG86">
        <f t="shared" si="5"/>
        <v>0.45800000000000002</v>
      </c>
      <c r="AH86">
        <f t="shared" si="6"/>
        <v>0.46786716842111914</v>
      </c>
      <c r="AI86">
        <f t="shared" si="7"/>
        <v>-9.8671684211191213E-3</v>
      </c>
    </row>
    <row r="87" spans="1:35" x14ac:dyDescent="0.35">
      <c r="A87">
        <f>'DNC4 FF'!A87</f>
        <v>84</v>
      </c>
      <c r="B87" t="e">
        <f>'DNC4 FF'!B87</f>
        <v>#REF!</v>
      </c>
      <c r="C87" t="e">
        <f>'DNC4 FF'!C87</f>
        <v>#REF!</v>
      </c>
      <c r="D87" t="e">
        <f>'DNC4 FF'!D87</f>
        <v>#REF!</v>
      </c>
      <c r="E87" t="e">
        <f>'DNC4 FF'!E87</f>
        <v>#REF!</v>
      </c>
      <c r="F87">
        <f>'DNC4 FF'!F87</f>
        <v>0</v>
      </c>
      <c r="G87">
        <f>'DNC4 FF'!G87</f>
        <v>0</v>
      </c>
      <c r="H87">
        <f>'DNC4 FF'!H87</f>
        <v>1</v>
      </c>
      <c r="I87">
        <f>'DNC4 FF'!I87</f>
        <v>1</v>
      </c>
      <c r="J87">
        <f>'DNC4 FF'!J87</f>
        <v>1</v>
      </c>
      <c r="K87">
        <f>'DNC4 FF'!K87</f>
        <v>1</v>
      </c>
      <c r="L87" t="e">
        <f>'DNC4 FF'!L87</f>
        <v>#REF!</v>
      </c>
      <c r="N87">
        <f>'# Out FF'!A87</f>
        <v>84</v>
      </c>
      <c r="O87">
        <f>'# Out FF'!B87</f>
        <v>1000</v>
      </c>
      <c r="P87">
        <f>'# Out FF'!C87</f>
        <v>1000</v>
      </c>
      <c r="Q87">
        <f>'# Out FF'!D87</f>
        <v>1000</v>
      </c>
      <c r="R87">
        <f>'# Out FF'!E87</f>
        <v>1000</v>
      </c>
      <c r="S87">
        <f>'# Out FF'!F87</f>
        <v>996</v>
      </c>
      <c r="T87">
        <f>'# Out FF'!G87</f>
        <v>797</v>
      </c>
      <c r="U87">
        <f>'# Out FF'!H87</f>
        <v>782</v>
      </c>
      <c r="V87">
        <f>'# Out FF'!I87</f>
        <v>791</v>
      </c>
      <c r="W87">
        <f>'# Out FF'!J87</f>
        <v>783</v>
      </c>
      <c r="X87">
        <f>'# Out FF'!K87</f>
        <v>785</v>
      </c>
      <c r="Y87">
        <f>'# Out FF'!L87</f>
        <v>893.4</v>
      </c>
      <c r="AB87">
        <v>15</v>
      </c>
      <c r="AC87">
        <v>382</v>
      </c>
      <c r="AF87" s="2">
        <f t="shared" si="4"/>
        <v>1.4999999999999999E-2</v>
      </c>
      <c r="AG87">
        <f t="shared" si="5"/>
        <v>0.38200000000000001</v>
      </c>
      <c r="AH87">
        <f t="shared" si="6"/>
        <v>0.48708781615364399</v>
      </c>
      <c r="AI87">
        <f t="shared" si="7"/>
        <v>-0.10508781615364399</v>
      </c>
    </row>
    <row r="88" spans="1:35" x14ac:dyDescent="0.35">
      <c r="A88">
        <f>'DNC4 FF'!A88</f>
        <v>85</v>
      </c>
      <c r="B88" t="e">
        <f>'DNC4 FF'!B88</f>
        <v>#REF!</v>
      </c>
      <c r="C88" t="e">
        <f>'DNC4 FF'!C88</f>
        <v>#REF!</v>
      </c>
      <c r="D88" t="e">
        <f>'DNC4 FF'!D88</f>
        <v>#REF!</v>
      </c>
      <c r="E88" t="e">
        <f>'DNC4 FF'!E88</f>
        <v>#REF!</v>
      </c>
      <c r="F88">
        <f>'DNC4 FF'!F88</f>
        <v>0</v>
      </c>
      <c r="G88">
        <f>'DNC4 FF'!G88</f>
        <v>0</v>
      </c>
      <c r="H88">
        <f>'DNC4 FF'!H88</f>
        <v>0</v>
      </c>
      <c r="I88">
        <f>'DNC4 FF'!I88</f>
        <v>1</v>
      </c>
      <c r="J88">
        <f>'DNC4 FF'!J88</f>
        <v>3</v>
      </c>
      <c r="K88">
        <f>'DNC4 FF'!K88</f>
        <v>1</v>
      </c>
      <c r="L88" t="e">
        <f>'DNC4 FF'!L88</f>
        <v>#REF!</v>
      </c>
      <c r="N88">
        <f>'# Out FF'!A88</f>
        <v>85</v>
      </c>
      <c r="O88">
        <f>'# Out FF'!B88</f>
        <v>1000</v>
      </c>
      <c r="P88">
        <f>'# Out FF'!C88</f>
        <v>1000</v>
      </c>
      <c r="Q88">
        <f>'# Out FF'!D88</f>
        <v>1000</v>
      </c>
      <c r="R88">
        <f>'# Out FF'!E88</f>
        <v>1000</v>
      </c>
      <c r="S88">
        <f>'# Out FF'!F88</f>
        <v>995</v>
      </c>
      <c r="T88">
        <f>'# Out FF'!G88</f>
        <v>996</v>
      </c>
      <c r="U88">
        <f>'# Out FF'!H88</f>
        <v>812</v>
      </c>
      <c r="V88">
        <f>'# Out FF'!I88</f>
        <v>801</v>
      </c>
      <c r="W88">
        <f>'# Out FF'!J88</f>
        <v>788</v>
      </c>
      <c r="X88">
        <f>'# Out FF'!K88</f>
        <v>996</v>
      </c>
      <c r="Y88">
        <f>'# Out FF'!L88</f>
        <v>938.8</v>
      </c>
      <c r="AB88">
        <v>18</v>
      </c>
      <c r="AC88">
        <v>530</v>
      </c>
      <c r="AF88" s="2">
        <f t="shared" si="4"/>
        <v>1.7999999999999999E-2</v>
      </c>
      <c r="AG88">
        <f t="shared" si="5"/>
        <v>0.53</v>
      </c>
      <c r="AH88">
        <f t="shared" si="6"/>
        <v>0.43167130365718487</v>
      </c>
      <c r="AI88">
        <f t="shared" si="7"/>
        <v>9.8328696342815158E-2</v>
      </c>
    </row>
    <row r="89" spans="1:35" x14ac:dyDescent="0.35">
      <c r="A89">
        <f>'DNC4 FF'!A89</f>
        <v>86</v>
      </c>
      <c r="B89" t="e">
        <f>'DNC4 FF'!B89</f>
        <v>#REF!</v>
      </c>
      <c r="C89" t="e">
        <f>'DNC4 FF'!C89</f>
        <v>#REF!</v>
      </c>
      <c r="D89" t="e">
        <f>'DNC4 FF'!D89</f>
        <v>#REF!</v>
      </c>
      <c r="E89" t="e">
        <f>'DNC4 FF'!E89</f>
        <v>#REF!</v>
      </c>
      <c r="F89" t="e">
        <f>'DNC4 FF'!F89</f>
        <v>#REF!</v>
      </c>
      <c r="G89">
        <f>'DNC4 FF'!G89</f>
        <v>0</v>
      </c>
      <c r="H89">
        <f>'DNC4 FF'!H89</f>
        <v>1</v>
      </c>
      <c r="I89">
        <f>'DNC4 FF'!I89</f>
        <v>0</v>
      </c>
      <c r="J89">
        <f>'DNC4 FF'!J89</f>
        <v>3</v>
      </c>
      <c r="K89">
        <f>'DNC4 FF'!K89</f>
        <v>1</v>
      </c>
      <c r="L89" t="e">
        <f>'DNC4 FF'!L89</f>
        <v>#REF!</v>
      </c>
      <c r="N89">
        <f>'# Out FF'!A89</f>
        <v>86</v>
      </c>
      <c r="O89">
        <f>'# Out FF'!B89</f>
        <v>1000</v>
      </c>
      <c r="P89">
        <f>'# Out FF'!C89</f>
        <v>1000</v>
      </c>
      <c r="Q89">
        <f>'# Out FF'!D89</f>
        <v>1000</v>
      </c>
      <c r="R89">
        <f>'# Out FF'!E89</f>
        <v>1000</v>
      </c>
      <c r="S89">
        <f>'# Out FF'!F89</f>
        <v>1000</v>
      </c>
      <c r="T89">
        <f>'# Out FF'!G89</f>
        <v>996</v>
      </c>
      <c r="U89">
        <f>'# Out FF'!H89</f>
        <v>996</v>
      </c>
      <c r="V89">
        <f>'# Out FF'!I89</f>
        <v>799</v>
      </c>
      <c r="W89">
        <f>'# Out FF'!J89</f>
        <v>765</v>
      </c>
      <c r="X89">
        <f>'# Out FF'!K89</f>
        <v>796</v>
      </c>
      <c r="Y89">
        <f>'# Out FF'!L89</f>
        <v>935.2</v>
      </c>
      <c r="AB89">
        <v>26</v>
      </c>
      <c r="AC89">
        <v>284</v>
      </c>
      <c r="AF89" s="2">
        <f t="shared" si="4"/>
        <v>2.5999999999999999E-2</v>
      </c>
      <c r="AG89">
        <f t="shared" si="5"/>
        <v>0.28399999999999997</v>
      </c>
      <c r="AH89">
        <f t="shared" si="6"/>
        <v>0.31280638706573949</v>
      </c>
      <c r="AI89">
        <f t="shared" si="7"/>
        <v>-2.8806387065739514E-2</v>
      </c>
    </row>
    <row r="90" spans="1:35" x14ac:dyDescent="0.35">
      <c r="A90">
        <f>'DNC4 FF'!A90</f>
        <v>87</v>
      </c>
      <c r="B90" t="e">
        <f>'DNC4 FF'!B90</f>
        <v>#REF!</v>
      </c>
      <c r="C90" t="e">
        <f>'DNC4 FF'!C90</f>
        <v>#REF!</v>
      </c>
      <c r="D90" t="e">
        <f>'DNC4 FF'!D90</f>
        <v>#REF!</v>
      </c>
      <c r="E90" t="e">
        <f>'DNC4 FF'!E90</f>
        <v>#REF!</v>
      </c>
      <c r="F90" t="e">
        <f>'DNC4 FF'!F90</f>
        <v>#REF!</v>
      </c>
      <c r="G90">
        <f>'DNC4 FF'!G90</f>
        <v>1</v>
      </c>
      <c r="H90">
        <f>'DNC4 FF'!H90</f>
        <v>0</v>
      </c>
      <c r="I90">
        <f>'DNC4 FF'!I90</f>
        <v>1</v>
      </c>
      <c r="J90">
        <f>'DNC4 FF'!J90</f>
        <v>1</v>
      </c>
      <c r="K90">
        <f>'DNC4 FF'!K90</f>
        <v>1</v>
      </c>
      <c r="L90" t="e">
        <f>'DNC4 FF'!L90</f>
        <v>#REF!</v>
      </c>
      <c r="N90">
        <f>'# Out FF'!A90</f>
        <v>87</v>
      </c>
      <c r="O90">
        <f>'# Out FF'!B90</f>
        <v>1000</v>
      </c>
      <c r="P90">
        <f>'# Out FF'!C90</f>
        <v>1000</v>
      </c>
      <c r="Q90">
        <f>'# Out FF'!D90</f>
        <v>1000</v>
      </c>
      <c r="R90">
        <f>'# Out FF'!E90</f>
        <v>1000</v>
      </c>
      <c r="S90">
        <f>'# Out FF'!F90</f>
        <v>1000</v>
      </c>
      <c r="T90">
        <f>'# Out FF'!G90</f>
        <v>996</v>
      </c>
      <c r="U90">
        <f>'# Out FF'!H90</f>
        <v>998</v>
      </c>
      <c r="V90">
        <f>'# Out FF'!I90</f>
        <v>997</v>
      </c>
      <c r="W90">
        <f>'# Out FF'!J90</f>
        <v>764</v>
      </c>
      <c r="X90">
        <f>'# Out FF'!K90</f>
        <v>793</v>
      </c>
      <c r="Y90">
        <f>'# Out FF'!L90</f>
        <v>954.8</v>
      </c>
      <c r="AB90">
        <v>7</v>
      </c>
      <c r="AC90">
        <v>741</v>
      </c>
      <c r="AF90" s="2">
        <f t="shared" si="4"/>
        <v>7.0000000000000001E-3</v>
      </c>
      <c r="AG90">
        <f t="shared" si="5"/>
        <v>0.74099999999999999</v>
      </c>
      <c r="AH90">
        <f t="shared" si="6"/>
        <v>0.67217883422049818</v>
      </c>
      <c r="AI90">
        <f t="shared" si="7"/>
        <v>6.8821165779501814E-2</v>
      </c>
    </row>
    <row r="91" spans="1:35" x14ac:dyDescent="0.35">
      <c r="A91">
        <f>'DNC4 FF'!A91</f>
        <v>88</v>
      </c>
      <c r="B91" t="e">
        <f>'DNC4 FF'!B91</f>
        <v>#REF!</v>
      </c>
      <c r="C91" t="e">
        <f>'DNC4 FF'!C91</f>
        <v>#REF!</v>
      </c>
      <c r="D91" t="e">
        <f>'DNC4 FF'!D91</f>
        <v>#REF!</v>
      </c>
      <c r="E91" t="e">
        <f>'DNC4 FF'!E91</f>
        <v>#REF!</v>
      </c>
      <c r="F91" t="e">
        <f>'DNC4 FF'!F91</f>
        <v>#REF!</v>
      </c>
      <c r="G91">
        <f>'DNC4 FF'!G91</f>
        <v>1</v>
      </c>
      <c r="H91">
        <f>'DNC4 FF'!H91</f>
        <v>0</v>
      </c>
      <c r="I91">
        <f>'DNC4 FF'!I91</f>
        <v>1</v>
      </c>
      <c r="J91">
        <f>'DNC4 FF'!J91</f>
        <v>1</v>
      </c>
      <c r="K91">
        <f>'DNC4 FF'!K91</f>
        <v>1</v>
      </c>
      <c r="L91" t="e">
        <f>'DNC4 FF'!L91</f>
        <v>#REF!</v>
      </c>
      <c r="N91">
        <f>'# Out FF'!A91</f>
        <v>88</v>
      </c>
      <c r="O91">
        <f>'# Out FF'!B91</f>
        <v>1000</v>
      </c>
      <c r="P91">
        <f>'# Out FF'!C91</f>
        <v>1000</v>
      </c>
      <c r="Q91">
        <f>'# Out FF'!D91</f>
        <v>1000</v>
      </c>
      <c r="R91">
        <f>'# Out FF'!E91</f>
        <v>1000</v>
      </c>
      <c r="S91">
        <f>'# Out FF'!F91</f>
        <v>1000</v>
      </c>
      <c r="T91">
        <f>'# Out FF'!G91</f>
        <v>800</v>
      </c>
      <c r="U91">
        <f>'# Out FF'!H91</f>
        <v>999</v>
      </c>
      <c r="V91">
        <f>'# Out FF'!I91</f>
        <v>807</v>
      </c>
      <c r="W91">
        <f>'# Out FF'!J91</f>
        <v>783</v>
      </c>
      <c r="X91">
        <f>'# Out FF'!K91</f>
        <v>791</v>
      </c>
      <c r="Y91">
        <f>'# Out FF'!L91</f>
        <v>918</v>
      </c>
      <c r="AB91">
        <v>4</v>
      </c>
      <c r="AC91">
        <v>776</v>
      </c>
      <c r="AF91" s="2">
        <f t="shared" si="4"/>
        <v>4.0000000000000001E-3</v>
      </c>
      <c r="AG91">
        <f t="shared" si="5"/>
        <v>0.77600000000000002</v>
      </c>
      <c r="AH91">
        <f t="shared" si="6"/>
        <v>0.75847089591385031</v>
      </c>
      <c r="AI91">
        <f t="shared" si="7"/>
        <v>1.7529104086149716E-2</v>
      </c>
    </row>
    <row r="92" spans="1:35" x14ac:dyDescent="0.35">
      <c r="A92">
        <f>'DNC4 FF'!A92</f>
        <v>89</v>
      </c>
      <c r="B92" t="e">
        <f>'DNC4 FF'!B92</f>
        <v>#REF!</v>
      </c>
      <c r="C92" t="e">
        <f>'DNC4 FF'!C92</f>
        <v>#REF!</v>
      </c>
      <c r="D92" t="e">
        <f>'DNC4 FF'!D92</f>
        <v>#REF!</v>
      </c>
      <c r="E92" t="e">
        <f>'DNC4 FF'!E92</f>
        <v>#REF!</v>
      </c>
      <c r="F92" t="e">
        <f>'DNC4 FF'!F92</f>
        <v>#REF!</v>
      </c>
      <c r="G92">
        <f>'DNC4 FF'!G92</f>
        <v>3</v>
      </c>
      <c r="H92">
        <f>'DNC4 FF'!H92</f>
        <v>0</v>
      </c>
      <c r="I92">
        <f>'DNC4 FF'!I92</f>
        <v>0</v>
      </c>
      <c r="J92">
        <f>'DNC4 FF'!J92</f>
        <v>0</v>
      </c>
      <c r="K92">
        <f>'DNC4 FF'!K92</f>
        <v>0</v>
      </c>
      <c r="L92" t="e">
        <f>'DNC4 FF'!L92</f>
        <v>#REF!</v>
      </c>
      <c r="N92">
        <f>'# Out FF'!A92</f>
        <v>89</v>
      </c>
      <c r="O92">
        <f>'# Out FF'!B92</f>
        <v>1000</v>
      </c>
      <c r="P92">
        <f>'# Out FF'!C92</f>
        <v>1000</v>
      </c>
      <c r="Q92">
        <f>'# Out FF'!D92</f>
        <v>1000</v>
      </c>
      <c r="R92">
        <f>'# Out FF'!E92</f>
        <v>1000</v>
      </c>
      <c r="S92">
        <f>'# Out FF'!F92</f>
        <v>1000</v>
      </c>
      <c r="T92">
        <f>'# Out FF'!G92</f>
        <v>803</v>
      </c>
      <c r="U92">
        <f>'# Out FF'!H92</f>
        <v>999</v>
      </c>
      <c r="V92">
        <f>'# Out FF'!I92</f>
        <v>807</v>
      </c>
      <c r="W92">
        <f>'# Out FF'!J92</f>
        <v>782</v>
      </c>
      <c r="X92">
        <f>'# Out FF'!K92</f>
        <v>795</v>
      </c>
      <c r="Y92">
        <f>'# Out FF'!L92</f>
        <v>918.6</v>
      </c>
      <c r="AB92">
        <v>4</v>
      </c>
      <c r="AC92">
        <v>798</v>
      </c>
      <c r="AF92" s="2">
        <f t="shared" si="4"/>
        <v>4.0000000000000001E-3</v>
      </c>
      <c r="AG92">
        <f t="shared" si="5"/>
        <v>0.79800000000000004</v>
      </c>
      <c r="AH92">
        <f t="shared" si="6"/>
        <v>0.75847089591385031</v>
      </c>
      <c r="AI92">
        <f t="shared" si="7"/>
        <v>3.9529104086149736E-2</v>
      </c>
    </row>
    <row r="93" spans="1:35" x14ac:dyDescent="0.35">
      <c r="A93">
        <f>'DNC4 FF'!A93</f>
        <v>90</v>
      </c>
      <c r="B93" t="e">
        <f>'DNC4 FF'!B93</f>
        <v>#REF!</v>
      </c>
      <c r="C93" t="e">
        <f>'DNC4 FF'!C93</f>
        <v>#REF!</v>
      </c>
      <c r="D93" t="e">
        <f>'DNC4 FF'!D93</f>
        <v>#REF!</v>
      </c>
      <c r="E93" t="e">
        <f>'DNC4 FF'!E93</f>
        <v>#REF!</v>
      </c>
      <c r="F93" t="e">
        <f>'DNC4 FF'!F93</f>
        <v>#REF!</v>
      </c>
      <c r="G93">
        <f>'DNC4 FF'!G93</f>
        <v>2</v>
      </c>
      <c r="H93" t="e">
        <f>'DNC4 FF'!H93</f>
        <v>#REF!</v>
      </c>
      <c r="I93">
        <f>'DNC4 FF'!I93</f>
        <v>2</v>
      </c>
      <c r="J93">
        <f>'DNC4 FF'!J93</f>
        <v>1</v>
      </c>
      <c r="K93">
        <f>'DNC4 FF'!K93</f>
        <v>0</v>
      </c>
      <c r="L93" t="e">
        <f>'DNC4 FF'!L93</f>
        <v>#REF!</v>
      </c>
      <c r="N93">
        <f>'# Out FF'!A93</f>
        <v>90</v>
      </c>
      <c r="O93">
        <f>'# Out FF'!B93</f>
        <v>1000</v>
      </c>
      <c r="P93">
        <f>'# Out FF'!C93</f>
        <v>1000</v>
      </c>
      <c r="Q93">
        <f>'# Out FF'!D93</f>
        <v>1000</v>
      </c>
      <c r="R93">
        <f>'# Out FF'!E93</f>
        <v>1000</v>
      </c>
      <c r="S93">
        <f>'# Out FF'!F93</f>
        <v>1000</v>
      </c>
      <c r="T93">
        <f>'# Out FF'!G93</f>
        <v>786</v>
      </c>
      <c r="U93">
        <f>'# Out FF'!H93</f>
        <v>1000</v>
      </c>
      <c r="V93">
        <f>'# Out FF'!I93</f>
        <v>996</v>
      </c>
      <c r="W93">
        <f>'# Out FF'!J93</f>
        <v>997</v>
      </c>
      <c r="X93">
        <f>'# Out FF'!K93</f>
        <v>997</v>
      </c>
      <c r="Y93">
        <f>'# Out FF'!L93</f>
        <v>977.6</v>
      </c>
      <c r="AB93">
        <v>2</v>
      </c>
      <c r="AC93">
        <v>783</v>
      </c>
      <c r="AF93" s="2">
        <f t="shared" si="4"/>
        <v>2E-3</v>
      </c>
      <c r="AG93">
        <f t="shared" si="5"/>
        <v>0.78300000000000003</v>
      </c>
      <c r="AH93">
        <f t="shared" si="6"/>
        <v>0.82206907754716119</v>
      </c>
      <c r="AI93">
        <f t="shared" si="7"/>
        <v>-3.9069077547161157E-2</v>
      </c>
    </row>
    <row r="94" spans="1:35" x14ac:dyDescent="0.35">
      <c r="A94">
        <f>'DNC4 FF'!A94</f>
        <v>91</v>
      </c>
      <c r="B94" t="e">
        <f>'DNC4 FF'!B94</f>
        <v>#REF!</v>
      </c>
      <c r="C94" t="e">
        <f>'DNC4 FF'!C94</f>
        <v>#REF!</v>
      </c>
      <c r="D94" t="e">
        <f>'DNC4 FF'!D94</f>
        <v>#REF!</v>
      </c>
      <c r="E94" t="e">
        <f>'DNC4 FF'!E94</f>
        <v>#REF!</v>
      </c>
      <c r="F94" t="e">
        <f>'DNC4 FF'!F94</f>
        <v>#REF!</v>
      </c>
      <c r="G94">
        <f>'DNC4 FF'!G94</f>
        <v>3</v>
      </c>
      <c r="H94" t="e">
        <f>'DNC4 FF'!H94</f>
        <v>#REF!</v>
      </c>
      <c r="I94">
        <f>'DNC4 FF'!I94</f>
        <v>1</v>
      </c>
      <c r="J94">
        <f>'DNC4 FF'!J94</f>
        <v>1</v>
      </c>
      <c r="K94">
        <f>'DNC4 FF'!K94</f>
        <v>0</v>
      </c>
      <c r="L94" t="e">
        <f>'DNC4 FF'!L94</f>
        <v>#REF!</v>
      </c>
      <c r="N94">
        <f>'# Out FF'!A94</f>
        <v>91</v>
      </c>
      <c r="O94">
        <f>'# Out FF'!B94</f>
        <v>1000</v>
      </c>
      <c r="P94">
        <f>'# Out FF'!C94</f>
        <v>1000</v>
      </c>
      <c r="Q94">
        <f>'# Out FF'!D94</f>
        <v>1000</v>
      </c>
      <c r="R94">
        <f>'# Out FF'!E94</f>
        <v>1000</v>
      </c>
      <c r="S94">
        <f>'# Out FF'!F94</f>
        <v>1000</v>
      </c>
      <c r="T94">
        <f>'# Out FF'!G94</f>
        <v>799</v>
      </c>
      <c r="U94">
        <f>'# Out FF'!H94</f>
        <v>1000</v>
      </c>
      <c r="V94">
        <f>'# Out FF'!I94</f>
        <v>792</v>
      </c>
      <c r="W94">
        <f>'# Out FF'!J94</f>
        <v>785</v>
      </c>
      <c r="X94">
        <f>'# Out FF'!K94</f>
        <v>998</v>
      </c>
      <c r="Y94">
        <f>'# Out FF'!L94</f>
        <v>937.4</v>
      </c>
      <c r="AB94">
        <v>2</v>
      </c>
      <c r="AC94">
        <v>797</v>
      </c>
      <c r="AF94" s="2">
        <f t="shared" si="4"/>
        <v>2E-3</v>
      </c>
      <c r="AG94">
        <f t="shared" si="5"/>
        <v>0.79700000000000004</v>
      </c>
      <c r="AH94">
        <f t="shared" si="6"/>
        <v>0.82206907754716119</v>
      </c>
      <c r="AI94">
        <f t="shared" si="7"/>
        <v>-2.5069077547161145E-2</v>
      </c>
    </row>
    <row r="95" spans="1:35" x14ac:dyDescent="0.35">
      <c r="A95">
        <f>'DNC4 FF'!A95</f>
        <v>92</v>
      </c>
      <c r="B95" t="e">
        <f>'DNC4 FF'!B95</f>
        <v>#REF!</v>
      </c>
      <c r="C95" t="e">
        <f>'DNC4 FF'!C95</f>
        <v>#REF!</v>
      </c>
      <c r="D95" t="e">
        <f>'DNC4 FF'!D95</f>
        <v>#REF!</v>
      </c>
      <c r="E95" t="e">
        <f>'DNC4 FF'!E95</f>
        <v>#REF!</v>
      </c>
      <c r="F95" t="e">
        <f>'DNC4 FF'!F95</f>
        <v>#REF!</v>
      </c>
      <c r="G95">
        <f>'DNC4 FF'!G95</f>
        <v>2</v>
      </c>
      <c r="H95" t="e">
        <f>'DNC4 FF'!H95</f>
        <v>#REF!</v>
      </c>
      <c r="I95">
        <f>'DNC4 FF'!I95</f>
        <v>0</v>
      </c>
      <c r="J95">
        <f>'DNC4 FF'!J95</f>
        <v>0</v>
      </c>
      <c r="K95">
        <f>'DNC4 FF'!K95</f>
        <v>0</v>
      </c>
      <c r="L95" t="e">
        <f>'DNC4 FF'!L95</f>
        <v>#REF!</v>
      </c>
      <c r="N95">
        <f>'# Out FF'!A95</f>
        <v>92</v>
      </c>
      <c r="O95">
        <f>'# Out FF'!B95</f>
        <v>1000</v>
      </c>
      <c r="P95">
        <f>'# Out FF'!C95</f>
        <v>1000</v>
      </c>
      <c r="Q95">
        <f>'# Out FF'!D95</f>
        <v>1000</v>
      </c>
      <c r="R95">
        <f>'# Out FF'!E95</f>
        <v>1000</v>
      </c>
      <c r="S95">
        <f>'# Out FF'!F95</f>
        <v>1000</v>
      </c>
      <c r="T95">
        <f>'# Out FF'!G95</f>
        <v>787</v>
      </c>
      <c r="U95">
        <f>'# Out FF'!H95</f>
        <v>1000</v>
      </c>
      <c r="V95">
        <f>'# Out FF'!I95</f>
        <v>809</v>
      </c>
      <c r="W95">
        <f>'# Out FF'!J95</f>
        <v>787</v>
      </c>
      <c r="X95">
        <f>'# Out FF'!K95</f>
        <v>998</v>
      </c>
      <c r="Y95">
        <f>'# Out FF'!L95</f>
        <v>938.1</v>
      </c>
      <c r="AB95">
        <v>6</v>
      </c>
      <c r="AC95">
        <v>758</v>
      </c>
      <c r="AF95" s="2">
        <f t="shared" si="4"/>
        <v>6.0000000000000001E-3</v>
      </c>
      <c r="AG95">
        <f t="shared" si="5"/>
        <v>0.75800000000000001</v>
      </c>
      <c r="AH95">
        <f t="shared" si="6"/>
        <v>0.69979289534261269</v>
      </c>
      <c r="AI95">
        <f t="shared" si="7"/>
        <v>5.8207104657387321E-2</v>
      </c>
    </row>
    <row r="96" spans="1:35" x14ac:dyDescent="0.35">
      <c r="A96">
        <f>'DNC4 FF'!A96</f>
        <v>93</v>
      </c>
      <c r="B96" t="e">
        <f>'DNC4 FF'!B96</f>
        <v>#REF!</v>
      </c>
      <c r="C96" t="e">
        <f>'DNC4 FF'!C96</f>
        <v>#REF!</v>
      </c>
      <c r="D96" t="e">
        <f>'DNC4 FF'!D96</f>
        <v>#REF!</v>
      </c>
      <c r="E96" t="e">
        <f>'DNC4 FF'!E96</f>
        <v>#REF!</v>
      </c>
      <c r="F96" t="e">
        <f>'DNC4 FF'!F96</f>
        <v>#REF!</v>
      </c>
      <c r="G96">
        <f>'DNC4 FF'!G96</f>
        <v>0</v>
      </c>
      <c r="H96" t="e">
        <f>'DNC4 FF'!H96</f>
        <v>#REF!</v>
      </c>
      <c r="I96">
        <f>'DNC4 FF'!I96</f>
        <v>8</v>
      </c>
      <c r="J96">
        <f>'DNC4 FF'!J96</f>
        <v>1</v>
      </c>
      <c r="K96">
        <f>'DNC4 FF'!K96</f>
        <v>1</v>
      </c>
      <c r="L96" t="e">
        <f>'DNC4 FF'!L96</f>
        <v>#REF!</v>
      </c>
      <c r="N96">
        <f>'# Out FF'!A96</f>
        <v>93</v>
      </c>
      <c r="O96">
        <f>'# Out FF'!B96</f>
        <v>1000</v>
      </c>
      <c r="P96">
        <f>'# Out FF'!C96</f>
        <v>1000</v>
      </c>
      <c r="Q96">
        <f>'# Out FF'!D96</f>
        <v>1000</v>
      </c>
      <c r="R96">
        <f>'# Out FF'!E96</f>
        <v>1000</v>
      </c>
      <c r="S96">
        <f>'# Out FF'!F96</f>
        <v>1000</v>
      </c>
      <c r="T96">
        <f>'# Out FF'!G96</f>
        <v>796</v>
      </c>
      <c r="U96">
        <f>'# Out FF'!H96</f>
        <v>1000</v>
      </c>
      <c r="V96">
        <f>'# Out FF'!I96</f>
        <v>996</v>
      </c>
      <c r="W96">
        <f>'# Out FF'!J96</f>
        <v>995</v>
      </c>
      <c r="X96">
        <f>'# Out FF'!K96</f>
        <v>997</v>
      </c>
      <c r="Y96">
        <f>'# Out FF'!L96</f>
        <v>978.4</v>
      </c>
      <c r="AB96">
        <v>5</v>
      </c>
      <c r="AC96">
        <v>568</v>
      </c>
      <c r="AF96" s="2">
        <f t="shared" si="4"/>
        <v>5.0000000000000001E-3</v>
      </c>
      <c r="AG96">
        <f t="shared" si="5"/>
        <v>0.56799999999999995</v>
      </c>
      <c r="AH96">
        <f t="shared" si="6"/>
        <v>0.72854138131245416</v>
      </c>
      <c r="AI96">
        <f t="shared" si="7"/>
        <v>-0.16054138131245421</v>
      </c>
    </row>
    <row r="97" spans="1:35" x14ac:dyDescent="0.35">
      <c r="A97">
        <f>'DNC4 FF'!A97</f>
        <v>94</v>
      </c>
      <c r="B97" t="e">
        <f>'DNC4 FF'!B97</f>
        <v>#REF!</v>
      </c>
      <c r="C97" t="e">
        <f>'DNC4 FF'!C97</f>
        <v>#REF!</v>
      </c>
      <c r="D97" t="e">
        <f>'DNC4 FF'!D97</f>
        <v>#REF!</v>
      </c>
      <c r="E97" t="e">
        <f>'DNC4 FF'!E97</f>
        <v>#REF!</v>
      </c>
      <c r="F97" t="e">
        <f>'DNC4 FF'!F97</f>
        <v>#REF!</v>
      </c>
      <c r="G97">
        <f>'DNC4 FF'!G97</f>
        <v>0</v>
      </c>
      <c r="H97" t="e">
        <f>'DNC4 FF'!H97</f>
        <v>#REF!</v>
      </c>
      <c r="I97">
        <f>'DNC4 FF'!I97</f>
        <v>1</v>
      </c>
      <c r="J97">
        <f>'DNC4 FF'!J97</f>
        <v>1</v>
      </c>
      <c r="K97">
        <f>'DNC4 FF'!K97</f>
        <v>0</v>
      </c>
      <c r="L97" t="e">
        <f>'DNC4 FF'!L97</f>
        <v>#REF!</v>
      </c>
      <c r="N97">
        <f>'# Out FF'!A97</f>
        <v>94</v>
      </c>
      <c r="O97">
        <f>'# Out FF'!B97</f>
        <v>1000</v>
      </c>
      <c r="P97">
        <f>'# Out FF'!C97</f>
        <v>1000</v>
      </c>
      <c r="Q97">
        <f>'# Out FF'!D97</f>
        <v>1000</v>
      </c>
      <c r="R97">
        <f>'# Out FF'!E97</f>
        <v>1000</v>
      </c>
      <c r="S97">
        <f>'# Out FF'!F97</f>
        <v>1000</v>
      </c>
      <c r="T97">
        <f>'# Out FF'!G97</f>
        <v>996</v>
      </c>
      <c r="U97">
        <f>'# Out FF'!H97</f>
        <v>1000</v>
      </c>
      <c r="V97">
        <f>'# Out FF'!I97</f>
        <v>695</v>
      </c>
      <c r="W97">
        <f>'# Out FF'!J97</f>
        <v>786</v>
      </c>
      <c r="X97">
        <f>'# Out FF'!K97</f>
        <v>790</v>
      </c>
      <c r="Y97">
        <f>'# Out FF'!L97</f>
        <v>926.7</v>
      </c>
      <c r="AB97">
        <v>5</v>
      </c>
      <c r="AC97">
        <v>570</v>
      </c>
      <c r="AF97" s="2">
        <f t="shared" si="4"/>
        <v>5.0000000000000001E-3</v>
      </c>
      <c r="AG97">
        <f t="shared" si="5"/>
        <v>0.56999999999999995</v>
      </c>
      <c r="AH97">
        <f t="shared" si="6"/>
        <v>0.72854138131245416</v>
      </c>
      <c r="AI97">
        <f t="shared" si="7"/>
        <v>-0.15854138131245421</v>
      </c>
    </row>
    <row r="98" spans="1:35" x14ac:dyDescent="0.35">
      <c r="A98">
        <f>'DNC4 FF'!A98</f>
        <v>95</v>
      </c>
      <c r="B98" t="e">
        <f>'DNC4 FF'!B98</f>
        <v>#REF!</v>
      </c>
      <c r="C98" t="e">
        <f>'DNC4 FF'!C98</f>
        <v>#REF!</v>
      </c>
      <c r="D98" t="e">
        <f>'DNC4 FF'!D98</f>
        <v>#REF!</v>
      </c>
      <c r="E98" t="e">
        <f>'DNC4 FF'!E98</f>
        <v>#REF!</v>
      </c>
      <c r="F98" t="e">
        <f>'DNC4 FF'!F98</f>
        <v>#REF!</v>
      </c>
      <c r="G98">
        <f>'DNC4 FF'!G98</f>
        <v>0</v>
      </c>
      <c r="H98" t="e">
        <f>'DNC4 FF'!H98</f>
        <v>#REF!</v>
      </c>
      <c r="I98">
        <f>'DNC4 FF'!I98</f>
        <v>2</v>
      </c>
      <c r="J98">
        <f>'DNC4 FF'!J98</f>
        <v>2</v>
      </c>
      <c r="K98">
        <f>'DNC4 FF'!K98</f>
        <v>0</v>
      </c>
      <c r="L98" t="e">
        <f>'DNC4 FF'!L98</f>
        <v>#REF!</v>
      </c>
      <c r="N98">
        <f>'# Out FF'!A98</f>
        <v>95</v>
      </c>
      <c r="O98">
        <f>'# Out FF'!B98</f>
        <v>1000</v>
      </c>
      <c r="P98">
        <f>'# Out FF'!C98</f>
        <v>1000</v>
      </c>
      <c r="Q98">
        <f>'# Out FF'!D98</f>
        <v>1000</v>
      </c>
      <c r="R98">
        <f>'# Out FF'!E98</f>
        <v>1000</v>
      </c>
      <c r="S98">
        <f>'# Out FF'!F98</f>
        <v>1000</v>
      </c>
      <c r="T98">
        <f>'# Out FF'!G98</f>
        <v>998</v>
      </c>
      <c r="U98">
        <f>'# Out FF'!H98</f>
        <v>1000</v>
      </c>
      <c r="V98">
        <f>'# Out FF'!I98</f>
        <v>814</v>
      </c>
      <c r="W98">
        <f>'# Out FF'!J98</f>
        <v>782</v>
      </c>
      <c r="X98">
        <f>'# Out FF'!K98</f>
        <v>997</v>
      </c>
      <c r="Y98">
        <f>'# Out FF'!L98</f>
        <v>959.1</v>
      </c>
      <c r="AB98">
        <v>9</v>
      </c>
      <c r="AC98">
        <v>709</v>
      </c>
      <c r="AF98" s="2">
        <f t="shared" si="4"/>
        <v>8.9999999999999993E-3</v>
      </c>
      <c r="AG98">
        <f t="shared" si="5"/>
        <v>0.70899999999999996</v>
      </c>
      <c r="AH98">
        <f t="shared" si="6"/>
        <v>0.62017669382084306</v>
      </c>
      <c r="AI98">
        <f t="shared" si="7"/>
        <v>8.8823306179156902E-2</v>
      </c>
    </row>
    <row r="99" spans="1:35" x14ac:dyDescent="0.35">
      <c r="A99">
        <f>'DNC4 FF'!A99</f>
        <v>96</v>
      </c>
      <c r="B99" t="e">
        <f>'DNC4 FF'!B99</f>
        <v>#REF!</v>
      </c>
      <c r="C99" t="e">
        <f>'DNC4 FF'!C99</f>
        <v>#REF!</v>
      </c>
      <c r="D99" t="e">
        <f>'DNC4 FF'!D99</f>
        <v>#REF!</v>
      </c>
      <c r="E99" t="e">
        <f>'DNC4 FF'!E99</f>
        <v>#REF!</v>
      </c>
      <c r="F99" t="e">
        <f>'DNC4 FF'!F99</f>
        <v>#REF!</v>
      </c>
      <c r="G99">
        <f>'DNC4 FF'!G99</f>
        <v>0</v>
      </c>
      <c r="H99" t="e">
        <f>'DNC4 FF'!H99</f>
        <v>#REF!</v>
      </c>
      <c r="I99">
        <f>'DNC4 FF'!I99</f>
        <v>7</v>
      </c>
      <c r="J99">
        <f>'DNC4 FF'!J99</f>
        <v>1</v>
      </c>
      <c r="K99">
        <f>'DNC4 FF'!K99</f>
        <v>0</v>
      </c>
      <c r="L99" t="e">
        <f>'DNC4 FF'!L99</f>
        <v>#REF!</v>
      </c>
      <c r="N99">
        <f>'# Out FF'!A99</f>
        <v>96</v>
      </c>
      <c r="O99">
        <f>'# Out FF'!B99</f>
        <v>1000</v>
      </c>
      <c r="P99">
        <f>'# Out FF'!C99</f>
        <v>1000</v>
      </c>
      <c r="Q99">
        <f>'# Out FF'!D99</f>
        <v>1000</v>
      </c>
      <c r="R99">
        <f>'# Out FF'!E99</f>
        <v>1000</v>
      </c>
      <c r="S99">
        <f>'# Out FF'!F99</f>
        <v>1000</v>
      </c>
      <c r="T99">
        <f>'# Out FF'!G99</f>
        <v>999</v>
      </c>
      <c r="U99">
        <f>'# Out FF'!H99</f>
        <v>1000</v>
      </c>
      <c r="V99">
        <f>'# Out FF'!I99</f>
        <v>785</v>
      </c>
      <c r="W99">
        <f>'# Out FF'!J99</f>
        <v>775</v>
      </c>
      <c r="X99">
        <f>'# Out FF'!K99</f>
        <v>998</v>
      </c>
      <c r="Y99">
        <f>'# Out FF'!L99</f>
        <v>955.7</v>
      </c>
      <c r="AB99">
        <v>9</v>
      </c>
      <c r="AC99">
        <v>706</v>
      </c>
      <c r="AF99" s="2">
        <f t="shared" si="4"/>
        <v>8.9999999999999993E-3</v>
      </c>
      <c r="AG99">
        <f t="shared" si="5"/>
        <v>0.70599999999999996</v>
      </c>
      <c r="AH99">
        <f t="shared" si="6"/>
        <v>0.62017669382084306</v>
      </c>
      <c r="AI99">
        <f t="shared" si="7"/>
        <v>8.58233061791569E-2</v>
      </c>
    </row>
    <row r="100" spans="1:35" x14ac:dyDescent="0.35">
      <c r="A100">
        <f>'DNC4 FF'!A100</f>
        <v>97</v>
      </c>
      <c r="B100" t="e">
        <f>'DNC4 FF'!B100</f>
        <v>#REF!</v>
      </c>
      <c r="C100" t="e">
        <f>'DNC4 FF'!C100</f>
        <v>#REF!</v>
      </c>
      <c r="D100" t="e">
        <f>'DNC4 FF'!D100</f>
        <v>#REF!</v>
      </c>
      <c r="E100" t="e">
        <f>'DNC4 FF'!E100</f>
        <v>#REF!</v>
      </c>
      <c r="F100" t="e">
        <f>'DNC4 FF'!F100</f>
        <v>#REF!</v>
      </c>
      <c r="G100">
        <f>'DNC4 FF'!G100</f>
        <v>1</v>
      </c>
      <c r="H100" t="e">
        <f>'DNC4 FF'!H100</f>
        <v>#REF!</v>
      </c>
      <c r="I100">
        <f>'DNC4 FF'!I100</f>
        <v>4</v>
      </c>
      <c r="J100">
        <f>'DNC4 FF'!J100</f>
        <v>1</v>
      </c>
      <c r="K100" t="e">
        <f>'DNC4 FF'!K100</f>
        <v>#REF!</v>
      </c>
      <c r="L100" t="e">
        <f>'DNC4 FF'!L100</f>
        <v>#REF!</v>
      </c>
      <c r="N100">
        <f>'# Out FF'!A100</f>
        <v>97</v>
      </c>
      <c r="O100">
        <f>'# Out FF'!B100</f>
        <v>1000</v>
      </c>
      <c r="P100">
        <f>'# Out FF'!C100</f>
        <v>1000</v>
      </c>
      <c r="Q100">
        <f>'# Out FF'!D100</f>
        <v>1000</v>
      </c>
      <c r="R100">
        <f>'# Out FF'!E100</f>
        <v>1000</v>
      </c>
      <c r="S100">
        <f>'# Out FF'!F100</f>
        <v>1000</v>
      </c>
      <c r="T100">
        <f>'# Out FF'!G100</f>
        <v>999</v>
      </c>
      <c r="U100">
        <f>'# Out FF'!H100</f>
        <v>1000</v>
      </c>
      <c r="V100">
        <f>'# Out FF'!I100</f>
        <v>774</v>
      </c>
      <c r="W100">
        <f>'# Out FF'!J100</f>
        <v>792</v>
      </c>
      <c r="X100">
        <f>'# Out FF'!K100</f>
        <v>1000</v>
      </c>
      <c r="Y100">
        <f>'# Out FF'!L100</f>
        <v>956.5</v>
      </c>
      <c r="AB100">
        <v>8</v>
      </c>
      <c r="AC100">
        <v>705</v>
      </c>
      <c r="AF100" s="2">
        <f t="shared" si="4"/>
        <v>8.0000000000000002E-3</v>
      </c>
      <c r="AG100">
        <f t="shared" si="5"/>
        <v>0.70499999999999996</v>
      </c>
      <c r="AH100">
        <f t="shared" si="6"/>
        <v>0.64565443316314119</v>
      </c>
      <c r="AI100">
        <f t="shared" si="7"/>
        <v>5.9345566836858765E-2</v>
      </c>
    </row>
    <row r="101" spans="1:35" x14ac:dyDescent="0.35">
      <c r="A101">
        <f>'DNC4 FF'!A101</f>
        <v>98</v>
      </c>
      <c r="B101" t="e">
        <f>'DNC4 FF'!B101</f>
        <v>#REF!</v>
      </c>
      <c r="C101" t="e">
        <f>'DNC4 FF'!C101</f>
        <v>#REF!</v>
      </c>
      <c r="D101" t="e">
        <f>'DNC4 FF'!D101</f>
        <v>#REF!</v>
      </c>
      <c r="E101" t="e">
        <f>'DNC4 FF'!E101</f>
        <v>#REF!</v>
      </c>
      <c r="F101" t="e">
        <f>'DNC4 FF'!F101</f>
        <v>#REF!</v>
      </c>
      <c r="G101">
        <f>'DNC4 FF'!G101</f>
        <v>3</v>
      </c>
      <c r="H101" t="e">
        <f>'DNC4 FF'!H101</f>
        <v>#REF!</v>
      </c>
      <c r="I101">
        <f>'DNC4 FF'!I101</f>
        <v>2</v>
      </c>
      <c r="J101">
        <f>'DNC4 FF'!J101</f>
        <v>0</v>
      </c>
      <c r="K101" t="e">
        <f>'DNC4 FF'!K101</f>
        <v>#REF!</v>
      </c>
      <c r="L101" t="e">
        <f>'DNC4 FF'!L101</f>
        <v>#REF!</v>
      </c>
      <c r="N101">
        <f>'# Out FF'!A101</f>
        <v>98</v>
      </c>
      <c r="O101">
        <f>'# Out FF'!B101</f>
        <v>1000</v>
      </c>
      <c r="P101">
        <f>'# Out FF'!C101</f>
        <v>1000</v>
      </c>
      <c r="Q101">
        <f>'# Out FF'!D101</f>
        <v>1000</v>
      </c>
      <c r="R101">
        <f>'# Out FF'!E101</f>
        <v>1000</v>
      </c>
      <c r="S101">
        <f>'# Out FF'!F101</f>
        <v>1000</v>
      </c>
      <c r="T101">
        <f>'# Out FF'!G101</f>
        <v>797</v>
      </c>
      <c r="U101">
        <f>'# Out FF'!H101</f>
        <v>1000</v>
      </c>
      <c r="V101">
        <f>'# Out FF'!I101</f>
        <v>796</v>
      </c>
      <c r="W101">
        <f>'# Out FF'!J101</f>
        <v>785</v>
      </c>
      <c r="X101">
        <f>'# Out FF'!K101</f>
        <v>1000</v>
      </c>
      <c r="Y101">
        <f>'# Out FF'!L101</f>
        <v>937.8</v>
      </c>
      <c r="AB101">
        <v>5</v>
      </c>
      <c r="AC101">
        <v>565</v>
      </c>
      <c r="AF101" s="2">
        <f t="shared" si="4"/>
        <v>5.0000000000000001E-3</v>
      </c>
      <c r="AG101">
        <f t="shared" si="5"/>
        <v>0.56499999999999995</v>
      </c>
      <c r="AH101">
        <f t="shared" si="6"/>
        <v>0.72854138131245416</v>
      </c>
      <c r="AI101">
        <f t="shared" si="7"/>
        <v>-0.16354138131245421</v>
      </c>
    </row>
    <row r="102" spans="1:35" x14ac:dyDescent="0.35">
      <c r="A102">
        <f>'DNC4 FF'!A102</f>
        <v>99</v>
      </c>
      <c r="B102" t="e">
        <f>'DNC4 FF'!B102</f>
        <v>#REF!</v>
      </c>
      <c r="C102" t="e">
        <f>'DNC4 FF'!C102</f>
        <v>#REF!</v>
      </c>
      <c r="D102" t="e">
        <f>'DNC4 FF'!D102</f>
        <v>#REF!</v>
      </c>
      <c r="E102" t="e">
        <f>'DNC4 FF'!E102</f>
        <v>#REF!</v>
      </c>
      <c r="F102" t="e">
        <f>'DNC4 FF'!F102</f>
        <v>#REF!</v>
      </c>
      <c r="G102">
        <f>'DNC4 FF'!G102</f>
        <v>2</v>
      </c>
      <c r="H102" t="e">
        <f>'DNC4 FF'!H102</f>
        <v>#REF!</v>
      </c>
      <c r="I102">
        <f>'DNC4 FF'!I102</f>
        <v>1</v>
      </c>
      <c r="J102">
        <f>'DNC4 FF'!J102</f>
        <v>0</v>
      </c>
      <c r="K102" t="e">
        <f>'DNC4 FF'!K102</f>
        <v>#REF!</v>
      </c>
      <c r="L102" t="e">
        <f>'DNC4 FF'!L102</f>
        <v>#REF!</v>
      </c>
      <c r="N102">
        <f>'# Out FF'!A102</f>
        <v>99</v>
      </c>
      <c r="O102">
        <f>'# Out FF'!B102</f>
        <v>1000</v>
      </c>
      <c r="P102">
        <f>'# Out FF'!C102</f>
        <v>1000</v>
      </c>
      <c r="Q102">
        <f>'# Out FF'!D102</f>
        <v>1000</v>
      </c>
      <c r="R102">
        <f>'# Out FF'!E102</f>
        <v>1000</v>
      </c>
      <c r="S102">
        <f>'# Out FF'!F102</f>
        <v>1000</v>
      </c>
      <c r="T102">
        <f>'# Out FF'!G102</f>
        <v>788</v>
      </c>
      <c r="U102">
        <f>'# Out FF'!H102</f>
        <v>1000</v>
      </c>
      <c r="V102">
        <f>'# Out FF'!I102</f>
        <v>783</v>
      </c>
      <c r="W102">
        <f>'# Out FF'!J102</f>
        <v>996</v>
      </c>
      <c r="X102">
        <f>'# Out FF'!K102</f>
        <v>1000</v>
      </c>
      <c r="Y102">
        <f>'# Out FF'!L102</f>
        <v>956.7</v>
      </c>
      <c r="AB102">
        <v>6</v>
      </c>
      <c r="AC102">
        <v>741</v>
      </c>
      <c r="AF102" s="2">
        <f t="shared" si="4"/>
        <v>6.0000000000000001E-3</v>
      </c>
      <c r="AG102">
        <f t="shared" si="5"/>
        <v>0.74099999999999999</v>
      </c>
      <c r="AH102">
        <f t="shared" si="6"/>
        <v>0.69979289534261269</v>
      </c>
      <c r="AI102">
        <f t="shared" si="7"/>
        <v>4.1207104657387306E-2</v>
      </c>
    </row>
    <row r="103" spans="1:35" x14ac:dyDescent="0.35">
      <c r="A103">
        <f>'DNC4 FF'!A103</f>
        <v>100</v>
      </c>
      <c r="B103" t="e">
        <f>'DNC4 FF'!B103</f>
        <v>#REF!</v>
      </c>
      <c r="C103" t="e">
        <f>'DNC4 FF'!C103</f>
        <v>#REF!</v>
      </c>
      <c r="D103" t="e">
        <f>'DNC4 FF'!D103</f>
        <v>#REF!</v>
      </c>
      <c r="E103" t="e">
        <f>'DNC4 FF'!E103</f>
        <v>#REF!</v>
      </c>
      <c r="F103" t="e">
        <f>'DNC4 FF'!F103</f>
        <v>#REF!</v>
      </c>
      <c r="G103">
        <f>'DNC4 FF'!G103</f>
        <v>3</v>
      </c>
      <c r="H103" t="e">
        <f>'DNC4 FF'!H103</f>
        <v>#REF!</v>
      </c>
      <c r="I103">
        <f>'DNC4 FF'!I103</f>
        <v>4</v>
      </c>
      <c r="J103">
        <f>'DNC4 FF'!J103</f>
        <v>0</v>
      </c>
      <c r="K103" t="e">
        <f>'DNC4 FF'!K103</f>
        <v>#REF!</v>
      </c>
      <c r="L103" t="e">
        <f>'DNC4 FF'!L103</f>
        <v>#REF!</v>
      </c>
      <c r="N103">
        <f>'# Out FF'!A103</f>
        <v>100</v>
      </c>
      <c r="O103">
        <f>'# Out FF'!B103</f>
        <v>1000</v>
      </c>
      <c r="P103">
        <f>'# Out FF'!C103</f>
        <v>1000</v>
      </c>
      <c r="Q103">
        <f>'# Out FF'!D103</f>
        <v>1000</v>
      </c>
      <c r="R103">
        <f>'# Out FF'!E103</f>
        <v>1000</v>
      </c>
      <c r="S103">
        <f>'# Out FF'!F103</f>
        <v>1000</v>
      </c>
      <c r="T103">
        <f>'# Out FF'!G103</f>
        <v>797</v>
      </c>
      <c r="U103">
        <f>'# Out FF'!H103</f>
        <v>1000</v>
      </c>
      <c r="V103">
        <f>'# Out FF'!I103</f>
        <v>802</v>
      </c>
      <c r="W103">
        <f>'# Out FF'!J103</f>
        <v>996</v>
      </c>
      <c r="X103">
        <f>'# Out FF'!K103</f>
        <v>1000</v>
      </c>
      <c r="Y103">
        <f>'# Out FF'!L103</f>
        <v>959.5</v>
      </c>
      <c r="AB103">
        <v>4</v>
      </c>
      <c r="AC103">
        <v>807</v>
      </c>
      <c r="AF103" s="2">
        <f t="shared" si="4"/>
        <v>4.0000000000000001E-3</v>
      </c>
      <c r="AG103">
        <f t="shared" si="5"/>
        <v>0.80700000000000005</v>
      </c>
      <c r="AH103">
        <f t="shared" si="6"/>
        <v>0.75847089591385031</v>
      </c>
      <c r="AI103">
        <f t="shared" si="7"/>
        <v>4.8529104086149744E-2</v>
      </c>
    </row>
    <row r="104" spans="1:35" x14ac:dyDescent="0.35">
      <c r="A104">
        <f>'DNC4 FF'!A104</f>
        <v>101</v>
      </c>
      <c r="B104" t="e">
        <f>'DNC4 FF'!B104</f>
        <v>#REF!</v>
      </c>
      <c r="C104" t="e">
        <f>'DNC4 FF'!C104</f>
        <v>#REF!</v>
      </c>
      <c r="D104" t="e">
        <f>'DNC4 FF'!D104</f>
        <v>#REF!</v>
      </c>
      <c r="E104" t="e">
        <f>'DNC4 FF'!E104</f>
        <v>#REF!</v>
      </c>
      <c r="F104" t="e">
        <f>'DNC4 FF'!F104</f>
        <v>#REF!</v>
      </c>
      <c r="G104">
        <f>'DNC4 FF'!G104</f>
        <v>0</v>
      </c>
      <c r="H104" t="e">
        <f>'DNC4 FF'!H104</f>
        <v>#REF!</v>
      </c>
      <c r="I104">
        <f>'DNC4 FF'!I104</f>
        <v>1</v>
      </c>
      <c r="J104">
        <f>'DNC4 FF'!J104</f>
        <v>0</v>
      </c>
      <c r="K104" t="e">
        <f>'DNC4 FF'!K104</f>
        <v>#REF!</v>
      </c>
      <c r="L104" t="e">
        <f>'DNC4 FF'!L104</f>
        <v>#REF!</v>
      </c>
      <c r="N104">
        <f>'# Out FF'!A104</f>
        <v>101</v>
      </c>
      <c r="O104">
        <f>'# Out FF'!B104</f>
        <v>1000</v>
      </c>
      <c r="P104">
        <f>'# Out FF'!C104</f>
        <v>1000</v>
      </c>
      <c r="Q104">
        <f>'# Out FF'!D104</f>
        <v>1000</v>
      </c>
      <c r="R104">
        <f>'# Out FF'!E104</f>
        <v>1000</v>
      </c>
      <c r="S104">
        <f>'# Out FF'!F104</f>
        <v>1000</v>
      </c>
      <c r="T104">
        <f>'# Out FF'!G104</f>
        <v>786</v>
      </c>
      <c r="U104">
        <f>'# Out FF'!H104</f>
        <v>1000</v>
      </c>
      <c r="V104">
        <f>'# Out FF'!I104</f>
        <v>787</v>
      </c>
      <c r="W104">
        <f>'# Out FF'!J104</f>
        <v>995</v>
      </c>
      <c r="X104">
        <f>'# Out FF'!K104</f>
        <v>1000</v>
      </c>
      <c r="Y104">
        <f>'# Out FF'!L104</f>
        <v>956.8</v>
      </c>
      <c r="AB104">
        <v>3</v>
      </c>
      <c r="AC104">
        <v>774</v>
      </c>
      <c r="AF104" s="2">
        <f t="shared" si="4"/>
        <v>3.0000000000000001E-3</v>
      </c>
      <c r="AG104">
        <f t="shared" si="5"/>
        <v>0.77400000000000002</v>
      </c>
      <c r="AH104">
        <f t="shared" si="6"/>
        <v>0.78962995748025411</v>
      </c>
      <c r="AI104">
        <f t="shared" si="7"/>
        <v>-1.5629957480254086E-2</v>
      </c>
    </row>
    <row r="105" spans="1:35" x14ac:dyDescent="0.35">
      <c r="A105">
        <f>'DNC4 FF'!A105</f>
        <v>102</v>
      </c>
      <c r="B105" t="e">
        <f>'DNC4 FF'!B105</f>
        <v>#REF!</v>
      </c>
      <c r="C105" t="e">
        <f>'DNC4 FF'!C105</f>
        <v>#REF!</v>
      </c>
      <c r="D105" t="e">
        <f>'DNC4 FF'!D105</f>
        <v>#REF!</v>
      </c>
      <c r="E105" t="e">
        <f>'DNC4 FF'!E105</f>
        <v>#REF!</v>
      </c>
      <c r="F105" t="e">
        <f>'DNC4 FF'!F105</f>
        <v>#REF!</v>
      </c>
      <c r="G105">
        <f>'DNC4 FF'!G105</f>
        <v>0</v>
      </c>
      <c r="H105" t="e">
        <f>'DNC4 FF'!H105</f>
        <v>#REF!</v>
      </c>
      <c r="I105">
        <f>'DNC4 FF'!I105</f>
        <v>2</v>
      </c>
      <c r="J105">
        <f>'DNC4 FF'!J105</f>
        <v>2</v>
      </c>
      <c r="K105" t="e">
        <f>'DNC4 FF'!K105</f>
        <v>#REF!</v>
      </c>
      <c r="L105" t="e">
        <f>'DNC4 FF'!L105</f>
        <v>#REF!</v>
      </c>
      <c r="N105">
        <f>'# Out FF'!A105</f>
        <v>102</v>
      </c>
      <c r="O105">
        <f>'# Out FF'!B105</f>
        <v>1000</v>
      </c>
      <c r="P105">
        <f>'# Out FF'!C105</f>
        <v>1000</v>
      </c>
      <c r="Q105">
        <f>'# Out FF'!D105</f>
        <v>1000</v>
      </c>
      <c r="R105">
        <f>'# Out FF'!E105</f>
        <v>1000</v>
      </c>
      <c r="S105">
        <f>'# Out FF'!F105</f>
        <v>1000</v>
      </c>
      <c r="T105">
        <f>'# Out FF'!G105</f>
        <v>996</v>
      </c>
      <c r="U105">
        <f>'# Out FF'!H105</f>
        <v>1000</v>
      </c>
      <c r="V105">
        <f>'# Out FF'!I105</f>
        <v>801</v>
      </c>
      <c r="W105">
        <f>'# Out FF'!J105</f>
        <v>996</v>
      </c>
      <c r="X105">
        <f>'# Out FF'!K105</f>
        <v>1000</v>
      </c>
      <c r="Y105">
        <f>'# Out FF'!L105</f>
        <v>979.3</v>
      </c>
      <c r="AB105">
        <v>2</v>
      </c>
      <c r="AC105">
        <v>786</v>
      </c>
      <c r="AF105" s="2">
        <f t="shared" si="4"/>
        <v>2E-3</v>
      </c>
      <c r="AG105">
        <f t="shared" si="5"/>
        <v>0.78600000000000003</v>
      </c>
      <c r="AH105">
        <f t="shared" si="6"/>
        <v>0.82206907754716119</v>
      </c>
      <c r="AI105">
        <f t="shared" si="7"/>
        <v>-3.6069077547161155E-2</v>
      </c>
    </row>
    <row r="106" spans="1:35" x14ac:dyDescent="0.35">
      <c r="A106">
        <f>'DNC4 FF'!A106</f>
        <v>103</v>
      </c>
      <c r="B106" t="e">
        <f>'DNC4 FF'!B106</f>
        <v>#REF!</v>
      </c>
      <c r="C106" t="e">
        <f>'DNC4 FF'!C106</f>
        <v>#REF!</v>
      </c>
      <c r="D106" t="e">
        <f>'DNC4 FF'!D106</f>
        <v>#REF!</v>
      </c>
      <c r="E106" t="e">
        <f>'DNC4 FF'!E106</f>
        <v>#REF!</v>
      </c>
      <c r="F106" t="e">
        <f>'DNC4 FF'!F106</f>
        <v>#REF!</v>
      </c>
      <c r="G106">
        <f>'DNC4 FF'!G106</f>
        <v>0</v>
      </c>
      <c r="H106" t="e">
        <f>'DNC4 FF'!H106</f>
        <v>#REF!</v>
      </c>
      <c r="I106">
        <f>'DNC4 FF'!I106</f>
        <v>1</v>
      </c>
      <c r="J106">
        <f>'DNC4 FF'!J106</f>
        <v>1</v>
      </c>
      <c r="K106" t="e">
        <f>'DNC4 FF'!K106</f>
        <v>#REF!</v>
      </c>
      <c r="L106" t="e">
        <f>'DNC4 FF'!L106</f>
        <v>#REF!</v>
      </c>
      <c r="N106">
        <f>'# Out FF'!A106</f>
        <v>103</v>
      </c>
      <c r="O106">
        <f>'# Out FF'!B106</f>
        <v>1000</v>
      </c>
      <c r="P106">
        <f>'# Out FF'!C106</f>
        <v>1000</v>
      </c>
      <c r="Q106">
        <f>'# Out FF'!D106</f>
        <v>1000</v>
      </c>
      <c r="R106">
        <f>'# Out FF'!E106</f>
        <v>1000</v>
      </c>
      <c r="S106">
        <f>'# Out FF'!F106</f>
        <v>1000</v>
      </c>
      <c r="T106">
        <f>'# Out FF'!G106</f>
        <v>995</v>
      </c>
      <c r="U106">
        <f>'# Out FF'!H106</f>
        <v>1000</v>
      </c>
      <c r="V106">
        <f>'# Out FF'!I106</f>
        <v>786</v>
      </c>
      <c r="W106">
        <f>'# Out FF'!J106</f>
        <v>795</v>
      </c>
      <c r="X106">
        <f>'# Out FF'!K106</f>
        <v>1000</v>
      </c>
      <c r="Y106">
        <f>'# Out FF'!L106</f>
        <v>957.6</v>
      </c>
      <c r="AB106">
        <v>4</v>
      </c>
      <c r="AC106">
        <v>801</v>
      </c>
      <c r="AF106" s="2">
        <f t="shared" si="4"/>
        <v>4.0000000000000001E-3</v>
      </c>
      <c r="AG106">
        <f t="shared" si="5"/>
        <v>0.80100000000000005</v>
      </c>
      <c r="AH106">
        <f t="shared" si="6"/>
        <v>0.75847089591385031</v>
      </c>
      <c r="AI106">
        <f t="shared" si="7"/>
        <v>4.2529104086149738E-2</v>
      </c>
    </row>
    <row r="107" spans="1:35" x14ac:dyDescent="0.35">
      <c r="A107">
        <f>'DNC4 FF'!A107</f>
        <v>104</v>
      </c>
      <c r="B107" t="e">
        <f>'DNC4 FF'!B107</f>
        <v>#REF!</v>
      </c>
      <c r="C107" t="e">
        <f>'DNC4 FF'!C107</f>
        <v>#REF!</v>
      </c>
      <c r="D107" t="e">
        <f>'DNC4 FF'!D107</f>
        <v>#REF!</v>
      </c>
      <c r="E107" t="e">
        <f>'DNC4 FF'!E107</f>
        <v>#REF!</v>
      </c>
      <c r="F107" t="e">
        <f>'DNC4 FF'!F107</f>
        <v>#REF!</v>
      </c>
      <c r="G107">
        <f>'DNC4 FF'!G107</f>
        <v>0</v>
      </c>
      <c r="H107" t="e">
        <f>'DNC4 FF'!H107</f>
        <v>#REF!</v>
      </c>
      <c r="I107">
        <f>'DNC4 FF'!I107</f>
        <v>0</v>
      </c>
      <c r="J107">
        <f>'DNC4 FF'!J107</f>
        <v>0</v>
      </c>
      <c r="K107" t="e">
        <f>'DNC4 FF'!K107</f>
        <v>#REF!</v>
      </c>
      <c r="L107" t="e">
        <f>'DNC4 FF'!L107</f>
        <v>#REF!</v>
      </c>
      <c r="N107">
        <f>'# Out FF'!A107</f>
        <v>104</v>
      </c>
      <c r="O107">
        <f>'# Out FF'!B107</f>
        <v>1000</v>
      </c>
      <c r="P107">
        <f>'# Out FF'!C107</f>
        <v>1000</v>
      </c>
      <c r="Q107">
        <f>'# Out FF'!D107</f>
        <v>1000</v>
      </c>
      <c r="R107">
        <f>'# Out FF'!E107</f>
        <v>1000</v>
      </c>
      <c r="S107">
        <f>'# Out FF'!F107</f>
        <v>1000</v>
      </c>
      <c r="T107">
        <f>'# Out FF'!G107</f>
        <v>998</v>
      </c>
      <c r="U107">
        <f>'# Out FF'!H107</f>
        <v>1000</v>
      </c>
      <c r="V107">
        <f>'# Out FF'!I107</f>
        <v>805</v>
      </c>
      <c r="W107">
        <f>'# Out FF'!J107</f>
        <v>780</v>
      </c>
      <c r="X107">
        <f>'# Out FF'!K107</f>
        <v>1000</v>
      </c>
      <c r="Y107">
        <f>'# Out FF'!L107</f>
        <v>958.3</v>
      </c>
      <c r="AB107">
        <v>6</v>
      </c>
      <c r="AC107">
        <v>738</v>
      </c>
      <c r="AF107" s="2">
        <f t="shared" si="4"/>
        <v>6.0000000000000001E-3</v>
      </c>
      <c r="AG107">
        <f t="shared" si="5"/>
        <v>0.73799999999999999</v>
      </c>
      <c r="AH107">
        <f t="shared" si="6"/>
        <v>0.69979289534261269</v>
      </c>
      <c r="AI107">
        <f t="shared" si="7"/>
        <v>3.8207104657387303E-2</v>
      </c>
    </row>
    <row r="108" spans="1:35" x14ac:dyDescent="0.35">
      <c r="A108">
        <f>'DNC4 FF'!A108</f>
        <v>105</v>
      </c>
      <c r="B108" t="e">
        <f>'DNC4 FF'!B108</f>
        <v>#REF!</v>
      </c>
      <c r="C108" t="e">
        <f>'DNC4 FF'!C108</f>
        <v>#REF!</v>
      </c>
      <c r="D108" t="e">
        <f>'DNC4 FF'!D108</f>
        <v>#REF!</v>
      </c>
      <c r="E108" t="e">
        <f>'DNC4 FF'!E108</f>
        <v>#REF!</v>
      </c>
      <c r="F108" t="e">
        <f>'DNC4 FF'!F108</f>
        <v>#REF!</v>
      </c>
      <c r="G108">
        <f>'DNC4 FF'!G108</f>
        <v>2</v>
      </c>
      <c r="H108" t="e">
        <f>'DNC4 FF'!H108</f>
        <v>#REF!</v>
      </c>
      <c r="I108">
        <f>'DNC4 FF'!I108</f>
        <v>0</v>
      </c>
      <c r="J108">
        <f>'DNC4 FF'!J108</f>
        <v>0</v>
      </c>
      <c r="K108" t="e">
        <f>'DNC4 FF'!K108</f>
        <v>#REF!</v>
      </c>
      <c r="L108" t="e">
        <f>'DNC4 FF'!L108</f>
        <v>#REF!</v>
      </c>
      <c r="N108">
        <f>'# Out FF'!A108</f>
        <v>105</v>
      </c>
      <c r="O108">
        <f>'# Out FF'!B108</f>
        <v>1000</v>
      </c>
      <c r="P108">
        <f>'# Out FF'!C108</f>
        <v>1000</v>
      </c>
      <c r="Q108">
        <f>'# Out FF'!D108</f>
        <v>1000</v>
      </c>
      <c r="R108">
        <f>'# Out FF'!E108</f>
        <v>1000</v>
      </c>
      <c r="S108">
        <f>'# Out FF'!F108</f>
        <v>1000</v>
      </c>
      <c r="T108">
        <f>'# Out FF'!G108</f>
        <v>996</v>
      </c>
      <c r="U108">
        <f>'# Out FF'!H108</f>
        <v>1000</v>
      </c>
      <c r="V108">
        <f>'# Out FF'!I108</f>
        <v>997</v>
      </c>
      <c r="W108">
        <f>'# Out FF'!J108</f>
        <v>993</v>
      </c>
      <c r="X108">
        <f>'# Out FF'!K108</f>
        <v>1000</v>
      </c>
      <c r="Y108">
        <f>'# Out FF'!L108</f>
        <v>998.6</v>
      </c>
      <c r="AB108">
        <v>8</v>
      </c>
      <c r="AC108">
        <v>691</v>
      </c>
      <c r="AF108" s="2">
        <f t="shared" si="4"/>
        <v>8.0000000000000002E-3</v>
      </c>
      <c r="AG108">
        <f t="shared" si="5"/>
        <v>0.69099999999999995</v>
      </c>
      <c r="AH108">
        <f t="shared" si="6"/>
        <v>0.64565443316314119</v>
      </c>
      <c r="AI108">
        <f t="shared" si="7"/>
        <v>4.5345566836858753E-2</v>
      </c>
    </row>
    <row r="109" spans="1:35" x14ac:dyDescent="0.35">
      <c r="A109">
        <f>'DNC4 FF'!A109</f>
        <v>106</v>
      </c>
      <c r="B109" t="e">
        <f>'DNC4 FF'!B109</f>
        <v>#REF!</v>
      </c>
      <c r="C109" t="e">
        <f>'DNC4 FF'!C109</f>
        <v>#REF!</v>
      </c>
      <c r="D109" t="e">
        <f>'DNC4 FF'!D109</f>
        <v>#REF!</v>
      </c>
      <c r="E109" t="e">
        <f>'DNC4 FF'!E109</f>
        <v>#REF!</v>
      </c>
      <c r="F109" t="e">
        <f>'DNC4 FF'!F109</f>
        <v>#REF!</v>
      </c>
      <c r="G109">
        <f>'DNC4 FF'!G109</f>
        <v>1</v>
      </c>
      <c r="H109" t="e">
        <f>'DNC4 FF'!H109</f>
        <v>#REF!</v>
      </c>
      <c r="I109">
        <f>'DNC4 FF'!I109</f>
        <v>0</v>
      </c>
      <c r="J109">
        <f>'DNC4 FF'!J109</f>
        <v>0</v>
      </c>
      <c r="K109" t="e">
        <f>'DNC4 FF'!K109</f>
        <v>#REF!</v>
      </c>
      <c r="L109" t="e">
        <f>'DNC4 FF'!L109</f>
        <v>#REF!</v>
      </c>
      <c r="N109">
        <f>'# Out FF'!A109</f>
        <v>106</v>
      </c>
      <c r="O109">
        <f>'# Out FF'!B109</f>
        <v>1000</v>
      </c>
      <c r="P109">
        <f>'# Out FF'!C109</f>
        <v>1000</v>
      </c>
      <c r="Q109">
        <f>'# Out FF'!D109</f>
        <v>1000</v>
      </c>
      <c r="R109">
        <f>'# Out FF'!E109</f>
        <v>1000</v>
      </c>
      <c r="S109">
        <f>'# Out FF'!F109</f>
        <v>1000</v>
      </c>
      <c r="T109">
        <f>'# Out FF'!G109</f>
        <v>796</v>
      </c>
      <c r="U109">
        <f>'# Out FF'!H109</f>
        <v>1000</v>
      </c>
      <c r="V109">
        <f>'# Out FF'!I109</f>
        <v>999</v>
      </c>
      <c r="W109">
        <f>'# Out FF'!J109</f>
        <v>996</v>
      </c>
      <c r="X109">
        <f>'# Out FF'!K109</f>
        <v>1000</v>
      </c>
      <c r="Y109">
        <f>'# Out FF'!L109</f>
        <v>979.1</v>
      </c>
      <c r="AB109">
        <v>11</v>
      </c>
      <c r="AC109">
        <v>661</v>
      </c>
      <c r="AF109" s="2">
        <f t="shared" si="4"/>
        <v>1.0999999999999999E-2</v>
      </c>
      <c r="AG109">
        <f t="shared" si="5"/>
        <v>0.66100000000000003</v>
      </c>
      <c r="AH109">
        <f t="shared" si="6"/>
        <v>0.57219762357525106</v>
      </c>
      <c r="AI109">
        <f t="shared" si="7"/>
        <v>8.8802376424748974E-2</v>
      </c>
    </row>
    <row r="110" spans="1:35" x14ac:dyDescent="0.35">
      <c r="A110">
        <f>'DNC4 FF'!A110</f>
        <v>107</v>
      </c>
      <c r="B110" t="e">
        <f>'DNC4 FF'!B110</f>
        <v>#REF!</v>
      </c>
      <c r="C110" t="e">
        <f>'DNC4 FF'!C110</f>
        <v>#REF!</v>
      </c>
      <c r="D110" t="e">
        <f>'DNC4 FF'!D110</f>
        <v>#REF!</v>
      </c>
      <c r="E110" t="e">
        <f>'DNC4 FF'!E110</f>
        <v>#REF!</v>
      </c>
      <c r="F110" t="e">
        <f>'DNC4 FF'!F110</f>
        <v>#REF!</v>
      </c>
      <c r="G110">
        <f>'DNC4 FF'!G110</f>
        <v>1</v>
      </c>
      <c r="H110" t="e">
        <f>'DNC4 FF'!H110</f>
        <v>#REF!</v>
      </c>
      <c r="I110">
        <f>'DNC4 FF'!I110</f>
        <v>0</v>
      </c>
      <c r="J110">
        <f>'DNC4 FF'!J110</f>
        <v>0</v>
      </c>
      <c r="K110" t="e">
        <f>'DNC4 FF'!K110</f>
        <v>#REF!</v>
      </c>
      <c r="L110" t="e">
        <f>'DNC4 FF'!L110</f>
        <v>#REF!</v>
      </c>
      <c r="N110">
        <f>'# Out FF'!A110</f>
        <v>107</v>
      </c>
      <c r="O110">
        <f>'# Out FF'!B110</f>
        <v>1000</v>
      </c>
      <c r="P110">
        <f>'# Out FF'!C110</f>
        <v>1000</v>
      </c>
      <c r="Q110">
        <f>'# Out FF'!D110</f>
        <v>1000</v>
      </c>
      <c r="R110">
        <f>'# Out FF'!E110</f>
        <v>1000</v>
      </c>
      <c r="S110">
        <f>'# Out FF'!F110</f>
        <v>1000</v>
      </c>
      <c r="T110">
        <f>'# Out FF'!G110</f>
        <v>800</v>
      </c>
      <c r="U110">
        <f>'# Out FF'!H110</f>
        <v>1000</v>
      </c>
      <c r="V110">
        <f>'# Out FF'!I110</f>
        <v>1000</v>
      </c>
      <c r="W110">
        <f>'# Out FF'!J110</f>
        <v>996</v>
      </c>
      <c r="X110">
        <f>'# Out FF'!K110</f>
        <v>1000</v>
      </c>
      <c r="Y110">
        <f>'# Out FF'!L110</f>
        <v>979.6</v>
      </c>
      <c r="AB110">
        <v>13</v>
      </c>
      <c r="AC110">
        <v>464</v>
      </c>
      <c r="AF110" s="2">
        <f t="shared" si="4"/>
        <v>1.2999999999999999E-2</v>
      </c>
      <c r="AG110">
        <f t="shared" si="5"/>
        <v>0.46400000000000002</v>
      </c>
      <c r="AH110">
        <f t="shared" si="6"/>
        <v>0.52793038449740115</v>
      </c>
      <c r="AI110">
        <f t="shared" si="7"/>
        <v>-6.3930384497401127E-2</v>
      </c>
    </row>
    <row r="111" spans="1:35" x14ac:dyDescent="0.35">
      <c r="A111">
        <f>'DNC4 FF'!A111</f>
        <v>108</v>
      </c>
      <c r="B111" t="e">
        <f>'DNC4 FF'!B111</f>
        <v>#REF!</v>
      </c>
      <c r="C111" t="e">
        <f>'DNC4 FF'!C111</f>
        <v>#REF!</v>
      </c>
      <c r="D111" t="e">
        <f>'DNC4 FF'!D111</f>
        <v>#REF!</v>
      </c>
      <c r="E111" t="e">
        <f>'DNC4 FF'!E111</f>
        <v>#REF!</v>
      </c>
      <c r="F111" t="e">
        <f>'DNC4 FF'!F111</f>
        <v>#REF!</v>
      </c>
      <c r="G111">
        <f>'DNC4 FF'!G111</f>
        <v>1</v>
      </c>
      <c r="H111" t="e">
        <f>'DNC4 FF'!H111</f>
        <v>#REF!</v>
      </c>
      <c r="I111">
        <f>'DNC4 FF'!I111</f>
        <v>2</v>
      </c>
      <c r="J111">
        <f>'DNC4 FF'!J111</f>
        <v>2</v>
      </c>
      <c r="K111" t="e">
        <f>'DNC4 FF'!K111</f>
        <v>#REF!</v>
      </c>
      <c r="L111" t="e">
        <f>'DNC4 FF'!L111</f>
        <v>#REF!</v>
      </c>
      <c r="N111">
        <f>'# Out FF'!A111</f>
        <v>108</v>
      </c>
      <c r="O111">
        <f>'# Out FF'!B111</f>
        <v>1000</v>
      </c>
      <c r="P111">
        <f>'# Out FF'!C111</f>
        <v>1000</v>
      </c>
      <c r="Q111">
        <f>'# Out FF'!D111</f>
        <v>1000</v>
      </c>
      <c r="R111">
        <f>'# Out FF'!E111</f>
        <v>1000</v>
      </c>
      <c r="S111">
        <f>'# Out FF'!F111</f>
        <v>1000</v>
      </c>
      <c r="T111">
        <f>'# Out FF'!G111</f>
        <v>800</v>
      </c>
      <c r="U111">
        <f>'# Out FF'!H111</f>
        <v>1000</v>
      </c>
      <c r="V111">
        <f>'# Out FF'!I111</f>
        <v>998</v>
      </c>
      <c r="W111">
        <f>'# Out FF'!J111</f>
        <v>996</v>
      </c>
      <c r="X111">
        <f>'# Out FF'!K111</f>
        <v>1000</v>
      </c>
      <c r="Y111">
        <f>'# Out FF'!L111</f>
        <v>979.4</v>
      </c>
      <c r="AB111">
        <v>12</v>
      </c>
      <c r="AC111">
        <v>555</v>
      </c>
      <c r="AF111" s="2">
        <f t="shared" si="4"/>
        <v>1.2E-2</v>
      </c>
      <c r="AG111">
        <f t="shared" si="5"/>
        <v>0.55500000000000005</v>
      </c>
      <c r="AH111">
        <f t="shared" si="6"/>
        <v>0.54961851444668564</v>
      </c>
      <c r="AI111">
        <f t="shared" si="7"/>
        <v>5.3814855533144135E-3</v>
      </c>
    </row>
    <row r="112" spans="1:35" x14ac:dyDescent="0.35">
      <c r="A112">
        <f>'DNC4 FF'!A112</f>
        <v>109</v>
      </c>
      <c r="B112" t="e">
        <f>'DNC4 FF'!B112</f>
        <v>#REF!</v>
      </c>
      <c r="C112" t="e">
        <f>'DNC4 FF'!C112</f>
        <v>#REF!</v>
      </c>
      <c r="D112" t="e">
        <f>'DNC4 FF'!D112</f>
        <v>#REF!</v>
      </c>
      <c r="E112" t="e">
        <f>'DNC4 FF'!E112</f>
        <v>#REF!</v>
      </c>
      <c r="F112" t="e">
        <f>'DNC4 FF'!F112</f>
        <v>#REF!</v>
      </c>
      <c r="G112">
        <f>'DNC4 FF'!G112</f>
        <v>1</v>
      </c>
      <c r="H112" t="e">
        <f>'DNC4 FF'!H112</f>
        <v>#REF!</v>
      </c>
      <c r="I112">
        <f>'DNC4 FF'!I112</f>
        <v>1</v>
      </c>
      <c r="J112">
        <f>'DNC4 FF'!J112</f>
        <v>1</v>
      </c>
      <c r="K112" t="e">
        <f>'DNC4 FF'!K112</f>
        <v>#REF!</v>
      </c>
      <c r="L112" t="e">
        <f>'DNC4 FF'!L112</f>
        <v>#REF!</v>
      </c>
      <c r="N112">
        <f>'# Out FF'!A112</f>
        <v>109</v>
      </c>
      <c r="O112">
        <f>'# Out FF'!B112</f>
        <v>1000</v>
      </c>
      <c r="P112">
        <f>'# Out FF'!C112</f>
        <v>1000</v>
      </c>
      <c r="Q112">
        <f>'# Out FF'!D112</f>
        <v>1000</v>
      </c>
      <c r="R112">
        <f>'# Out FF'!E112</f>
        <v>1000</v>
      </c>
      <c r="S112">
        <f>'# Out FF'!F112</f>
        <v>1000</v>
      </c>
      <c r="T112">
        <f>'# Out FF'!G112</f>
        <v>802</v>
      </c>
      <c r="U112">
        <f>'# Out FF'!H112</f>
        <v>1000</v>
      </c>
      <c r="V112">
        <f>'# Out FF'!I112</f>
        <v>789</v>
      </c>
      <c r="W112">
        <f>'# Out FF'!J112</f>
        <v>793</v>
      </c>
      <c r="X112">
        <f>'# Out FF'!K112</f>
        <v>1000</v>
      </c>
      <c r="Y112">
        <f>'# Out FF'!L112</f>
        <v>938.4</v>
      </c>
      <c r="AB112">
        <v>6</v>
      </c>
      <c r="AC112">
        <v>725</v>
      </c>
      <c r="AF112" s="2">
        <f t="shared" si="4"/>
        <v>6.0000000000000001E-3</v>
      </c>
      <c r="AG112">
        <f t="shared" si="5"/>
        <v>0.72499999999999998</v>
      </c>
      <c r="AH112">
        <f t="shared" si="6"/>
        <v>0.69979289534261269</v>
      </c>
      <c r="AI112">
        <f t="shared" si="7"/>
        <v>2.5207104657387291E-2</v>
      </c>
    </row>
    <row r="113" spans="1:35" x14ac:dyDescent="0.35">
      <c r="A113">
        <f>'DNC4 FF'!A113</f>
        <v>110</v>
      </c>
      <c r="B113" t="e">
        <f>'DNC4 FF'!B113</f>
        <v>#REF!</v>
      </c>
      <c r="C113" t="e">
        <f>'DNC4 FF'!C113</f>
        <v>#REF!</v>
      </c>
      <c r="D113" t="e">
        <f>'DNC4 FF'!D113</f>
        <v>#REF!</v>
      </c>
      <c r="E113" t="e">
        <f>'DNC4 FF'!E113</f>
        <v>#REF!</v>
      </c>
      <c r="F113" t="e">
        <f>'DNC4 FF'!F113</f>
        <v>#REF!</v>
      </c>
      <c r="G113">
        <f>'DNC4 FF'!G113</f>
        <v>1</v>
      </c>
      <c r="H113" t="e">
        <f>'DNC4 FF'!H113</f>
        <v>#REF!</v>
      </c>
      <c r="I113">
        <f>'DNC4 FF'!I113</f>
        <v>1</v>
      </c>
      <c r="J113">
        <f>'DNC4 FF'!J113</f>
        <v>0</v>
      </c>
      <c r="K113" t="e">
        <f>'DNC4 FF'!K113</f>
        <v>#REF!</v>
      </c>
      <c r="L113" t="e">
        <f>'DNC4 FF'!L113</f>
        <v>#REF!</v>
      </c>
      <c r="N113">
        <f>'# Out FF'!A113</f>
        <v>110</v>
      </c>
      <c r="O113">
        <f>'# Out FF'!B113</f>
        <v>1000</v>
      </c>
      <c r="P113">
        <f>'# Out FF'!C113</f>
        <v>1000</v>
      </c>
      <c r="Q113">
        <f>'# Out FF'!D113</f>
        <v>1000</v>
      </c>
      <c r="R113">
        <f>'# Out FF'!E113</f>
        <v>1000</v>
      </c>
      <c r="S113">
        <f>'# Out FF'!F113</f>
        <v>1000</v>
      </c>
      <c r="T113">
        <f>'# Out FF'!G113</f>
        <v>803</v>
      </c>
      <c r="U113">
        <f>'# Out FF'!H113</f>
        <v>1000</v>
      </c>
      <c r="V113">
        <f>'# Out FF'!I113</f>
        <v>811</v>
      </c>
      <c r="W113">
        <f>'# Out FF'!J113</f>
        <v>787</v>
      </c>
      <c r="X113">
        <f>'# Out FF'!K113</f>
        <v>1000</v>
      </c>
      <c r="Y113">
        <f>'# Out FF'!L113</f>
        <v>940.1</v>
      </c>
      <c r="AB113">
        <v>4</v>
      </c>
      <c r="AC113">
        <v>788</v>
      </c>
      <c r="AF113" s="2">
        <f t="shared" si="4"/>
        <v>4.0000000000000001E-3</v>
      </c>
      <c r="AG113">
        <f t="shared" si="5"/>
        <v>0.78800000000000003</v>
      </c>
      <c r="AH113">
        <f t="shared" si="6"/>
        <v>0.75847089591385031</v>
      </c>
      <c r="AI113">
        <f t="shared" si="7"/>
        <v>2.9529104086149727E-2</v>
      </c>
    </row>
    <row r="114" spans="1:35" x14ac:dyDescent="0.35">
      <c r="A114">
        <f>'DNC4 FF'!A114</f>
        <v>111</v>
      </c>
      <c r="B114" t="e">
        <f>'DNC4 FF'!B114</f>
        <v>#REF!</v>
      </c>
      <c r="C114" t="e">
        <f>'DNC4 FF'!C114</f>
        <v>#REF!</v>
      </c>
      <c r="D114" t="e">
        <f>'DNC4 FF'!D114</f>
        <v>#REF!</v>
      </c>
      <c r="E114" t="e">
        <f>'DNC4 FF'!E114</f>
        <v>#REF!</v>
      </c>
      <c r="F114" t="e">
        <f>'DNC4 FF'!F114</f>
        <v>#REF!</v>
      </c>
      <c r="G114">
        <f>'DNC4 FF'!G114</f>
        <v>1</v>
      </c>
      <c r="H114" t="e">
        <f>'DNC4 FF'!H114</f>
        <v>#REF!</v>
      </c>
      <c r="I114">
        <f>'DNC4 FF'!I114</f>
        <v>1</v>
      </c>
      <c r="J114">
        <f>'DNC4 FF'!J114</f>
        <v>3</v>
      </c>
      <c r="K114" t="e">
        <f>'DNC4 FF'!K114</f>
        <v>#REF!</v>
      </c>
      <c r="L114" t="e">
        <f>'DNC4 FF'!L114</f>
        <v>#REF!</v>
      </c>
      <c r="N114">
        <f>'# Out FF'!A114</f>
        <v>111</v>
      </c>
      <c r="O114">
        <f>'# Out FF'!B114</f>
        <v>1000</v>
      </c>
      <c r="P114">
        <f>'# Out FF'!C114</f>
        <v>1000</v>
      </c>
      <c r="Q114">
        <f>'# Out FF'!D114</f>
        <v>1000</v>
      </c>
      <c r="R114">
        <f>'# Out FF'!E114</f>
        <v>1000</v>
      </c>
      <c r="S114">
        <f>'# Out FF'!F114</f>
        <v>1000</v>
      </c>
      <c r="T114">
        <f>'# Out FF'!G114</f>
        <v>806</v>
      </c>
      <c r="U114">
        <f>'# Out FF'!H114</f>
        <v>1000</v>
      </c>
      <c r="V114">
        <f>'# Out FF'!I114</f>
        <v>807</v>
      </c>
      <c r="W114">
        <f>'# Out FF'!J114</f>
        <v>997</v>
      </c>
      <c r="X114">
        <f>'# Out FF'!K114</f>
        <v>1000</v>
      </c>
      <c r="Y114">
        <f>'# Out FF'!L114</f>
        <v>961</v>
      </c>
      <c r="AB114">
        <v>2</v>
      </c>
      <c r="AC114">
        <v>786</v>
      </c>
      <c r="AF114" s="2">
        <f t="shared" si="4"/>
        <v>2E-3</v>
      </c>
      <c r="AG114">
        <f t="shared" si="5"/>
        <v>0.78600000000000003</v>
      </c>
      <c r="AH114">
        <f t="shared" si="6"/>
        <v>0.82206907754716119</v>
      </c>
      <c r="AI114">
        <f t="shared" si="7"/>
        <v>-3.6069077547161155E-2</v>
      </c>
    </row>
    <row r="115" spans="1:35" x14ac:dyDescent="0.35">
      <c r="A115">
        <f>'DNC4 FF'!A115</f>
        <v>112</v>
      </c>
      <c r="B115" t="e">
        <f>'DNC4 FF'!B115</f>
        <v>#REF!</v>
      </c>
      <c r="C115" t="e">
        <f>'DNC4 FF'!C115</f>
        <v>#REF!</v>
      </c>
      <c r="D115" t="e">
        <f>'DNC4 FF'!D115</f>
        <v>#REF!</v>
      </c>
      <c r="E115" t="e">
        <f>'DNC4 FF'!E115</f>
        <v>#REF!</v>
      </c>
      <c r="F115" t="e">
        <f>'DNC4 FF'!F115</f>
        <v>#REF!</v>
      </c>
      <c r="G115">
        <f>'DNC4 FF'!G115</f>
        <v>4</v>
      </c>
      <c r="H115" t="e">
        <f>'DNC4 FF'!H115</f>
        <v>#REF!</v>
      </c>
      <c r="I115">
        <f>'DNC4 FF'!I115</f>
        <v>1</v>
      </c>
      <c r="J115">
        <f>'DNC4 FF'!J115</f>
        <v>1</v>
      </c>
      <c r="K115" t="e">
        <f>'DNC4 FF'!K115</f>
        <v>#REF!</v>
      </c>
      <c r="L115" t="e">
        <f>'DNC4 FF'!L115</f>
        <v>#REF!</v>
      </c>
      <c r="N115">
        <f>'# Out FF'!A115</f>
        <v>112</v>
      </c>
      <c r="O115">
        <f>'# Out FF'!B115</f>
        <v>1000</v>
      </c>
      <c r="P115">
        <f>'# Out FF'!C115</f>
        <v>1000</v>
      </c>
      <c r="Q115">
        <f>'# Out FF'!D115</f>
        <v>1000</v>
      </c>
      <c r="R115">
        <f>'# Out FF'!E115</f>
        <v>1000</v>
      </c>
      <c r="S115">
        <f>'# Out FF'!F115</f>
        <v>1000</v>
      </c>
      <c r="T115">
        <f>'# Out FF'!G115</f>
        <v>803</v>
      </c>
      <c r="U115">
        <f>'# Out FF'!H115</f>
        <v>1000</v>
      </c>
      <c r="V115">
        <f>'# Out FF'!I115</f>
        <v>799</v>
      </c>
      <c r="W115">
        <f>'# Out FF'!J115</f>
        <v>766</v>
      </c>
      <c r="X115">
        <f>'# Out FF'!K115</f>
        <v>1000</v>
      </c>
      <c r="Y115">
        <f>'# Out FF'!L115</f>
        <v>936.8</v>
      </c>
      <c r="AB115">
        <v>4</v>
      </c>
      <c r="AC115">
        <v>805</v>
      </c>
      <c r="AF115" s="2">
        <f t="shared" si="4"/>
        <v>4.0000000000000001E-3</v>
      </c>
      <c r="AG115">
        <f t="shared" si="5"/>
        <v>0.80500000000000005</v>
      </c>
      <c r="AH115">
        <f t="shared" si="6"/>
        <v>0.75847089591385031</v>
      </c>
      <c r="AI115">
        <f t="shared" si="7"/>
        <v>4.6529104086149742E-2</v>
      </c>
    </row>
    <row r="116" spans="1:35" x14ac:dyDescent="0.35">
      <c r="A116">
        <f>'DNC4 FF'!A116</f>
        <v>113</v>
      </c>
      <c r="B116" t="e">
        <f>'DNC4 FF'!B116</f>
        <v>#REF!</v>
      </c>
      <c r="C116" t="e">
        <f>'DNC4 FF'!C116</f>
        <v>#REF!</v>
      </c>
      <c r="D116" t="e">
        <f>'DNC4 FF'!D116</f>
        <v>#REF!</v>
      </c>
      <c r="E116" t="e">
        <f>'DNC4 FF'!E116</f>
        <v>#REF!</v>
      </c>
      <c r="F116" t="e">
        <f>'DNC4 FF'!F116</f>
        <v>#REF!</v>
      </c>
      <c r="G116">
        <f>'DNC4 FF'!G116</f>
        <v>3</v>
      </c>
      <c r="H116" t="e">
        <f>'DNC4 FF'!H116</f>
        <v>#REF!</v>
      </c>
      <c r="I116">
        <f>'DNC4 FF'!I116</f>
        <v>0</v>
      </c>
      <c r="J116">
        <f>'DNC4 FF'!J116</f>
        <v>0</v>
      </c>
      <c r="K116" t="e">
        <f>'DNC4 FF'!K116</f>
        <v>#REF!</v>
      </c>
      <c r="L116" t="e">
        <f>'DNC4 FF'!L116</f>
        <v>#REF!</v>
      </c>
      <c r="N116">
        <f>'# Out FF'!A116</f>
        <v>113</v>
      </c>
      <c r="O116">
        <f>'# Out FF'!B116</f>
        <v>1000</v>
      </c>
      <c r="P116">
        <f>'# Out FF'!C116</f>
        <v>1000</v>
      </c>
      <c r="Q116">
        <f>'# Out FF'!D116</f>
        <v>1000</v>
      </c>
      <c r="R116">
        <f>'# Out FF'!E116</f>
        <v>1000</v>
      </c>
      <c r="S116">
        <f>'# Out FF'!F116</f>
        <v>1000</v>
      </c>
      <c r="T116">
        <f>'# Out FF'!G116</f>
        <v>803</v>
      </c>
      <c r="U116">
        <f>'# Out FF'!H116</f>
        <v>1000</v>
      </c>
      <c r="V116">
        <f>'# Out FF'!I116</f>
        <v>803</v>
      </c>
      <c r="W116">
        <f>'# Out FF'!J116</f>
        <v>785</v>
      </c>
      <c r="X116">
        <f>'# Out FF'!K116</f>
        <v>1000</v>
      </c>
      <c r="Y116">
        <f>'# Out FF'!L116</f>
        <v>939.1</v>
      </c>
      <c r="AB116">
        <v>2</v>
      </c>
      <c r="AC116">
        <v>777</v>
      </c>
      <c r="AF116" s="2">
        <f t="shared" si="4"/>
        <v>2E-3</v>
      </c>
      <c r="AG116">
        <f t="shared" si="5"/>
        <v>0.77700000000000002</v>
      </c>
      <c r="AH116">
        <f t="shared" si="6"/>
        <v>0.82206907754716119</v>
      </c>
      <c r="AI116">
        <f t="shared" si="7"/>
        <v>-4.5069077547161163E-2</v>
      </c>
    </row>
    <row r="117" spans="1:35" x14ac:dyDescent="0.35">
      <c r="A117">
        <f>'DNC4 FF'!A117</f>
        <v>114</v>
      </c>
      <c r="B117" t="e">
        <f>'DNC4 FF'!B117</f>
        <v>#REF!</v>
      </c>
      <c r="C117" t="e">
        <f>'DNC4 FF'!C117</f>
        <v>#REF!</v>
      </c>
      <c r="D117" t="e">
        <f>'DNC4 FF'!D117</f>
        <v>#REF!</v>
      </c>
      <c r="E117" t="e">
        <f>'DNC4 FF'!E117</f>
        <v>#REF!</v>
      </c>
      <c r="F117" t="e">
        <f>'DNC4 FF'!F117</f>
        <v>#REF!</v>
      </c>
      <c r="G117">
        <f>'DNC4 FF'!G117</f>
        <v>2</v>
      </c>
      <c r="H117" t="e">
        <f>'DNC4 FF'!H117</f>
        <v>#REF!</v>
      </c>
      <c r="I117">
        <f>'DNC4 FF'!I117</f>
        <v>0</v>
      </c>
      <c r="J117">
        <f>'DNC4 FF'!J117</f>
        <v>2</v>
      </c>
      <c r="K117" t="e">
        <f>'DNC4 FF'!K117</f>
        <v>#REF!</v>
      </c>
      <c r="L117" t="e">
        <f>'DNC4 FF'!L117</f>
        <v>#REF!</v>
      </c>
      <c r="N117">
        <f>'# Out FF'!A117</f>
        <v>114</v>
      </c>
      <c r="O117">
        <f>'# Out FF'!B117</f>
        <v>1000</v>
      </c>
      <c r="P117">
        <f>'# Out FF'!C117</f>
        <v>1000</v>
      </c>
      <c r="Q117">
        <f>'# Out FF'!D117</f>
        <v>1000</v>
      </c>
      <c r="R117">
        <f>'# Out FF'!E117</f>
        <v>1000</v>
      </c>
      <c r="S117">
        <f>'# Out FF'!F117</f>
        <v>1000</v>
      </c>
      <c r="T117">
        <f>'# Out FF'!G117</f>
        <v>778</v>
      </c>
      <c r="U117">
        <f>'# Out FF'!H117</f>
        <v>1000</v>
      </c>
      <c r="V117">
        <f>'# Out FF'!I117</f>
        <v>997</v>
      </c>
      <c r="W117">
        <f>'# Out FF'!J117</f>
        <v>994</v>
      </c>
      <c r="X117">
        <f>'# Out FF'!K117</f>
        <v>1000</v>
      </c>
      <c r="Y117">
        <f>'# Out FF'!L117</f>
        <v>976.9</v>
      </c>
      <c r="AB117">
        <v>6</v>
      </c>
      <c r="AC117">
        <v>749</v>
      </c>
      <c r="AF117" s="2">
        <f t="shared" si="4"/>
        <v>6.0000000000000001E-3</v>
      </c>
      <c r="AG117">
        <f t="shared" si="5"/>
        <v>0.749</v>
      </c>
      <c r="AH117">
        <f t="shared" si="6"/>
        <v>0.69979289534261269</v>
      </c>
      <c r="AI117">
        <f t="shared" si="7"/>
        <v>4.9207104657387313E-2</v>
      </c>
    </row>
    <row r="118" spans="1:35" x14ac:dyDescent="0.35">
      <c r="A118">
        <f>'DNC4 FF'!A118</f>
        <v>115</v>
      </c>
      <c r="B118" t="e">
        <f>'DNC4 FF'!B118</f>
        <v>#REF!</v>
      </c>
      <c r="C118" t="e">
        <f>'DNC4 FF'!C118</f>
        <v>#REF!</v>
      </c>
      <c r="D118" t="e">
        <f>'DNC4 FF'!D118</f>
        <v>#REF!</v>
      </c>
      <c r="E118" t="e">
        <f>'DNC4 FF'!E118</f>
        <v>#REF!</v>
      </c>
      <c r="F118" t="e">
        <f>'DNC4 FF'!F118</f>
        <v>#REF!</v>
      </c>
      <c r="G118">
        <f>'DNC4 FF'!G118</f>
        <v>4</v>
      </c>
      <c r="H118" t="e">
        <f>'DNC4 FF'!H118</f>
        <v>#REF!</v>
      </c>
      <c r="I118">
        <f>'DNC4 FF'!I118</f>
        <v>0</v>
      </c>
      <c r="J118">
        <f>'DNC4 FF'!J118</f>
        <v>2</v>
      </c>
      <c r="K118" t="e">
        <f>'DNC4 FF'!K118</f>
        <v>#REF!</v>
      </c>
      <c r="L118" t="e">
        <f>'DNC4 FF'!L118</f>
        <v>#REF!</v>
      </c>
      <c r="N118">
        <f>'# Out FF'!A118</f>
        <v>115</v>
      </c>
      <c r="O118">
        <f>'# Out FF'!B118</f>
        <v>1000</v>
      </c>
      <c r="P118">
        <f>'# Out FF'!C118</f>
        <v>1000</v>
      </c>
      <c r="Q118">
        <f>'# Out FF'!D118</f>
        <v>1000</v>
      </c>
      <c r="R118">
        <f>'# Out FF'!E118</f>
        <v>1000</v>
      </c>
      <c r="S118">
        <f>'# Out FF'!F118</f>
        <v>1000</v>
      </c>
      <c r="T118">
        <f>'# Out FF'!G118</f>
        <v>784</v>
      </c>
      <c r="U118">
        <f>'# Out FF'!H118</f>
        <v>1000</v>
      </c>
      <c r="V118">
        <f>'# Out FF'!I118</f>
        <v>999</v>
      </c>
      <c r="W118">
        <f>'# Out FF'!J118</f>
        <v>787</v>
      </c>
      <c r="X118">
        <f>'# Out FF'!K118</f>
        <v>1000</v>
      </c>
      <c r="Y118">
        <f>'# Out FF'!L118</f>
        <v>957</v>
      </c>
      <c r="AB118">
        <v>4</v>
      </c>
      <c r="AC118">
        <v>804</v>
      </c>
      <c r="AF118" s="2">
        <f t="shared" si="4"/>
        <v>4.0000000000000001E-3</v>
      </c>
      <c r="AG118">
        <f t="shared" si="5"/>
        <v>0.80400000000000005</v>
      </c>
      <c r="AH118">
        <f t="shared" si="6"/>
        <v>0.75847089591385031</v>
      </c>
      <c r="AI118">
        <f t="shared" si="7"/>
        <v>4.5529104086149741E-2</v>
      </c>
    </row>
    <row r="119" spans="1:35" x14ac:dyDescent="0.35">
      <c r="A119">
        <f>'DNC4 FF'!A119</f>
        <v>116</v>
      </c>
      <c r="B119" t="e">
        <f>'DNC4 FF'!B119</f>
        <v>#REF!</v>
      </c>
      <c r="C119" t="e">
        <f>'DNC4 FF'!C119</f>
        <v>#REF!</v>
      </c>
      <c r="D119" t="e">
        <f>'DNC4 FF'!D119</f>
        <v>#REF!</v>
      </c>
      <c r="E119" t="e">
        <f>'DNC4 FF'!E119</f>
        <v>#REF!</v>
      </c>
      <c r="F119" t="e">
        <f>'DNC4 FF'!F119</f>
        <v>#REF!</v>
      </c>
      <c r="G119">
        <f>'DNC4 FF'!G119</f>
        <v>5</v>
      </c>
      <c r="H119" t="e">
        <f>'DNC4 FF'!H119</f>
        <v>#REF!</v>
      </c>
      <c r="I119" t="e">
        <f>'DNC4 FF'!I119</f>
        <v>#REF!</v>
      </c>
      <c r="J119">
        <f>'DNC4 FF'!J119</f>
        <v>1</v>
      </c>
      <c r="K119" t="e">
        <f>'DNC4 FF'!K119</f>
        <v>#REF!</v>
      </c>
      <c r="L119" t="e">
        <f>'DNC4 FF'!L119</f>
        <v>#REF!</v>
      </c>
      <c r="N119">
        <f>'# Out FF'!A119</f>
        <v>116</v>
      </c>
      <c r="O119">
        <f>'# Out FF'!B119</f>
        <v>1000</v>
      </c>
      <c r="P119">
        <f>'# Out FF'!C119</f>
        <v>1000</v>
      </c>
      <c r="Q119">
        <f>'# Out FF'!D119</f>
        <v>1000</v>
      </c>
      <c r="R119">
        <f>'# Out FF'!E119</f>
        <v>1000</v>
      </c>
      <c r="S119">
        <f>'# Out FF'!F119</f>
        <v>1000</v>
      </c>
      <c r="T119">
        <f>'# Out FF'!G119</f>
        <v>797</v>
      </c>
      <c r="U119">
        <f>'# Out FF'!H119</f>
        <v>1000</v>
      </c>
      <c r="V119">
        <f>'# Out FF'!I119</f>
        <v>1000</v>
      </c>
      <c r="W119">
        <f>'# Out FF'!J119</f>
        <v>783</v>
      </c>
      <c r="X119">
        <f>'# Out FF'!K119</f>
        <v>1000</v>
      </c>
      <c r="Y119">
        <f>'# Out FF'!L119</f>
        <v>958</v>
      </c>
      <c r="AB119">
        <v>2</v>
      </c>
      <c r="AC119">
        <v>786</v>
      </c>
      <c r="AF119" s="2">
        <f t="shared" si="4"/>
        <v>2E-3</v>
      </c>
      <c r="AG119">
        <f t="shared" si="5"/>
        <v>0.78600000000000003</v>
      </c>
      <c r="AH119">
        <f t="shared" si="6"/>
        <v>0.82206907754716119</v>
      </c>
      <c r="AI119">
        <f t="shared" si="7"/>
        <v>-3.6069077547161155E-2</v>
      </c>
    </row>
    <row r="120" spans="1:35" x14ac:dyDescent="0.35">
      <c r="A120">
        <f>'DNC4 FF'!A120</f>
        <v>117</v>
      </c>
      <c r="B120" t="e">
        <f>'DNC4 FF'!B120</f>
        <v>#REF!</v>
      </c>
      <c r="C120" t="e">
        <f>'DNC4 FF'!C120</f>
        <v>#REF!</v>
      </c>
      <c r="D120" t="e">
        <f>'DNC4 FF'!D120</f>
        <v>#REF!</v>
      </c>
      <c r="E120" t="e">
        <f>'DNC4 FF'!E120</f>
        <v>#REF!</v>
      </c>
      <c r="F120" t="e">
        <f>'DNC4 FF'!F120</f>
        <v>#REF!</v>
      </c>
      <c r="G120">
        <f>'DNC4 FF'!G120</f>
        <v>2</v>
      </c>
      <c r="H120" t="e">
        <f>'DNC4 FF'!H120</f>
        <v>#REF!</v>
      </c>
      <c r="I120" t="e">
        <f>'DNC4 FF'!I120</f>
        <v>#REF!</v>
      </c>
      <c r="J120">
        <f>'DNC4 FF'!J120</f>
        <v>9</v>
      </c>
      <c r="K120" t="e">
        <f>'DNC4 FF'!K120</f>
        <v>#REF!</v>
      </c>
      <c r="L120" t="e">
        <f>'DNC4 FF'!L120</f>
        <v>#REF!</v>
      </c>
      <c r="N120">
        <f>'# Out FF'!A120</f>
        <v>117</v>
      </c>
      <c r="O120">
        <f>'# Out FF'!B120</f>
        <v>1000</v>
      </c>
      <c r="P120">
        <f>'# Out FF'!C120</f>
        <v>1000</v>
      </c>
      <c r="Q120">
        <f>'# Out FF'!D120</f>
        <v>1000</v>
      </c>
      <c r="R120">
        <f>'# Out FF'!E120</f>
        <v>1000</v>
      </c>
      <c r="S120">
        <f>'# Out FF'!F120</f>
        <v>1000</v>
      </c>
      <c r="T120">
        <f>'# Out FF'!G120</f>
        <v>548</v>
      </c>
      <c r="U120">
        <f>'# Out FF'!H120</f>
        <v>1000</v>
      </c>
      <c r="V120">
        <f>'# Out FF'!I120</f>
        <v>1000</v>
      </c>
      <c r="W120">
        <f>'# Out FF'!J120</f>
        <v>772</v>
      </c>
      <c r="X120">
        <f>'# Out FF'!K120</f>
        <v>1000</v>
      </c>
      <c r="Y120">
        <f>'# Out FF'!L120</f>
        <v>932</v>
      </c>
      <c r="AB120">
        <v>6</v>
      </c>
      <c r="AC120">
        <v>738</v>
      </c>
      <c r="AF120" s="2">
        <f t="shared" si="4"/>
        <v>6.0000000000000001E-3</v>
      </c>
      <c r="AG120">
        <f t="shared" si="5"/>
        <v>0.73799999999999999</v>
      </c>
      <c r="AH120">
        <f t="shared" si="6"/>
        <v>0.69979289534261269</v>
      </c>
      <c r="AI120">
        <f t="shared" si="7"/>
        <v>3.8207104657387303E-2</v>
      </c>
    </row>
    <row r="121" spans="1:35" x14ac:dyDescent="0.35">
      <c r="A121">
        <f>'DNC4 FF'!A121</f>
        <v>118</v>
      </c>
      <c r="B121" t="e">
        <f>'DNC4 FF'!B121</f>
        <v>#REF!</v>
      </c>
      <c r="C121" t="e">
        <f>'DNC4 FF'!C121</f>
        <v>#REF!</v>
      </c>
      <c r="D121" t="e">
        <f>'DNC4 FF'!D121</f>
        <v>#REF!</v>
      </c>
      <c r="E121" t="e">
        <f>'DNC4 FF'!E121</f>
        <v>#REF!</v>
      </c>
      <c r="F121" t="e">
        <f>'DNC4 FF'!F121</f>
        <v>#REF!</v>
      </c>
      <c r="G121">
        <f>'DNC4 FF'!G121</f>
        <v>4</v>
      </c>
      <c r="H121" t="e">
        <f>'DNC4 FF'!H121</f>
        <v>#REF!</v>
      </c>
      <c r="I121" t="e">
        <f>'DNC4 FF'!I121</f>
        <v>#REF!</v>
      </c>
      <c r="J121">
        <f>'DNC4 FF'!J121</f>
        <v>2</v>
      </c>
      <c r="K121" t="e">
        <f>'DNC4 FF'!K121</f>
        <v>#REF!</v>
      </c>
      <c r="L121" t="e">
        <f>'DNC4 FF'!L121</f>
        <v>#REF!</v>
      </c>
      <c r="N121">
        <f>'# Out FF'!A121</f>
        <v>118</v>
      </c>
      <c r="O121">
        <f>'# Out FF'!B121</f>
        <v>1000</v>
      </c>
      <c r="P121">
        <f>'# Out FF'!C121</f>
        <v>1000</v>
      </c>
      <c r="Q121">
        <f>'# Out FF'!D121</f>
        <v>1000</v>
      </c>
      <c r="R121">
        <f>'# Out FF'!E121</f>
        <v>1000</v>
      </c>
      <c r="S121">
        <f>'# Out FF'!F121</f>
        <v>1000</v>
      </c>
      <c r="T121">
        <f>'# Out FF'!G121</f>
        <v>793</v>
      </c>
      <c r="U121">
        <f>'# Out FF'!H121</f>
        <v>1000</v>
      </c>
      <c r="V121">
        <f>'# Out FF'!I121</f>
        <v>1000</v>
      </c>
      <c r="W121">
        <f>'# Out FF'!J121</f>
        <v>717</v>
      </c>
      <c r="X121">
        <f>'# Out FF'!K121</f>
        <v>1000</v>
      </c>
      <c r="Y121">
        <f>'# Out FF'!L121</f>
        <v>951</v>
      </c>
      <c r="AB121">
        <v>8</v>
      </c>
      <c r="AC121">
        <v>706</v>
      </c>
      <c r="AF121" s="2">
        <f t="shared" si="4"/>
        <v>8.0000000000000002E-3</v>
      </c>
      <c r="AG121">
        <f t="shared" si="5"/>
        <v>0.70599999999999996</v>
      </c>
      <c r="AH121">
        <f t="shared" si="6"/>
        <v>0.64565443316314119</v>
      </c>
      <c r="AI121">
        <f t="shared" si="7"/>
        <v>6.0345566836858766E-2</v>
      </c>
    </row>
    <row r="122" spans="1:35" x14ac:dyDescent="0.35">
      <c r="A122">
        <f>'DNC4 FF'!A122</f>
        <v>119</v>
      </c>
      <c r="B122" t="e">
        <f>'DNC4 FF'!B122</f>
        <v>#REF!</v>
      </c>
      <c r="C122" t="e">
        <f>'DNC4 FF'!C122</f>
        <v>#REF!</v>
      </c>
      <c r="D122" t="e">
        <f>'DNC4 FF'!D122</f>
        <v>#REF!</v>
      </c>
      <c r="E122" t="e">
        <f>'DNC4 FF'!E122</f>
        <v>#REF!</v>
      </c>
      <c r="F122" t="e">
        <f>'DNC4 FF'!F122</f>
        <v>#REF!</v>
      </c>
      <c r="G122">
        <f>'DNC4 FF'!G122</f>
        <v>2</v>
      </c>
      <c r="H122" t="e">
        <f>'DNC4 FF'!H122</f>
        <v>#REF!</v>
      </c>
      <c r="I122" t="e">
        <f>'DNC4 FF'!I122</f>
        <v>#REF!</v>
      </c>
      <c r="J122">
        <f>'DNC4 FF'!J122</f>
        <v>2</v>
      </c>
      <c r="K122" t="e">
        <f>'DNC4 FF'!K122</f>
        <v>#REF!</v>
      </c>
      <c r="L122" t="e">
        <f>'DNC4 FF'!L122</f>
        <v>#REF!</v>
      </c>
      <c r="N122">
        <f>'# Out FF'!A122</f>
        <v>119</v>
      </c>
      <c r="O122">
        <f>'# Out FF'!B122</f>
        <v>1000</v>
      </c>
      <c r="P122">
        <f>'# Out FF'!C122</f>
        <v>1000</v>
      </c>
      <c r="Q122">
        <f>'# Out FF'!D122</f>
        <v>1000</v>
      </c>
      <c r="R122">
        <f>'# Out FF'!E122</f>
        <v>1000</v>
      </c>
      <c r="S122">
        <f>'# Out FF'!F122</f>
        <v>1000</v>
      </c>
      <c r="T122">
        <f>'# Out FF'!G122</f>
        <v>804</v>
      </c>
      <c r="U122">
        <f>'# Out FF'!H122</f>
        <v>1000</v>
      </c>
      <c r="V122">
        <f>'# Out FF'!I122</f>
        <v>1000</v>
      </c>
      <c r="W122">
        <f>'# Out FF'!J122</f>
        <v>769</v>
      </c>
      <c r="X122">
        <f>'# Out FF'!K122</f>
        <v>1000</v>
      </c>
      <c r="Y122">
        <f>'# Out FF'!L122</f>
        <v>957.3</v>
      </c>
      <c r="AB122">
        <v>8</v>
      </c>
      <c r="AC122">
        <v>693</v>
      </c>
      <c r="AF122" s="2">
        <f t="shared" si="4"/>
        <v>8.0000000000000002E-3</v>
      </c>
      <c r="AG122">
        <f t="shared" si="5"/>
        <v>0.69299999999999995</v>
      </c>
      <c r="AH122">
        <f t="shared" si="6"/>
        <v>0.64565443316314119</v>
      </c>
      <c r="AI122">
        <f t="shared" si="7"/>
        <v>4.7345566836858755E-2</v>
      </c>
    </row>
    <row r="123" spans="1:35" x14ac:dyDescent="0.35">
      <c r="A123">
        <f>'DNC4 FF'!A123</f>
        <v>120</v>
      </c>
      <c r="B123" t="e">
        <f>'DNC4 FF'!B123</f>
        <v>#REF!</v>
      </c>
      <c r="C123" t="e">
        <f>'DNC4 FF'!C123</f>
        <v>#REF!</v>
      </c>
      <c r="D123" t="e">
        <f>'DNC4 FF'!D123</f>
        <v>#REF!</v>
      </c>
      <c r="E123" t="e">
        <f>'DNC4 FF'!E123</f>
        <v>#REF!</v>
      </c>
      <c r="F123" t="e">
        <f>'DNC4 FF'!F123</f>
        <v>#REF!</v>
      </c>
      <c r="G123">
        <f>'DNC4 FF'!G123</f>
        <v>1</v>
      </c>
      <c r="H123" t="e">
        <f>'DNC4 FF'!H123</f>
        <v>#REF!</v>
      </c>
      <c r="I123" t="e">
        <f>'DNC4 FF'!I123</f>
        <v>#REF!</v>
      </c>
      <c r="J123">
        <f>'DNC4 FF'!J123</f>
        <v>2</v>
      </c>
      <c r="K123" t="e">
        <f>'DNC4 FF'!K123</f>
        <v>#REF!</v>
      </c>
      <c r="L123" t="e">
        <f>'DNC4 FF'!L123</f>
        <v>#REF!</v>
      </c>
      <c r="N123">
        <f>'# Out FF'!A123</f>
        <v>120</v>
      </c>
      <c r="O123">
        <f>'# Out FF'!B123</f>
        <v>1000</v>
      </c>
      <c r="P123">
        <f>'# Out FF'!C123</f>
        <v>1000</v>
      </c>
      <c r="Q123">
        <f>'# Out FF'!D123</f>
        <v>1000</v>
      </c>
      <c r="R123">
        <f>'# Out FF'!E123</f>
        <v>1000</v>
      </c>
      <c r="S123">
        <f>'# Out FF'!F123</f>
        <v>1000</v>
      </c>
      <c r="T123">
        <f>'# Out FF'!G123</f>
        <v>796</v>
      </c>
      <c r="U123">
        <f>'# Out FF'!H123</f>
        <v>1000</v>
      </c>
      <c r="V123">
        <f>'# Out FF'!I123</f>
        <v>1000</v>
      </c>
      <c r="W123">
        <f>'# Out FF'!J123</f>
        <v>772</v>
      </c>
      <c r="X123">
        <f>'# Out FF'!K123</f>
        <v>1000</v>
      </c>
      <c r="Y123">
        <f>'# Out FF'!L123</f>
        <v>956.8</v>
      </c>
      <c r="AB123">
        <v>9</v>
      </c>
      <c r="AC123">
        <v>705</v>
      </c>
      <c r="AF123" s="2">
        <f t="shared" si="4"/>
        <v>8.9999999999999993E-3</v>
      </c>
      <c r="AG123">
        <f t="shared" si="5"/>
        <v>0.70499999999999996</v>
      </c>
      <c r="AH123">
        <f t="shared" si="6"/>
        <v>0.62017669382084306</v>
      </c>
      <c r="AI123">
        <f t="shared" si="7"/>
        <v>8.4823306179156899E-2</v>
      </c>
    </row>
    <row r="124" spans="1:35" x14ac:dyDescent="0.35">
      <c r="A124">
        <f>'DNC4 FF'!A124</f>
        <v>121</v>
      </c>
      <c r="B124" t="e">
        <f>'DNC4 FF'!B124</f>
        <v>#REF!</v>
      </c>
      <c r="C124" t="e">
        <f>'DNC4 FF'!C124</f>
        <v>#REF!</v>
      </c>
      <c r="D124" t="e">
        <f>'DNC4 FF'!D124</f>
        <v>#REF!</v>
      </c>
      <c r="E124" t="e">
        <f>'DNC4 FF'!E124</f>
        <v>#REF!</v>
      </c>
      <c r="F124" t="e">
        <f>'DNC4 FF'!F124</f>
        <v>#REF!</v>
      </c>
      <c r="G124">
        <f>'DNC4 FF'!G124</f>
        <v>0</v>
      </c>
      <c r="H124" t="e">
        <f>'DNC4 FF'!H124</f>
        <v>#REF!</v>
      </c>
      <c r="I124" t="e">
        <f>'DNC4 FF'!I124</f>
        <v>#REF!</v>
      </c>
      <c r="J124">
        <f>'DNC4 FF'!J124</f>
        <v>1</v>
      </c>
      <c r="K124" t="e">
        <f>'DNC4 FF'!K124</f>
        <v>#REF!</v>
      </c>
      <c r="L124" t="e">
        <f>'DNC4 FF'!L124</f>
        <v>#REF!</v>
      </c>
      <c r="N124">
        <f>'# Out FF'!A124</f>
        <v>121</v>
      </c>
      <c r="O124">
        <f>'# Out FF'!B124</f>
        <v>1000</v>
      </c>
      <c r="P124">
        <f>'# Out FF'!C124</f>
        <v>1000</v>
      </c>
      <c r="Q124">
        <f>'# Out FF'!D124</f>
        <v>1000</v>
      </c>
      <c r="R124">
        <f>'# Out FF'!E124</f>
        <v>1000</v>
      </c>
      <c r="S124">
        <f>'# Out FF'!F124</f>
        <v>1000</v>
      </c>
      <c r="T124">
        <f>'# Out FF'!G124</f>
        <v>794</v>
      </c>
      <c r="U124">
        <f>'# Out FF'!H124</f>
        <v>1000</v>
      </c>
      <c r="V124">
        <f>'# Out FF'!I124</f>
        <v>1000</v>
      </c>
      <c r="W124">
        <f>'# Out FF'!J124</f>
        <v>780</v>
      </c>
      <c r="X124">
        <f>'# Out FF'!K124</f>
        <v>1000</v>
      </c>
      <c r="Y124">
        <f>'# Out FF'!L124</f>
        <v>957.4</v>
      </c>
      <c r="AB124">
        <v>11</v>
      </c>
      <c r="AC124">
        <v>671</v>
      </c>
      <c r="AF124" s="2">
        <f t="shared" si="4"/>
        <v>1.0999999999999999E-2</v>
      </c>
      <c r="AG124">
        <f t="shared" si="5"/>
        <v>0.67100000000000004</v>
      </c>
      <c r="AH124">
        <f t="shared" si="6"/>
        <v>0.57219762357525106</v>
      </c>
      <c r="AI124">
        <f t="shared" si="7"/>
        <v>9.8802376424748983E-2</v>
      </c>
    </row>
    <row r="125" spans="1:35" x14ac:dyDescent="0.35">
      <c r="A125">
        <f>'DNC4 FF'!A125</f>
        <v>122</v>
      </c>
      <c r="B125" t="e">
        <f>'DNC4 FF'!B125</f>
        <v>#REF!</v>
      </c>
      <c r="C125" t="e">
        <f>'DNC4 FF'!C125</f>
        <v>#REF!</v>
      </c>
      <c r="D125" t="e">
        <f>'DNC4 FF'!D125</f>
        <v>#REF!</v>
      </c>
      <c r="E125" t="e">
        <f>'DNC4 FF'!E125</f>
        <v>#REF!</v>
      </c>
      <c r="F125" t="e">
        <f>'DNC4 FF'!F125</f>
        <v>#REF!</v>
      </c>
      <c r="G125">
        <f>'DNC4 FF'!G125</f>
        <v>0</v>
      </c>
      <c r="H125" t="e">
        <f>'DNC4 FF'!H125</f>
        <v>#REF!</v>
      </c>
      <c r="I125" t="e">
        <f>'DNC4 FF'!I125</f>
        <v>#REF!</v>
      </c>
      <c r="J125">
        <f>'DNC4 FF'!J125</f>
        <v>3</v>
      </c>
      <c r="K125" t="e">
        <f>'DNC4 FF'!K125</f>
        <v>#REF!</v>
      </c>
      <c r="L125" t="e">
        <f>'DNC4 FF'!L125</f>
        <v>#REF!</v>
      </c>
      <c r="N125">
        <f>'# Out FF'!A125</f>
        <v>122</v>
      </c>
      <c r="O125">
        <f>'# Out FF'!B125</f>
        <v>1000</v>
      </c>
      <c r="P125">
        <f>'# Out FF'!C125</f>
        <v>1000</v>
      </c>
      <c r="Q125">
        <f>'# Out FF'!D125</f>
        <v>1000</v>
      </c>
      <c r="R125">
        <f>'# Out FF'!E125</f>
        <v>1000</v>
      </c>
      <c r="S125">
        <f>'# Out FF'!F125</f>
        <v>1000</v>
      </c>
      <c r="T125">
        <f>'# Out FF'!G125</f>
        <v>995</v>
      </c>
      <c r="U125">
        <f>'# Out FF'!H125</f>
        <v>1000</v>
      </c>
      <c r="V125">
        <f>'# Out FF'!I125</f>
        <v>1000</v>
      </c>
      <c r="W125">
        <f>'# Out FF'!J125</f>
        <v>784</v>
      </c>
      <c r="X125">
        <f>'# Out FF'!K125</f>
        <v>1000</v>
      </c>
      <c r="Y125">
        <f>'# Out FF'!L125</f>
        <v>977.9</v>
      </c>
      <c r="AB125">
        <v>8</v>
      </c>
      <c r="AC125">
        <v>697</v>
      </c>
      <c r="AF125" s="2">
        <f t="shared" si="4"/>
        <v>8.0000000000000002E-3</v>
      </c>
      <c r="AG125">
        <f t="shared" si="5"/>
        <v>0.69699999999999995</v>
      </c>
      <c r="AH125">
        <f t="shared" si="6"/>
        <v>0.64565443316314119</v>
      </c>
      <c r="AI125">
        <f t="shared" si="7"/>
        <v>5.1345566836858758E-2</v>
      </c>
    </row>
    <row r="126" spans="1:35" x14ac:dyDescent="0.35">
      <c r="A126">
        <f>'DNC4 FF'!A126</f>
        <v>123</v>
      </c>
      <c r="B126" t="e">
        <f>'DNC4 FF'!B126</f>
        <v>#REF!</v>
      </c>
      <c r="C126" t="e">
        <f>'DNC4 FF'!C126</f>
        <v>#REF!</v>
      </c>
      <c r="D126" t="e">
        <f>'DNC4 FF'!D126</f>
        <v>#REF!</v>
      </c>
      <c r="E126" t="e">
        <f>'DNC4 FF'!E126</f>
        <v>#REF!</v>
      </c>
      <c r="F126" t="e">
        <f>'DNC4 FF'!F126</f>
        <v>#REF!</v>
      </c>
      <c r="G126">
        <f>'DNC4 FF'!G126</f>
        <v>0</v>
      </c>
      <c r="H126" t="e">
        <f>'DNC4 FF'!H126</f>
        <v>#REF!</v>
      </c>
      <c r="I126" t="e">
        <f>'DNC4 FF'!I126</f>
        <v>#REF!</v>
      </c>
      <c r="J126">
        <f>'DNC4 FF'!J126</f>
        <v>2</v>
      </c>
      <c r="K126" t="e">
        <f>'DNC4 FF'!K126</f>
        <v>#REF!</v>
      </c>
      <c r="L126" t="e">
        <f>'DNC4 FF'!L126</f>
        <v>#REF!</v>
      </c>
      <c r="N126">
        <f>'# Out FF'!A126</f>
        <v>123</v>
      </c>
      <c r="O126">
        <f>'# Out FF'!B126</f>
        <v>1000</v>
      </c>
      <c r="P126">
        <f>'# Out FF'!C126</f>
        <v>1000</v>
      </c>
      <c r="Q126">
        <f>'# Out FF'!D126</f>
        <v>1000</v>
      </c>
      <c r="R126">
        <f>'# Out FF'!E126</f>
        <v>1000</v>
      </c>
      <c r="S126">
        <f>'# Out FF'!F126</f>
        <v>1000</v>
      </c>
      <c r="T126">
        <f>'# Out FF'!G126</f>
        <v>998</v>
      </c>
      <c r="U126">
        <f>'# Out FF'!H126</f>
        <v>1000</v>
      </c>
      <c r="V126">
        <f>'# Out FF'!I126</f>
        <v>1000</v>
      </c>
      <c r="W126">
        <f>'# Out FF'!J126</f>
        <v>758</v>
      </c>
      <c r="X126">
        <f>'# Out FF'!K126</f>
        <v>1000</v>
      </c>
      <c r="Y126">
        <f>'# Out FF'!L126</f>
        <v>975.6</v>
      </c>
      <c r="AB126">
        <v>8</v>
      </c>
      <c r="AC126">
        <v>695</v>
      </c>
      <c r="AF126" s="2">
        <f t="shared" si="4"/>
        <v>8.0000000000000002E-3</v>
      </c>
      <c r="AG126">
        <f t="shared" si="5"/>
        <v>0.69499999999999995</v>
      </c>
      <c r="AH126">
        <f t="shared" si="6"/>
        <v>0.64565443316314119</v>
      </c>
      <c r="AI126">
        <f t="shared" si="7"/>
        <v>4.9345566836858756E-2</v>
      </c>
    </row>
    <row r="127" spans="1:35" x14ac:dyDescent="0.35">
      <c r="A127">
        <f>'DNC4 FF'!A127</f>
        <v>124</v>
      </c>
      <c r="B127" t="e">
        <f>'DNC4 FF'!B127</f>
        <v>#REF!</v>
      </c>
      <c r="C127" t="e">
        <f>'DNC4 FF'!C127</f>
        <v>#REF!</v>
      </c>
      <c r="D127" t="e">
        <f>'DNC4 FF'!D127</f>
        <v>#REF!</v>
      </c>
      <c r="E127" t="e">
        <f>'DNC4 FF'!E127</f>
        <v>#REF!</v>
      </c>
      <c r="F127" t="e">
        <f>'DNC4 FF'!F127</f>
        <v>#REF!</v>
      </c>
      <c r="G127" t="e">
        <f>'DNC4 FF'!G127</f>
        <v>#REF!</v>
      </c>
      <c r="H127" t="e">
        <f>'DNC4 FF'!H127</f>
        <v>#REF!</v>
      </c>
      <c r="I127" t="e">
        <f>'DNC4 FF'!I127</f>
        <v>#REF!</v>
      </c>
      <c r="J127">
        <f>'DNC4 FF'!J127</f>
        <v>4</v>
      </c>
      <c r="K127" t="e">
        <f>'DNC4 FF'!K127</f>
        <v>#REF!</v>
      </c>
      <c r="L127" t="e">
        <f>'DNC4 FF'!L127</f>
        <v>#REF!</v>
      </c>
      <c r="N127">
        <f>'# Out FF'!A127</f>
        <v>124</v>
      </c>
      <c r="O127">
        <f>'# Out FF'!B127</f>
        <v>1000</v>
      </c>
      <c r="P127">
        <f>'# Out FF'!C127</f>
        <v>1000</v>
      </c>
      <c r="Q127">
        <f>'# Out FF'!D127</f>
        <v>1000</v>
      </c>
      <c r="R127">
        <f>'# Out FF'!E127</f>
        <v>1000</v>
      </c>
      <c r="S127">
        <f>'# Out FF'!F127</f>
        <v>1000</v>
      </c>
      <c r="T127">
        <f>'# Out FF'!G127</f>
        <v>1000</v>
      </c>
      <c r="U127">
        <f>'# Out FF'!H127</f>
        <v>1000</v>
      </c>
      <c r="V127">
        <f>'# Out FF'!I127</f>
        <v>1000</v>
      </c>
      <c r="W127">
        <f>'# Out FF'!J127</f>
        <v>786</v>
      </c>
      <c r="X127">
        <f>'# Out FF'!K127</f>
        <v>1000</v>
      </c>
      <c r="Y127">
        <f>'# Out FF'!L127</f>
        <v>978.6</v>
      </c>
      <c r="AB127">
        <v>6</v>
      </c>
      <c r="AC127">
        <v>738</v>
      </c>
      <c r="AF127" s="2">
        <f t="shared" si="4"/>
        <v>6.0000000000000001E-3</v>
      </c>
      <c r="AG127">
        <f t="shared" si="5"/>
        <v>0.73799999999999999</v>
      </c>
      <c r="AH127">
        <f t="shared" si="6"/>
        <v>0.69979289534261269</v>
      </c>
      <c r="AI127">
        <f t="shared" si="7"/>
        <v>3.8207104657387303E-2</v>
      </c>
    </row>
    <row r="128" spans="1:35" x14ac:dyDescent="0.35">
      <c r="A128">
        <f>'DNC4 FF'!A128</f>
        <v>125</v>
      </c>
      <c r="B128" t="e">
        <f>'DNC4 FF'!B128</f>
        <v>#REF!</v>
      </c>
      <c r="C128" t="e">
        <f>'DNC4 FF'!C128</f>
        <v>#REF!</v>
      </c>
      <c r="D128" t="e">
        <f>'DNC4 FF'!D128</f>
        <v>#REF!</v>
      </c>
      <c r="E128" t="e">
        <f>'DNC4 FF'!E128</f>
        <v>#REF!</v>
      </c>
      <c r="F128" t="e">
        <f>'DNC4 FF'!F128</f>
        <v>#REF!</v>
      </c>
      <c r="G128" t="e">
        <f>'DNC4 FF'!G128</f>
        <v>#REF!</v>
      </c>
      <c r="H128" t="e">
        <f>'DNC4 FF'!H128</f>
        <v>#REF!</v>
      </c>
      <c r="I128" t="e">
        <f>'DNC4 FF'!I128</f>
        <v>#REF!</v>
      </c>
      <c r="J128">
        <f>'DNC4 FF'!J128</f>
        <v>3</v>
      </c>
      <c r="K128" t="e">
        <f>'DNC4 FF'!K128</f>
        <v>#REF!</v>
      </c>
      <c r="L128" t="e">
        <f>'DNC4 FF'!L128</f>
        <v>#REF!</v>
      </c>
      <c r="N128">
        <f>'# Out FF'!A128</f>
        <v>125</v>
      </c>
      <c r="O128">
        <f>'# Out FF'!B128</f>
        <v>1000</v>
      </c>
      <c r="P128">
        <f>'# Out FF'!C128</f>
        <v>1000</v>
      </c>
      <c r="Q128">
        <f>'# Out FF'!D128</f>
        <v>1000</v>
      </c>
      <c r="R128">
        <f>'# Out FF'!E128</f>
        <v>1000</v>
      </c>
      <c r="S128">
        <f>'# Out FF'!F128</f>
        <v>1000</v>
      </c>
      <c r="T128">
        <f>'# Out FF'!G128</f>
        <v>1000</v>
      </c>
      <c r="U128">
        <f>'# Out FF'!H128</f>
        <v>1000</v>
      </c>
      <c r="V128">
        <f>'# Out FF'!I128</f>
        <v>1000</v>
      </c>
      <c r="W128">
        <f>'# Out FF'!J128</f>
        <v>806</v>
      </c>
      <c r="X128">
        <f>'# Out FF'!K128</f>
        <v>1000</v>
      </c>
      <c r="Y128">
        <f>'# Out FF'!L128</f>
        <v>980.6</v>
      </c>
      <c r="AB128">
        <v>9</v>
      </c>
      <c r="AC128">
        <v>710</v>
      </c>
      <c r="AF128" s="2">
        <f t="shared" si="4"/>
        <v>8.9999999999999993E-3</v>
      </c>
      <c r="AG128">
        <f t="shared" si="5"/>
        <v>0.71</v>
      </c>
      <c r="AH128">
        <f t="shared" si="6"/>
        <v>0.62017669382084306</v>
      </c>
      <c r="AI128">
        <f t="shared" si="7"/>
        <v>8.9823306179156903E-2</v>
      </c>
    </row>
    <row r="129" spans="1:35" x14ac:dyDescent="0.35">
      <c r="A129">
        <f>'DNC4 FF'!A129</f>
        <v>126</v>
      </c>
      <c r="B129" t="e">
        <f>'DNC4 FF'!B129</f>
        <v>#REF!</v>
      </c>
      <c r="C129" t="e">
        <f>'DNC4 FF'!C129</f>
        <v>#REF!</v>
      </c>
      <c r="D129" t="e">
        <f>'DNC4 FF'!D129</f>
        <v>#REF!</v>
      </c>
      <c r="E129" t="e">
        <f>'DNC4 FF'!E129</f>
        <v>#REF!</v>
      </c>
      <c r="F129" t="e">
        <f>'DNC4 FF'!F129</f>
        <v>#REF!</v>
      </c>
      <c r="G129" t="e">
        <f>'DNC4 FF'!G129</f>
        <v>#REF!</v>
      </c>
      <c r="H129" t="e">
        <f>'DNC4 FF'!H129</f>
        <v>#REF!</v>
      </c>
      <c r="I129" t="e">
        <f>'DNC4 FF'!I129</f>
        <v>#REF!</v>
      </c>
      <c r="J129">
        <f>'DNC4 FF'!J129</f>
        <v>5</v>
      </c>
      <c r="K129" t="e">
        <f>'DNC4 FF'!K129</f>
        <v>#REF!</v>
      </c>
      <c r="L129" t="e">
        <f>'DNC4 FF'!L129</f>
        <v>#REF!</v>
      </c>
      <c r="N129">
        <f>'# Out FF'!A129</f>
        <v>126</v>
      </c>
      <c r="O129">
        <f>'# Out FF'!B129</f>
        <v>1000</v>
      </c>
      <c r="P129">
        <f>'# Out FF'!C129</f>
        <v>1000</v>
      </c>
      <c r="Q129">
        <f>'# Out FF'!D129</f>
        <v>1000</v>
      </c>
      <c r="R129">
        <f>'# Out FF'!E129</f>
        <v>1000</v>
      </c>
      <c r="S129">
        <f>'# Out FF'!F129</f>
        <v>1000</v>
      </c>
      <c r="T129">
        <f>'# Out FF'!G129</f>
        <v>1000</v>
      </c>
      <c r="U129">
        <f>'# Out FF'!H129</f>
        <v>1000</v>
      </c>
      <c r="V129">
        <f>'# Out FF'!I129</f>
        <v>1000</v>
      </c>
      <c r="W129">
        <f>'# Out FF'!J129</f>
        <v>760</v>
      </c>
      <c r="X129">
        <f>'# Out FF'!K129</f>
        <v>1000</v>
      </c>
      <c r="Y129">
        <f>'# Out FF'!L129</f>
        <v>976</v>
      </c>
      <c r="AB129">
        <v>5</v>
      </c>
      <c r="AC129">
        <v>576</v>
      </c>
      <c r="AF129" s="2">
        <f t="shared" si="4"/>
        <v>5.0000000000000001E-3</v>
      </c>
      <c r="AG129">
        <f t="shared" si="5"/>
        <v>0.57599999999999996</v>
      </c>
      <c r="AH129">
        <f t="shared" si="6"/>
        <v>0.72854138131245416</v>
      </c>
      <c r="AI129">
        <f t="shared" si="7"/>
        <v>-0.15254138131245421</v>
      </c>
    </row>
    <row r="130" spans="1:35" x14ac:dyDescent="0.35">
      <c r="A130">
        <f>'DNC4 FF'!A130</f>
        <v>127</v>
      </c>
      <c r="B130" t="e">
        <f>'DNC4 FF'!B130</f>
        <v>#REF!</v>
      </c>
      <c r="C130" t="e">
        <f>'DNC4 FF'!C130</f>
        <v>#REF!</v>
      </c>
      <c r="D130" t="e">
        <f>'DNC4 FF'!D130</f>
        <v>#REF!</v>
      </c>
      <c r="E130" t="e">
        <f>'DNC4 FF'!E130</f>
        <v>#REF!</v>
      </c>
      <c r="F130" t="e">
        <f>'DNC4 FF'!F130</f>
        <v>#REF!</v>
      </c>
      <c r="G130" t="e">
        <f>'DNC4 FF'!G130</f>
        <v>#REF!</v>
      </c>
      <c r="H130" t="e">
        <f>'DNC4 FF'!H130</f>
        <v>#REF!</v>
      </c>
      <c r="I130" t="e">
        <f>'DNC4 FF'!I130</f>
        <v>#REF!</v>
      </c>
      <c r="J130">
        <f>'DNC4 FF'!J130</f>
        <v>3</v>
      </c>
      <c r="K130" t="e">
        <f>'DNC4 FF'!K130</f>
        <v>#REF!</v>
      </c>
      <c r="L130" t="e">
        <f>'DNC4 FF'!L130</f>
        <v>#REF!</v>
      </c>
      <c r="N130">
        <f>'# Out FF'!A130</f>
        <v>127</v>
      </c>
      <c r="O130">
        <f>'# Out FF'!B130</f>
        <v>1000</v>
      </c>
      <c r="P130">
        <f>'# Out FF'!C130</f>
        <v>1000</v>
      </c>
      <c r="Q130">
        <f>'# Out FF'!D130</f>
        <v>1000</v>
      </c>
      <c r="R130">
        <f>'# Out FF'!E130</f>
        <v>1000</v>
      </c>
      <c r="S130">
        <f>'# Out FF'!F130</f>
        <v>1000</v>
      </c>
      <c r="T130">
        <f>'# Out FF'!G130</f>
        <v>1000</v>
      </c>
      <c r="U130">
        <f>'# Out FF'!H130</f>
        <v>1000</v>
      </c>
      <c r="V130">
        <f>'# Out FF'!I130</f>
        <v>1000</v>
      </c>
      <c r="W130">
        <f>'# Out FF'!J130</f>
        <v>557</v>
      </c>
      <c r="X130">
        <f>'# Out FF'!K130</f>
        <v>1000</v>
      </c>
      <c r="Y130">
        <f>'# Out FF'!L130</f>
        <v>955.7</v>
      </c>
      <c r="AB130">
        <v>8</v>
      </c>
      <c r="AC130">
        <v>693</v>
      </c>
      <c r="AF130" s="2">
        <f t="shared" si="4"/>
        <v>8.0000000000000002E-3</v>
      </c>
      <c r="AG130">
        <f t="shared" si="5"/>
        <v>0.69299999999999995</v>
      </c>
      <c r="AH130">
        <f t="shared" si="6"/>
        <v>0.64565443316314119</v>
      </c>
      <c r="AI130">
        <f t="shared" si="7"/>
        <v>4.7345566836858755E-2</v>
      </c>
    </row>
    <row r="131" spans="1:35" x14ac:dyDescent="0.35">
      <c r="A131">
        <f>'DNC4 FF'!A131</f>
        <v>128</v>
      </c>
      <c r="B131" t="e">
        <f>'DNC4 FF'!B131</f>
        <v>#REF!</v>
      </c>
      <c r="C131" t="e">
        <f>'DNC4 FF'!C131</f>
        <v>#REF!</v>
      </c>
      <c r="D131" t="e">
        <f>'DNC4 FF'!D131</f>
        <v>#REF!</v>
      </c>
      <c r="E131" t="e">
        <f>'DNC4 FF'!E131</f>
        <v>#REF!</v>
      </c>
      <c r="F131" t="e">
        <f>'DNC4 FF'!F131</f>
        <v>#REF!</v>
      </c>
      <c r="G131" t="e">
        <f>'DNC4 FF'!G131</f>
        <v>#REF!</v>
      </c>
      <c r="H131" t="e">
        <f>'DNC4 FF'!H131</f>
        <v>#REF!</v>
      </c>
      <c r="I131" t="e">
        <f>'DNC4 FF'!I131</f>
        <v>#REF!</v>
      </c>
      <c r="J131">
        <f>'DNC4 FF'!J131</f>
        <v>1</v>
      </c>
      <c r="K131" t="e">
        <f>'DNC4 FF'!K131</f>
        <v>#REF!</v>
      </c>
      <c r="L131" t="e">
        <f>'DNC4 FF'!L131</f>
        <v>#REF!</v>
      </c>
      <c r="N131">
        <f>'# Out FF'!A131</f>
        <v>128</v>
      </c>
      <c r="O131">
        <f>'# Out FF'!B131</f>
        <v>1000</v>
      </c>
      <c r="P131">
        <f>'# Out FF'!C131</f>
        <v>1000</v>
      </c>
      <c r="Q131">
        <f>'# Out FF'!D131</f>
        <v>1000</v>
      </c>
      <c r="R131">
        <f>'# Out FF'!E131</f>
        <v>1000</v>
      </c>
      <c r="S131">
        <f>'# Out FF'!F131</f>
        <v>1000</v>
      </c>
      <c r="T131">
        <f>'# Out FF'!G131</f>
        <v>1000</v>
      </c>
      <c r="U131">
        <f>'# Out FF'!H131</f>
        <v>1000</v>
      </c>
      <c r="V131">
        <f>'# Out FF'!I131</f>
        <v>1000</v>
      </c>
      <c r="W131">
        <f>'# Out FF'!J131</f>
        <v>760</v>
      </c>
      <c r="X131">
        <f>'# Out FF'!K131</f>
        <v>1000</v>
      </c>
      <c r="Y131">
        <f>'# Out FF'!L131</f>
        <v>976</v>
      </c>
      <c r="AB131">
        <v>7</v>
      </c>
      <c r="AC131">
        <v>777</v>
      </c>
      <c r="AF131" s="2">
        <f t="shared" si="4"/>
        <v>7.0000000000000001E-3</v>
      </c>
      <c r="AG131">
        <f t="shared" si="5"/>
        <v>0.77700000000000002</v>
      </c>
      <c r="AH131">
        <f t="shared" si="6"/>
        <v>0.67217883422049818</v>
      </c>
      <c r="AI131">
        <f t="shared" si="7"/>
        <v>0.10482116577950185</v>
      </c>
    </row>
    <row r="132" spans="1:35" x14ac:dyDescent="0.35">
      <c r="A132">
        <f>'DNC4 FF'!A132</f>
        <v>129</v>
      </c>
      <c r="B132" t="e">
        <f>'DNC4 FF'!B132</f>
        <v>#REF!</v>
      </c>
      <c r="C132" t="e">
        <f>'DNC4 FF'!C132</f>
        <v>#REF!</v>
      </c>
      <c r="D132" t="e">
        <f>'DNC4 FF'!D132</f>
        <v>#REF!</v>
      </c>
      <c r="E132" t="e">
        <f>'DNC4 FF'!E132</f>
        <v>#REF!</v>
      </c>
      <c r="F132" t="e">
        <f>'DNC4 FF'!F132</f>
        <v>#REF!</v>
      </c>
      <c r="G132" t="e">
        <f>'DNC4 FF'!G132</f>
        <v>#REF!</v>
      </c>
      <c r="H132" t="e">
        <f>'DNC4 FF'!H132</f>
        <v>#REF!</v>
      </c>
      <c r="I132" t="e">
        <f>'DNC4 FF'!I132</f>
        <v>#REF!</v>
      </c>
      <c r="J132">
        <f>'DNC4 FF'!J132</f>
        <v>0</v>
      </c>
      <c r="K132" t="e">
        <f>'DNC4 FF'!K132</f>
        <v>#REF!</v>
      </c>
      <c r="L132" t="e">
        <f>'DNC4 FF'!L132</f>
        <v>#REF!</v>
      </c>
      <c r="N132">
        <f>'# Out FF'!A132</f>
        <v>129</v>
      </c>
      <c r="O132">
        <f>'# Out FF'!B132</f>
        <v>1000</v>
      </c>
      <c r="P132">
        <f>'# Out FF'!C132</f>
        <v>1000</v>
      </c>
      <c r="Q132">
        <f>'# Out FF'!D132</f>
        <v>1000</v>
      </c>
      <c r="R132">
        <f>'# Out FF'!E132</f>
        <v>1000</v>
      </c>
      <c r="S132">
        <f>'# Out FF'!F132</f>
        <v>1000</v>
      </c>
      <c r="T132">
        <f>'# Out FF'!G132</f>
        <v>1000</v>
      </c>
      <c r="U132">
        <f>'# Out FF'!H132</f>
        <v>1000</v>
      </c>
      <c r="V132">
        <f>'# Out FF'!I132</f>
        <v>1000</v>
      </c>
      <c r="W132">
        <f>'# Out FF'!J132</f>
        <v>780</v>
      </c>
      <c r="X132">
        <f>'# Out FF'!K132</f>
        <v>1000</v>
      </c>
      <c r="Y132">
        <f>'# Out FF'!L132</f>
        <v>978</v>
      </c>
      <c r="AB132">
        <v>1</v>
      </c>
      <c r="AC132">
        <v>802</v>
      </c>
      <c r="AF132" s="2">
        <f t="shared" ref="AF132:AF195" si="8">AB132/1000</f>
        <v>1E-3</v>
      </c>
      <c r="AG132">
        <f t="shared" ref="AG132:AG195" si="9">AC132/1000</f>
        <v>0.80200000000000005</v>
      </c>
      <c r="AH132">
        <f t="shared" ref="AH132:AH195" si="10">0.891*EXP(-40.26*AF132)</f>
        <v>0.85584084273568095</v>
      </c>
      <c r="AI132">
        <f t="shared" ref="AI132:AI195" si="11">AG132-AH132</f>
        <v>-5.3840842735680905E-2</v>
      </c>
    </row>
    <row r="133" spans="1:35" x14ac:dyDescent="0.35">
      <c r="A133">
        <f>'DNC4 FF'!A133</f>
        <v>130</v>
      </c>
      <c r="B133" t="e">
        <f>'DNC4 FF'!B133</f>
        <v>#REF!</v>
      </c>
      <c r="C133" t="e">
        <f>'DNC4 FF'!C133</f>
        <v>#REF!</v>
      </c>
      <c r="D133" t="e">
        <f>'DNC4 FF'!D133</f>
        <v>#REF!</v>
      </c>
      <c r="E133" t="e">
        <f>'DNC4 FF'!E133</f>
        <v>#REF!</v>
      </c>
      <c r="F133" t="e">
        <f>'DNC4 FF'!F133</f>
        <v>#REF!</v>
      </c>
      <c r="G133" t="e">
        <f>'DNC4 FF'!G133</f>
        <v>#REF!</v>
      </c>
      <c r="H133" t="e">
        <f>'DNC4 FF'!H133</f>
        <v>#REF!</v>
      </c>
      <c r="I133" t="e">
        <f>'DNC4 FF'!I133</f>
        <v>#REF!</v>
      </c>
      <c r="J133">
        <f>'DNC4 FF'!J133</f>
        <v>0</v>
      </c>
      <c r="K133" t="e">
        <f>'DNC4 FF'!K133</f>
        <v>#REF!</v>
      </c>
      <c r="L133" t="e">
        <f>'DNC4 FF'!L133</f>
        <v>#REF!</v>
      </c>
      <c r="N133">
        <f>'# Out FF'!A133</f>
        <v>130</v>
      </c>
      <c r="O133">
        <f>'# Out FF'!B133</f>
        <v>1000</v>
      </c>
      <c r="P133">
        <f>'# Out FF'!C133</f>
        <v>1000</v>
      </c>
      <c r="Q133">
        <f>'# Out FF'!D133</f>
        <v>1000</v>
      </c>
      <c r="R133">
        <f>'# Out FF'!E133</f>
        <v>1000</v>
      </c>
      <c r="S133">
        <f>'# Out FF'!F133</f>
        <v>1000</v>
      </c>
      <c r="T133">
        <f>'# Out FF'!G133</f>
        <v>1000</v>
      </c>
      <c r="U133">
        <f>'# Out FF'!H133</f>
        <v>1000</v>
      </c>
      <c r="V133">
        <f>'# Out FF'!I133</f>
        <v>1000</v>
      </c>
      <c r="W133">
        <f>'# Out FF'!J133</f>
        <v>993</v>
      </c>
      <c r="X133">
        <f>'# Out FF'!K133</f>
        <v>1000</v>
      </c>
      <c r="Y133">
        <f>'# Out FF'!L133</f>
        <v>999.3</v>
      </c>
      <c r="AB133">
        <v>2</v>
      </c>
      <c r="AC133">
        <v>793</v>
      </c>
      <c r="AF133" s="2">
        <f t="shared" si="8"/>
        <v>2E-3</v>
      </c>
      <c r="AG133">
        <f t="shared" si="9"/>
        <v>0.79300000000000004</v>
      </c>
      <c r="AH133">
        <f t="shared" si="10"/>
        <v>0.82206907754716119</v>
      </c>
      <c r="AI133">
        <f t="shared" si="11"/>
        <v>-2.9069077547161148E-2</v>
      </c>
    </row>
    <row r="134" spans="1:35" x14ac:dyDescent="0.35">
      <c r="A134">
        <f>'DNC4 FF'!A134</f>
        <v>131</v>
      </c>
      <c r="B134" t="e">
        <f>'DNC4 FF'!B134</f>
        <v>#REF!</v>
      </c>
      <c r="C134" t="e">
        <f>'DNC4 FF'!C134</f>
        <v>#REF!</v>
      </c>
      <c r="D134" t="e">
        <f>'DNC4 FF'!D134</f>
        <v>#REF!</v>
      </c>
      <c r="E134" t="e">
        <f>'DNC4 FF'!E134</f>
        <v>#REF!</v>
      </c>
      <c r="F134" t="e">
        <f>'DNC4 FF'!F134</f>
        <v>#REF!</v>
      </c>
      <c r="G134" t="e">
        <f>'DNC4 FF'!G134</f>
        <v>#REF!</v>
      </c>
      <c r="H134" t="e">
        <f>'DNC4 FF'!H134</f>
        <v>#REF!</v>
      </c>
      <c r="I134" t="e">
        <f>'DNC4 FF'!I134</f>
        <v>#REF!</v>
      </c>
      <c r="J134">
        <f>'DNC4 FF'!J134</f>
        <v>0</v>
      </c>
      <c r="K134" t="e">
        <f>'DNC4 FF'!K134</f>
        <v>#REF!</v>
      </c>
      <c r="L134" t="e">
        <f>'DNC4 FF'!L134</f>
        <v>#REF!</v>
      </c>
      <c r="N134">
        <f>'# Out FF'!A134</f>
        <v>131</v>
      </c>
      <c r="O134">
        <f>'# Out FF'!B134</f>
        <v>1000</v>
      </c>
      <c r="P134">
        <f>'# Out FF'!C134</f>
        <v>1000</v>
      </c>
      <c r="Q134">
        <f>'# Out FF'!D134</f>
        <v>1000</v>
      </c>
      <c r="R134">
        <f>'# Out FF'!E134</f>
        <v>1000</v>
      </c>
      <c r="S134">
        <f>'# Out FF'!F134</f>
        <v>1000</v>
      </c>
      <c r="T134">
        <f>'# Out FF'!G134</f>
        <v>1000</v>
      </c>
      <c r="U134">
        <f>'# Out FF'!H134</f>
        <v>1000</v>
      </c>
      <c r="V134">
        <f>'# Out FF'!I134</f>
        <v>1000</v>
      </c>
      <c r="W134">
        <f>'# Out FF'!J134</f>
        <v>997</v>
      </c>
      <c r="X134">
        <f>'# Out FF'!K134</f>
        <v>1000</v>
      </c>
      <c r="Y134">
        <f>'# Out FF'!L134</f>
        <v>999.7</v>
      </c>
      <c r="AB134">
        <v>1</v>
      </c>
      <c r="AC134">
        <v>808</v>
      </c>
      <c r="AF134" s="2">
        <f t="shared" si="8"/>
        <v>1E-3</v>
      </c>
      <c r="AG134">
        <f t="shared" si="9"/>
        <v>0.80800000000000005</v>
      </c>
      <c r="AH134">
        <f t="shared" si="10"/>
        <v>0.85584084273568095</v>
      </c>
      <c r="AI134">
        <f t="shared" si="11"/>
        <v>-4.78408427356809E-2</v>
      </c>
    </row>
    <row r="135" spans="1:35" x14ac:dyDescent="0.35">
      <c r="A135">
        <f>'DNC4 FF'!A135</f>
        <v>132</v>
      </c>
      <c r="B135" t="e">
        <f>'DNC4 FF'!B135</f>
        <v>#REF!</v>
      </c>
      <c r="C135" t="e">
        <f>'DNC4 FF'!C135</f>
        <v>#REF!</v>
      </c>
      <c r="D135" t="e">
        <f>'DNC4 FF'!D135</f>
        <v>#REF!</v>
      </c>
      <c r="E135" t="e">
        <f>'DNC4 FF'!E135</f>
        <v>#REF!</v>
      </c>
      <c r="F135" t="e">
        <f>'DNC4 FF'!F135</f>
        <v>#REF!</v>
      </c>
      <c r="G135" t="e">
        <f>'DNC4 FF'!G135</f>
        <v>#REF!</v>
      </c>
      <c r="H135" t="e">
        <f>'DNC4 FF'!H135</f>
        <v>#REF!</v>
      </c>
      <c r="I135" t="e">
        <f>'DNC4 FF'!I135</f>
        <v>#REF!</v>
      </c>
      <c r="J135">
        <f>'DNC4 FF'!J135</f>
        <v>0</v>
      </c>
      <c r="K135" t="e">
        <f>'DNC4 FF'!K135</f>
        <v>#REF!</v>
      </c>
      <c r="L135" t="e">
        <f>'DNC4 FF'!L135</f>
        <v>#REF!</v>
      </c>
      <c r="N135">
        <f>'# Out FF'!A135</f>
        <v>132</v>
      </c>
      <c r="O135">
        <f>'# Out FF'!B135</f>
        <v>1000</v>
      </c>
      <c r="P135">
        <f>'# Out FF'!C135</f>
        <v>1000</v>
      </c>
      <c r="Q135">
        <f>'# Out FF'!D135</f>
        <v>1000</v>
      </c>
      <c r="R135">
        <f>'# Out FF'!E135</f>
        <v>1000</v>
      </c>
      <c r="S135">
        <f>'# Out FF'!F135</f>
        <v>1000</v>
      </c>
      <c r="T135">
        <f>'# Out FF'!G135</f>
        <v>1000</v>
      </c>
      <c r="U135">
        <f>'# Out FF'!H135</f>
        <v>1000</v>
      </c>
      <c r="V135">
        <f>'# Out FF'!I135</f>
        <v>1000</v>
      </c>
      <c r="W135">
        <f>'# Out FF'!J135</f>
        <v>997</v>
      </c>
      <c r="X135">
        <f>'# Out FF'!K135</f>
        <v>1000</v>
      </c>
      <c r="Y135">
        <f>'# Out FF'!L135</f>
        <v>999.7</v>
      </c>
      <c r="AB135">
        <v>2</v>
      </c>
      <c r="AC135">
        <v>792</v>
      </c>
      <c r="AF135" s="2">
        <f t="shared" si="8"/>
        <v>2E-3</v>
      </c>
      <c r="AG135">
        <f t="shared" si="9"/>
        <v>0.79200000000000004</v>
      </c>
      <c r="AH135">
        <f t="shared" si="10"/>
        <v>0.82206907754716119</v>
      </c>
      <c r="AI135">
        <f t="shared" si="11"/>
        <v>-3.0069077547161149E-2</v>
      </c>
    </row>
    <row r="136" spans="1:35" x14ac:dyDescent="0.35">
      <c r="A136">
        <f>'DNC4 FF'!A136</f>
        <v>133</v>
      </c>
      <c r="B136" t="e">
        <f>'DNC4 FF'!B136</f>
        <v>#REF!</v>
      </c>
      <c r="C136" t="e">
        <f>'DNC4 FF'!C136</f>
        <v>#REF!</v>
      </c>
      <c r="D136" t="e">
        <f>'DNC4 FF'!D136</f>
        <v>#REF!</v>
      </c>
      <c r="E136" t="e">
        <f>'DNC4 FF'!E136</f>
        <v>#REF!</v>
      </c>
      <c r="F136" t="e">
        <f>'DNC4 FF'!F136</f>
        <v>#REF!</v>
      </c>
      <c r="G136" t="e">
        <f>'DNC4 FF'!G136</f>
        <v>#REF!</v>
      </c>
      <c r="H136" t="e">
        <f>'DNC4 FF'!H136</f>
        <v>#REF!</v>
      </c>
      <c r="I136" t="e">
        <f>'DNC4 FF'!I136</f>
        <v>#REF!</v>
      </c>
      <c r="J136">
        <f>'DNC4 FF'!J136</f>
        <v>0</v>
      </c>
      <c r="K136" t="e">
        <f>'DNC4 FF'!K136</f>
        <v>#REF!</v>
      </c>
      <c r="L136" t="e">
        <f>'DNC4 FF'!L136</f>
        <v>#REF!</v>
      </c>
      <c r="N136">
        <f>'# Out FF'!A136</f>
        <v>133</v>
      </c>
      <c r="O136">
        <f>'# Out FF'!B136</f>
        <v>1000</v>
      </c>
      <c r="P136">
        <f>'# Out FF'!C136</f>
        <v>1000</v>
      </c>
      <c r="Q136">
        <f>'# Out FF'!D136</f>
        <v>1000</v>
      </c>
      <c r="R136">
        <f>'# Out FF'!E136</f>
        <v>1000</v>
      </c>
      <c r="S136">
        <f>'# Out FF'!F136</f>
        <v>1000</v>
      </c>
      <c r="T136">
        <f>'# Out FF'!G136</f>
        <v>1000</v>
      </c>
      <c r="U136">
        <f>'# Out FF'!H136</f>
        <v>1000</v>
      </c>
      <c r="V136">
        <f>'# Out FF'!I136</f>
        <v>1000</v>
      </c>
      <c r="W136">
        <f>'# Out FF'!J136</f>
        <v>997</v>
      </c>
      <c r="X136">
        <f>'# Out FF'!K136</f>
        <v>1000</v>
      </c>
      <c r="Y136">
        <f>'# Out FF'!L136</f>
        <v>999.7</v>
      </c>
      <c r="AB136">
        <v>7</v>
      </c>
      <c r="AC136">
        <v>780</v>
      </c>
      <c r="AF136" s="2">
        <f t="shared" si="8"/>
        <v>7.0000000000000001E-3</v>
      </c>
      <c r="AG136">
        <f t="shared" si="9"/>
        <v>0.78</v>
      </c>
      <c r="AH136">
        <f t="shared" si="10"/>
        <v>0.67217883422049818</v>
      </c>
      <c r="AI136">
        <f t="shared" si="11"/>
        <v>0.10782116577950185</v>
      </c>
    </row>
    <row r="137" spans="1:35" x14ac:dyDescent="0.35">
      <c r="A137">
        <f>'DNC4 FF'!A137</f>
        <v>134</v>
      </c>
      <c r="B137" t="e">
        <f>'DNC4 FF'!B137</f>
        <v>#REF!</v>
      </c>
      <c r="C137" t="e">
        <f>'DNC4 FF'!C137</f>
        <v>#REF!</v>
      </c>
      <c r="D137" t="e">
        <f>'DNC4 FF'!D137</f>
        <v>#REF!</v>
      </c>
      <c r="E137" t="e">
        <f>'DNC4 FF'!E137</f>
        <v>#REF!</v>
      </c>
      <c r="F137" t="e">
        <f>'DNC4 FF'!F137</f>
        <v>#REF!</v>
      </c>
      <c r="G137" t="e">
        <f>'DNC4 FF'!G137</f>
        <v>#REF!</v>
      </c>
      <c r="H137" t="e">
        <f>'DNC4 FF'!H137</f>
        <v>#REF!</v>
      </c>
      <c r="I137" t="e">
        <f>'DNC4 FF'!I137</f>
        <v>#REF!</v>
      </c>
      <c r="J137">
        <f>'DNC4 FF'!J137</f>
        <v>2</v>
      </c>
      <c r="K137" t="e">
        <f>'DNC4 FF'!K137</f>
        <v>#REF!</v>
      </c>
      <c r="L137" t="e">
        <f>'DNC4 FF'!L137</f>
        <v>#REF!</v>
      </c>
      <c r="N137">
        <f>'# Out FF'!A137</f>
        <v>134</v>
      </c>
      <c r="O137">
        <f>'# Out FF'!B137</f>
        <v>1000</v>
      </c>
      <c r="P137">
        <f>'# Out FF'!C137</f>
        <v>1000</v>
      </c>
      <c r="Q137">
        <f>'# Out FF'!D137</f>
        <v>1000</v>
      </c>
      <c r="R137">
        <f>'# Out FF'!E137</f>
        <v>1000</v>
      </c>
      <c r="S137">
        <f>'# Out FF'!F137</f>
        <v>1000</v>
      </c>
      <c r="T137">
        <f>'# Out FF'!G137</f>
        <v>1000</v>
      </c>
      <c r="U137">
        <f>'# Out FF'!H137</f>
        <v>1000</v>
      </c>
      <c r="V137">
        <f>'# Out FF'!I137</f>
        <v>1000</v>
      </c>
      <c r="W137">
        <f>'# Out FF'!J137</f>
        <v>995</v>
      </c>
      <c r="X137">
        <f>'# Out FF'!K137</f>
        <v>1000</v>
      </c>
      <c r="Y137">
        <f>'# Out FF'!L137</f>
        <v>999.5</v>
      </c>
      <c r="AB137">
        <v>4</v>
      </c>
      <c r="AC137">
        <v>805</v>
      </c>
      <c r="AF137" s="2">
        <f t="shared" si="8"/>
        <v>4.0000000000000001E-3</v>
      </c>
      <c r="AG137">
        <f t="shared" si="9"/>
        <v>0.80500000000000005</v>
      </c>
      <c r="AH137">
        <f t="shared" si="10"/>
        <v>0.75847089591385031</v>
      </c>
      <c r="AI137">
        <f t="shared" si="11"/>
        <v>4.6529104086149742E-2</v>
      </c>
    </row>
    <row r="138" spans="1:35" x14ac:dyDescent="0.35">
      <c r="A138">
        <f>'DNC4 FF'!A138</f>
        <v>135</v>
      </c>
      <c r="B138" t="e">
        <f>'DNC4 FF'!B138</f>
        <v>#REF!</v>
      </c>
      <c r="C138" t="e">
        <f>'DNC4 FF'!C138</f>
        <v>#REF!</v>
      </c>
      <c r="D138" t="e">
        <f>'DNC4 FF'!D138</f>
        <v>#REF!</v>
      </c>
      <c r="E138" t="e">
        <f>'DNC4 FF'!E138</f>
        <v>#REF!</v>
      </c>
      <c r="F138" t="e">
        <f>'DNC4 FF'!F138</f>
        <v>#REF!</v>
      </c>
      <c r="G138" t="e">
        <f>'DNC4 FF'!G138</f>
        <v>#REF!</v>
      </c>
      <c r="H138" t="e">
        <f>'DNC4 FF'!H138</f>
        <v>#REF!</v>
      </c>
      <c r="I138" t="e">
        <f>'DNC4 FF'!I138</f>
        <v>#REF!</v>
      </c>
      <c r="J138">
        <f>'DNC4 FF'!J138</f>
        <v>1</v>
      </c>
      <c r="K138" t="e">
        <f>'DNC4 FF'!K138</f>
        <v>#REF!</v>
      </c>
      <c r="L138" t="e">
        <f>'DNC4 FF'!L138</f>
        <v>#REF!</v>
      </c>
      <c r="N138">
        <f>'# Out FF'!A138</f>
        <v>135</v>
      </c>
      <c r="O138">
        <f>'# Out FF'!B138</f>
        <v>1000</v>
      </c>
      <c r="P138">
        <f>'# Out FF'!C138</f>
        <v>1000</v>
      </c>
      <c r="Q138">
        <f>'# Out FF'!D138</f>
        <v>1000</v>
      </c>
      <c r="R138">
        <f>'# Out FF'!E138</f>
        <v>1000</v>
      </c>
      <c r="S138">
        <f>'# Out FF'!F138</f>
        <v>1000</v>
      </c>
      <c r="T138">
        <f>'# Out FF'!G138</f>
        <v>1000</v>
      </c>
      <c r="U138">
        <f>'# Out FF'!H138</f>
        <v>1000</v>
      </c>
      <c r="V138">
        <f>'# Out FF'!I138</f>
        <v>1000</v>
      </c>
      <c r="W138">
        <f>'# Out FF'!J138</f>
        <v>786</v>
      </c>
      <c r="X138">
        <f>'# Out FF'!K138</f>
        <v>1000</v>
      </c>
      <c r="Y138">
        <f>'# Out FF'!L138</f>
        <v>978.6</v>
      </c>
      <c r="AB138">
        <v>5</v>
      </c>
      <c r="AC138">
        <v>574</v>
      </c>
      <c r="AF138" s="2">
        <f t="shared" si="8"/>
        <v>5.0000000000000001E-3</v>
      </c>
      <c r="AG138">
        <f t="shared" si="9"/>
        <v>0.57399999999999995</v>
      </c>
      <c r="AH138">
        <f t="shared" si="10"/>
        <v>0.72854138131245416</v>
      </c>
      <c r="AI138">
        <f t="shared" si="11"/>
        <v>-0.15454138131245421</v>
      </c>
    </row>
    <row r="139" spans="1:35" x14ac:dyDescent="0.35">
      <c r="A139">
        <f>'DNC4 FF'!A139</f>
        <v>136</v>
      </c>
      <c r="B139" t="e">
        <f>'DNC4 FF'!B139</f>
        <v>#REF!</v>
      </c>
      <c r="C139" t="e">
        <f>'DNC4 FF'!C139</f>
        <v>#REF!</v>
      </c>
      <c r="D139" t="e">
        <f>'DNC4 FF'!D139</f>
        <v>#REF!</v>
      </c>
      <c r="E139" t="e">
        <f>'DNC4 FF'!E139</f>
        <v>#REF!</v>
      </c>
      <c r="F139" t="e">
        <f>'DNC4 FF'!F139</f>
        <v>#REF!</v>
      </c>
      <c r="G139" t="e">
        <f>'DNC4 FF'!G139</f>
        <v>#REF!</v>
      </c>
      <c r="H139" t="e">
        <f>'DNC4 FF'!H139</f>
        <v>#REF!</v>
      </c>
      <c r="I139" t="e">
        <f>'DNC4 FF'!I139</f>
        <v>#REF!</v>
      </c>
      <c r="J139">
        <f>'DNC4 FF'!J139</f>
        <v>2</v>
      </c>
      <c r="K139" t="e">
        <f>'DNC4 FF'!K139</f>
        <v>#REF!</v>
      </c>
      <c r="L139" t="e">
        <f>'DNC4 FF'!L139</f>
        <v>#REF!</v>
      </c>
      <c r="N139">
        <f>'# Out FF'!A139</f>
        <v>136</v>
      </c>
      <c r="O139">
        <f>'# Out FF'!B139</f>
        <v>1000</v>
      </c>
      <c r="P139">
        <f>'# Out FF'!C139</f>
        <v>1000</v>
      </c>
      <c r="Q139">
        <f>'# Out FF'!D139</f>
        <v>1000</v>
      </c>
      <c r="R139">
        <f>'# Out FF'!E139</f>
        <v>1000</v>
      </c>
      <c r="S139">
        <f>'# Out FF'!F139</f>
        <v>1000</v>
      </c>
      <c r="T139">
        <f>'# Out FF'!G139</f>
        <v>1000</v>
      </c>
      <c r="U139">
        <f>'# Out FF'!H139</f>
        <v>1000</v>
      </c>
      <c r="V139">
        <f>'# Out FF'!I139</f>
        <v>1000</v>
      </c>
      <c r="W139">
        <f>'# Out FF'!J139</f>
        <v>789</v>
      </c>
      <c r="X139">
        <f>'# Out FF'!K139</f>
        <v>1000</v>
      </c>
      <c r="Y139">
        <f>'# Out FF'!L139</f>
        <v>978.9</v>
      </c>
      <c r="AB139">
        <v>5</v>
      </c>
      <c r="AC139">
        <v>566</v>
      </c>
      <c r="AF139" s="2">
        <f t="shared" si="8"/>
        <v>5.0000000000000001E-3</v>
      </c>
      <c r="AG139">
        <f t="shared" si="9"/>
        <v>0.56599999999999995</v>
      </c>
      <c r="AH139">
        <f t="shared" si="10"/>
        <v>0.72854138131245416</v>
      </c>
      <c r="AI139">
        <f t="shared" si="11"/>
        <v>-0.16254138131245421</v>
      </c>
    </row>
    <row r="140" spans="1:35" x14ac:dyDescent="0.35">
      <c r="A140">
        <f>'DNC4 FF'!A140</f>
        <v>137</v>
      </c>
      <c r="B140" t="e">
        <f>'DNC4 FF'!B140</f>
        <v>#REF!</v>
      </c>
      <c r="C140" t="e">
        <f>'DNC4 FF'!C140</f>
        <v>#REF!</v>
      </c>
      <c r="D140" t="e">
        <f>'DNC4 FF'!D140</f>
        <v>#REF!</v>
      </c>
      <c r="E140" t="e">
        <f>'DNC4 FF'!E140</f>
        <v>#REF!</v>
      </c>
      <c r="F140" t="e">
        <f>'DNC4 FF'!F140</f>
        <v>#REF!</v>
      </c>
      <c r="G140" t="e">
        <f>'DNC4 FF'!G140</f>
        <v>#REF!</v>
      </c>
      <c r="H140" t="e">
        <f>'DNC4 FF'!H140</f>
        <v>#REF!</v>
      </c>
      <c r="I140" t="e">
        <f>'DNC4 FF'!I140</f>
        <v>#REF!</v>
      </c>
      <c r="J140">
        <f>'DNC4 FF'!J140</f>
        <v>3</v>
      </c>
      <c r="K140" t="e">
        <f>'DNC4 FF'!K140</f>
        <v>#REF!</v>
      </c>
      <c r="L140" t="e">
        <f>'DNC4 FF'!L140</f>
        <v>#REF!</v>
      </c>
      <c r="N140">
        <f>'# Out FF'!A140</f>
        <v>137</v>
      </c>
      <c r="O140">
        <f>'# Out FF'!B140</f>
        <v>1000</v>
      </c>
      <c r="P140">
        <f>'# Out FF'!C140</f>
        <v>1000</v>
      </c>
      <c r="Q140">
        <f>'# Out FF'!D140</f>
        <v>1000</v>
      </c>
      <c r="R140">
        <f>'# Out FF'!E140</f>
        <v>1000</v>
      </c>
      <c r="S140">
        <f>'# Out FF'!F140</f>
        <v>1000</v>
      </c>
      <c r="T140">
        <f>'# Out FF'!G140</f>
        <v>1000</v>
      </c>
      <c r="U140">
        <f>'# Out FF'!H140</f>
        <v>1000</v>
      </c>
      <c r="V140">
        <f>'# Out FF'!I140</f>
        <v>1000</v>
      </c>
      <c r="W140">
        <f>'# Out FF'!J140</f>
        <v>782</v>
      </c>
      <c r="X140">
        <f>'# Out FF'!K140</f>
        <v>1000</v>
      </c>
      <c r="Y140">
        <f>'# Out FF'!L140</f>
        <v>978.2</v>
      </c>
      <c r="AB140">
        <v>4</v>
      </c>
      <c r="AC140">
        <v>800</v>
      </c>
      <c r="AF140" s="2">
        <f t="shared" si="8"/>
        <v>4.0000000000000001E-3</v>
      </c>
      <c r="AG140">
        <f t="shared" si="9"/>
        <v>0.8</v>
      </c>
      <c r="AH140">
        <f t="shared" si="10"/>
        <v>0.75847089591385031</v>
      </c>
      <c r="AI140">
        <f t="shared" si="11"/>
        <v>4.1529104086149737E-2</v>
      </c>
    </row>
    <row r="141" spans="1:35" x14ac:dyDescent="0.35">
      <c r="A141">
        <f>'DNC4 FF'!A141</f>
        <v>138</v>
      </c>
      <c r="B141" t="e">
        <f>'DNC4 FF'!B141</f>
        <v>#REF!</v>
      </c>
      <c r="C141" t="e">
        <f>'DNC4 FF'!C141</f>
        <v>#REF!</v>
      </c>
      <c r="D141" t="e">
        <f>'DNC4 FF'!D141</f>
        <v>#REF!</v>
      </c>
      <c r="E141" t="e">
        <f>'DNC4 FF'!E141</f>
        <v>#REF!</v>
      </c>
      <c r="F141" t="e">
        <f>'DNC4 FF'!F141</f>
        <v>#REF!</v>
      </c>
      <c r="G141" t="e">
        <f>'DNC4 FF'!G141</f>
        <v>#REF!</v>
      </c>
      <c r="H141" t="e">
        <f>'DNC4 FF'!H141</f>
        <v>#REF!</v>
      </c>
      <c r="I141" t="e">
        <f>'DNC4 FF'!I141</f>
        <v>#REF!</v>
      </c>
      <c r="J141">
        <f>'DNC4 FF'!J141</f>
        <v>0</v>
      </c>
      <c r="K141" t="e">
        <f>'DNC4 FF'!K141</f>
        <v>#REF!</v>
      </c>
      <c r="L141" t="e">
        <f>'DNC4 FF'!L141</f>
        <v>#REF!</v>
      </c>
      <c r="N141">
        <f>'# Out FF'!A141</f>
        <v>138</v>
      </c>
      <c r="O141">
        <f>'# Out FF'!B141</f>
        <v>1000</v>
      </c>
      <c r="P141">
        <f>'# Out FF'!C141</f>
        <v>1000</v>
      </c>
      <c r="Q141">
        <f>'# Out FF'!D141</f>
        <v>1000</v>
      </c>
      <c r="R141">
        <f>'# Out FF'!E141</f>
        <v>1000</v>
      </c>
      <c r="S141">
        <f>'# Out FF'!F141</f>
        <v>1000</v>
      </c>
      <c r="T141">
        <f>'# Out FF'!G141</f>
        <v>1000</v>
      </c>
      <c r="U141">
        <f>'# Out FF'!H141</f>
        <v>1000</v>
      </c>
      <c r="V141">
        <f>'# Out FF'!I141</f>
        <v>1000</v>
      </c>
      <c r="W141">
        <f>'# Out FF'!J141</f>
        <v>762</v>
      </c>
      <c r="X141">
        <f>'# Out FF'!K141</f>
        <v>1000</v>
      </c>
      <c r="Y141">
        <f>'# Out FF'!L141</f>
        <v>976.2</v>
      </c>
      <c r="AB141">
        <v>1</v>
      </c>
      <c r="AC141">
        <v>807</v>
      </c>
      <c r="AF141" s="2">
        <f t="shared" si="8"/>
        <v>1E-3</v>
      </c>
      <c r="AG141">
        <f t="shared" si="9"/>
        <v>0.80700000000000005</v>
      </c>
      <c r="AH141">
        <f t="shared" si="10"/>
        <v>0.85584084273568095</v>
      </c>
      <c r="AI141">
        <f t="shared" si="11"/>
        <v>-4.8840842735680901E-2</v>
      </c>
    </row>
    <row r="142" spans="1:35" x14ac:dyDescent="0.35">
      <c r="A142">
        <f>'DNC4 FF'!A142</f>
        <v>139</v>
      </c>
      <c r="B142" t="e">
        <f>'DNC4 FF'!B142</f>
        <v>#REF!</v>
      </c>
      <c r="C142" t="e">
        <f>'DNC4 FF'!C142</f>
        <v>#REF!</v>
      </c>
      <c r="D142" t="e">
        <f>'DNC4 FF'!D142</f>
        <v>#REF!</v>
      </c>
      <c r="E142" t="e">
        <f>'DNC4 FF'!E142</f>
        <v>#REF!</v>
      </c>
      <c r="F142" t="e">
        <f>'DNC4 FF'!F142</f>
        <v>#REF!</v>
      </c>
      <c r="G142" t="e">
        <f>'DNC4 FF'!G142</f>
        <v>#REF!</v>
      </c>
      <c r="H142" t="e">
        <f>'DNC4 FF'!H142</f>
        <v>#REF!</v>
      </c>
      <c r="I142" t="e">
        <f>'DNC4 FF'!I142</f>
        <v>#REF!</v>
      </c>
      <c r="J142">
        <f>'DNC4 FF'!J142</f>
        <v>0</v>
      </c>
      <c r="K142" t="e">
        <f>'DNC4 FF'!K142</f>
        <v>#REF!</v>
      </c>
      <c r="L142" t="e">
        <f>'DNC4 FF'!L142</f>
        <v>#REF!</v>
      </c>
      <c r="N142">
        <f>'# Out FF'!A142</f>
        <v>139</v>
      </c>
      <c r="O142">
        <f>'# Out FF'!B142</f>
        <v>1000</v>
      </c>
      <c r="P142">
        <f>'# Out FF'!C142</f>
        <v>1000</v>
      </c>
      <c r="Q142">
        <f>'# Out FF'!D142</f>
        <v>1000</v>
      </c>
      <c r="R142">
        <f>'# Out FF'!E142</f>
        <v>1000</v>
      </c>
      <c r="S142">
        <f>'# Out FF'!F142</f>
        <v>1000</v>
      </c>
      <c r="T142">
        <f>'# Out FF'!G142</f>
        <v>1000</v>
      </c>
      <c r="U142">
        <f>'# Out FF'!H142</f>
        <v>1000</v>
      </c>
      <c r="V142">
        <f>'# Out FF'!I142</f>
        <v>1000</v>
      </c>
      <c r="W142">
        <f>'# Out FF'!J142</f>
        <v>992</v>
      </c>
      <c r="X142">
        <f>'# Out FF'!K142</f>
        <v>1000</v>
      </c>
      <c r="Y142">
        <f>'# Out FF'!L142</f>
        <v>999.2</v>
      </c>
      <c r="AB142">
        <v>0</v>
      </c>
      <c r="AC142">
        <v>994</v>
      </c>
      <c r="AF142" s="2">
        <f t="shared" si="8"/>
        <v>0</v>
      </c>
      <c r="AG142">
        <f t="shared" si="9"/>
        <v>0.99399999999999999</v>
      </c>
      <c r="AH142">
        <f t="shared" si="10"/>
        <v>0.89100000000000001</v>
      </c>
      <c r="AI142">
        <f t="shared" si="11"/>
        <v>0.10299999999999998</v>
      </c>
    </row>
    <row r="143" spans="1:35" x14ac:dyDescent="0.35">
      <c r="A143">
        <f>'DNC4 FF'!A143</f>
        <v>140</v>
      </c>
      <c r="B143" t="e">
        <f>'DNC4 FF'!B143</f>
        <v>#REF!</v>
      </c>
      <c r="C143" t="e">
        <f>'DNC4 FF'!C143</f>
        <v>#REF!</v>
      </c>
      <c r="D143" t="e">
        <f>'DNC4 FF'!D143</f>
        <v>#REF!</v>
      </c>
      <c r="E143" t="e">
        <f>'DNC4 FF'!E143</f>
        <v>#REF!</v>
      </c>
      <c r="F143" t="e">
        <f>'DNC4 FF'!F143</f>
        <v>#REF!</v>
      </c>
      <c r="G143" t="e">
        <f>'DNC4 FF'!G143</f>
        <v>#REF!</v>
      </c>
      <c r="H143" t="e">
        <f>'DNC4 FF'!H143</f>
        <v>#REF!</v>
      </c>
      <c r="I143" t="e">
        <f>'DNC4 FF'!I143</f>
        <v>#REF!</v>
      </c>
      <c r="J143">
        <f>'DNC4 FF'!J143</f>
        <v>0</v>
      </c>
      <c r="K143" t="e">
        <f>'DNC4 FF'!K143</f>
        <v>#REF!</v>
      </c>
      <c r="L143" t="e">
        <f>'DNC4 FF'!L143</f>
        <v>#REF!</v>
      </c>
      <c r="N143">
        <f>'# Out FF'!A143</f>
        <v>140</v>
      </c>
      <c r="O143">
        <f>'# Out FF'!B143</f>
        <v>1000</v>
      </c>
      <c r="P143">
        <f>'# Out FF'!C143</f>
        <v>1000</v>
      </c>
      <c r="Q143">
        <f>'# Out FF'!D143</f>
        <v>1000</v>
      </c>
      <c r="R143">
        <f>'# Out FF'!E143</f>
        <v>1000</v>
      </c>
      <c r="S143">
        <f>'# Out FF'!F143</f>
        <v>1000</v>
      </c>
      <c r="T143">
        <f>'# Out FF'!G143</f>
        <v>1000</v>
      </c>
      <c r="U143">
        <f>'# Out FF'!H143</f>
        <v>1000</v>
      </c>
      <c r="V143">
        <f>'# Out FF'!I143</f>
        <v>1000</v>
      </c>
      <c r="W143">
        <f>'# Out FF'!J143</f>
        <v>995</v>
      </c>
      <c r="X143">
        <f>'# Out FF'!K143</f>
        <v>1000</v>
      </c>
      <c r="Y143">
        <f>'# Out FF'!L143</f>
        <v>999.5</v>
      </c>
      <c r="AB143">
        <v>0</v>
      </c>
      <c r="AC143">
        <v>998</v>
      </c>
      <c r="AF143" s="2">
        <f t="shared" si="8"/>
        <v>0</v>
      </c>
      <c r="AG143">
        <f t="shared" si="9"/>
        <v>0.998</v>
      </c>
      <c r="AH143">
        <f t="shared" si="10"/>
        <v>0.89100000000000001</v>
      </c>
      <c r="AI143">
        <f t="shared" si="11"/>
        <v>0.10699999999999998</v>
      </c>
    </row>
    <row r="144" spans="1:35" x14ac:dyDescent="0.35">
      <c r="A144">
        <f>'DNC4 FF'!A144</f>
        <v>141</v>
      </c>
      <c r="B144" t="e">
        <f>'DNC4 FF'!B144</f>
        <v>#REF!</v>
      </c>
      <c r="C144" t="e">
        <f>'DNC4 FF'!C144</f>
        <v>#REF!</v>
      </c>
      <c r="D144" t="e">
        <f>'DNC4 FF'!D144</f>
        <v>#REF!</v>
      </c>
      <c r="E144" t="e">
        <f>'DNC4 FF'!E144</f>
        <v>#REF!</v>
      </c>
      <c r="F144" t="e">
        <f>'DNC4 FF'!F144</f>
        <v>#REF!</v>
      </c>
      <c r="G144" t="e">
        <f>'DNC4 FF'!G144</f>
        <v>#REF!</v>
      </c>
      <c r="H144" t="e">
        <f>'DNC4 FF'!H144</f>
        <v>#REF!</v>
      </c>
      <c r="I144" t="e">
        <f>'DNC4 FF'!I144</f>
        <v>#REF!</v>
      </c>
      <c r="J144">
        <f>'DNC4 FF'!J144</f>
        <v>0</v>
      </c>
      <c r="K144" t="e">
        <f>'DNC4 FF'!K144</f>
        <v>#REF!</v>
      </c>
      <c r="L144" t="e">
        <f>'DNC4 FF'!L144</f>
        <v>#REF!</v>
      </c>
      <c r="N144">
        <f>'# Out FF'!A144</f>
        <v>141</v>
      </c>
      <c r="O144">
        <f>'# Out FF'!B144</f>
        <v>1000</v>
      </c>
      <c r="P144">
        <f>'# Out FF'!C144</f>
        <v>1000</v>
      </c>
      <c r="Q144">
        <f>'# Out FF'!D144</f>
        <v>1000</v>
      </c>
      <c r="R144">
        <f>'# Out FF'!E144</f>
        <v>1000</v>
      </c>
      <c r="S144">
        <f>'# Out FF'!F144</f>
        <v>1000</v>
      </c>
      <c r="T144">
        <f>'# Out FF'!G144</f>
        <v>1000</v>
      </c>
      <c r="U144">
        <f>'# Out FF'!H144</f>
        <v>1000</v>
      </c>
      <c r="V144">
        <f>'# Out FF'!I144</f>
        <v>1000</v>
      </c>
      <c r="W144">
        <f>'# Out FF'!J144</f>
        <v>995</v>
      </c>
      <c r="X144">
        <f>'# Out FF'!K144</f>
        <v>1000</v>
      </c>
      <c r="Y144">
        <f>'# Out FF'!L144</f>
        <v>999.5</v>
      </c>
      <c r="AB144">
        <v>0</v>
      </c>
      <c r="AC144">
        <v>998</v>
      </c>
      <c r="AF144" s="2">
        <f t="shared" si="8"/>
        <v>0</v>
      </c>
      <c r="AG144">
        <f t="shared" si="9"/>
        <v>0.998</v>
      </c>
      <c r="AH144">
        <f t="shared" si="10"/>
        <v>0.89100000000000001</v>
      </c>
      <c r="AI144">
        <f t="shared" si="11"/>
        <v>0.10699999999999998</v>
      </c>
    </row>
    <row r="145" spans="1:35" x14ac:dyDescent="0.35">
      <c r="A145">
        <f>'DNC4 FF'!A145</f>
        <v>142</v>
      </c>
      <c r="B145" t="e">
        <f>'DNC4 FF'!B145</f>
        <v>#REF!</v>
      </c>
      <c r="C145" t="e">
        <f>'DNC4 FF'!C145</f>
        <v>#REF!</v>
      </c>
      <c r="D145" t="e">
        <f>'DNC4 FF'!D145</f>
        <v>#REF!</v>
      </c>
      <c r="E145" t="e">
        <f>'DNC4 FF'!E145</f>
        <v>#REF!</v>
      </c>
      <c r="F145" t="e">
        <f>'DNC4 FF'!F145</f>
        <v>#REF!</v>
      </c>
      <c r="G145" t="e">
        <f>'DNC4 FF'!G145</f>
        <v>#REF!</v>
      </c>
      <c r="H145" t="e">
        <f>'DNC4 FF'!H145</f>
        <v>#REF!</v>
      </c>
      <c r="I145" t="e">
        <f>'DNC4 FF'!I145</f>
        <v>#REF!</v>
      </c>
      <c r="J145">
        <f>'DNC4 FF'!J145</f>
        <v>0</v>
      </c>
      <c r="K145" t="e">
        <f>'DNC4 FF'!K145</f>
        <v>#REF!</v>
      </c>
      <c r="L145" t="e">
        <f>'DNC4 FF'!L145</f>
        <v>#REF!</v>
      </c>
      <c r="N145">
        <f>'# Out FF'!A145</f>
        <v>142</v>
      </c>
      <c r="O145">
        <f>'# Out FF'!B145</f>
        <v>1000</v>
      </c>
      <c r="P145">
        <f>'# Out FF'!C145</f>
        <v>1000</v>
      </c>
      <c r="Q145">
        <f>'# Out FF'!D145</f>
        <v>1000</v>
      </c>
      <c r="R145">
        <f>'# Out FF'!E145</f>
        <v>1000</v>
      </c>
      <c r="S145">
        <f>'# Out FF'!F145</f>
        <v>1000</v>
      </c>
      <c r="T145">
        <f>'# Out FF'!G145</f>
        <v>1000</v>
      </c>
      <c r="U145">
        <f>'# Out FF'!H145</f>
        <v>1000</v>
      </c>
      <c r="V145">
        <f>'# Out FF'!I145</f>
        <v>1000</v>
      </c>
      <c r="W145">
        <f>'# Out FF'!J145</f>
        <v>996</v>
      </c>
      <c r="X145">
        <f>'# Out FF'!K145</f>
        <v>1000</v>
      </c>
      <c r="Y145">
        <f>'# Out FF'!L145</f>
        <v>999.6</v>
      </c>
      <c r="AB145">
        <v>0</v>
      </c>
      <c r="AC145">
        <v>996</v>
      </c>
      <c r="AF145" s="2">
        <f t="shared" si="8"/>
        <v>0</v>
      </c>
      <c r="AG145">
        <f t="shared" si="9"/>
        <v>0.996</v>
      </c>
      <c r="AH145">
        <f t="shared" si="10"/>
        <v>0.89100000000000001</v>
      </c>
      <c r="AI145">
        <f t="shared" si="11"/>
        <v>0.10499999999999998</v>
      </c>
    </row>
    <row r="146" spans="1:35" x14ac:dyDescent="0.35">
      <c r="A146">
        <f>'DNC4 FF'!A146</f>
        <v>143</v>
      </c>
      <c r="B146" t="e">
        <f>'DNC4 FF'!B146</f>
        <v>#REF!</v>
      </c>
      <c r="C146" t="e">
        <f>'DNC4 FF'!C146</f>
        <v>#REF!</v>
      </c>
      <c r="D146" t="e">
        <f>'DNC4 FF'!D146</f>
        <v>#REF!</v>
      </c>
      <c r="E146" t="e">
        <f>'DNC4 FF'!E146</f>
        <v>#REF!</v>
      </c>
      <c r="F146" t="e">
        <f>'DNC4 FF'!F146</f>
        <v>#REF!</v>
      </c>
      <c r="G146" t="e">
        <f>'DNC4 FF'!G146</f>
        <v>#REF!</v>
      </c>
      <c r="H146" t="e">
        <f>'DNC4 FF'!H146</f>
        <v>#REF!</v>
      </c>
      <c r="I146" t="e">
        <f>'DNC4 FF'!I146</f>
        <v>#REF!</v>
      </c>
      <c r="J146">
        <f>'DNC4 FF'!J146</f>
        <v>2</v>
      </c>
      <c r="K146" t="e">
        <f>'DNC4 FF'!K146</f>
        <v>#REF!</v>
      </c>
      <c r="L146" t="e">
        <f>'DNC4 FF'!L146</f>
        <v>#REF!</v>
      </c>
      <c r="N146">
        <f>'# Out FF'!A146</f>
        <v>143</v>
      </c>
      <c r="O146">
        <f>'# Out FF'!B146</f>
        <v>1000</v>
      </c>
      <c r="P146">
        <f>'# Out FF'!C146</f>
        <v>1000</v>
      </c>
      <c r="Q146">
        <f>'# Out FF'!D146</f>
        <v>1000</v>
      </c>
      <c r="R146">
        <f>'# Out FF'!E146</f>
        <v>1000</v>
      </c>
      <c r="S146">
        <f>'# Out FF'!F146</f>
        <v>1000</v>
      </c>
      <c r="T146">
        <f>'# Out FF'!G146</f>
        <v>1000</v>
      </c>
      <c r="U146">
        <f>'# Out FF'!H146</f>
        <v>1000</v>
      </c>
      <c r="V146">
        <f>'# Out FF'!I146</f>
        <v>1000</v>
      </c>
      <c r="W146">
        <f>'# Out FF'!J146</f>
        <v>996</v>
      </c>
      <c r="X146">
        <f>'# Out FF'!K146</f>
        <v>1000</v>
      </c>
      <c r="Y146">
        <f>'# Out FF'!L146</f>
        <v>999.6</v>
      </c>
      <c r="AB146">
        <v>1</v>
      </c>
      <c r="AC146">
        <v>802</v>
      </c>
      <c r="AF146" s="2">
        <f t="shared" si="8"/>
        <v>1E-3</v>
      </c>
      <c r="AG146">
        <f t="shared" si="9"/>
        <v>0.80200000000000005</v>
      </c>
      <c r="AH146">
        <f t="shared" si="10"/>
        <v>0.85584084273568095</v>
      </c>
      <c r="AI146">
        <f t="shared" si="11"/>
        <v>-5.3840842735680905E-2</v>
      </c>
    </row>
    <row r="147" spans="1:35" x14ac:dyDescent="0.35">
      <c r="A147">
        <f>'DNC4 FF'!A147</f>
        <v>144</v>
      </c>
      <c r="B147" t="e">
        <f>'DNC4 FF'!B147</f>
        <v>#REF!</v>
      </c>
      <c r="C147" t="e">
        <f>'DNC4 FF'!C147</f>
        <v>#REF!</v>
      </c>
      <c r="D147" t="e">
        <f>'DNC4 FF'!D147</f>
        <v>#REF!</v>
      </c>
      <c r="E147" t="e">
        <f>'DNC4 FF'!E147</f>
        <v>#REF!</v>
      </c>
      <c r="F147" t="e">
        <f>'DNC4 FF'!F147</f>
        <v>#REF!</v>
      </c>
      <c r="G147" t="e">
        <f>'DNC4 FF'!G147</f>
        <v>#REF!</v>
      </c>
      <c r="H147" t="e">
        <f>'DNC4 FF'!H147</f>
        <v>#REF!</v>
      </c>
      <c r="I147" t="e">
        <f>'DNC4 FF'!I147</f>
        <v>#REF!</v>
      </c>
      <c r="J147">
        <f>'DNC4 FF'!J147</f>
        <v>1</v>
      </c>
      <c r="K147" t="e">
        <f>'DNC4 FF'!K147</f>
        <v>#REF!</v>
      </c>
      <c r="L147" t="e">
        <f>'DNC4 FF'!L147</f>
        <v>#REF!</v>
      </c>
      <c r="N147">
        <f>'# Out FF'!A147</f>
        <v>144</v>
      </c>
      <c r="O147">
        <f>'# Out FF'!B147</f>
        <v>1000</v>
      </c>
      <c r="P147">
        <f>'# Out FF'!C147</f>
        <v>1000</v>
      </c>
      <c r="Q147">
        <f>'# Out FF'!D147</f>
        <v>1000</v>
      </c>
      <c r="R147">
        <f>'# Out FF'!E147</f>
        <v>1000</v>
      </c>
      <c r="S147">
        <f>'# Out FF'!F147</f>
        <v>1000</v>
      </c>
      <c r="T147">
        <f>'# Out FF'!G147</f>
        <v>1000</v>
      </c>
      <c r="U147">
        <f>'# Out FF'!H147</f>
        <v>1000</v>
      </c>
      <c r="V147">
        <f>'# Out FF'!I147</f>
        <v>1000</v>
      </c>
      <c r="W147">
        <f>'# Out FF'!J147</f>
        <v>786</v>
      </c>
      <c r="X147">
        <f>'# Out FF'!K147</f>
        <v>1000</v>
      </c>
      <c r="Y147">
        <f>'# Out FF'!L147</f>
        <v>978.6</v>
      </c>
      <c r="AB147">
        <v>3</v>
      </c>
      <c r="AC147">
        <v>770</v>
      </c>
      <c r="AF147" s="2">
        <f t="shared" si="8"/>
        <v>3.0000000000000001E-3</v>
      </c>
      <c r="AG147">
        <f t="shared" si="9"/>
        <v>0.77</v>
      </c>
      <c r="AH147">
        <f t="shared" si="10"/>
        <v>0.78962995748025411</v>
      </c>
      <c r="AI147">
        <f t="shared" si="11"/>
        <v>-1.962995748025409E-2</v>
      </c>
    </row>
    <row r="148" spans="1:35" x14ac:dyDescent="0.35">
      <c r="A148">
        <f>'DNC4 FF'!A148</f>
        <v>145</v>
      </c>
      <c r="B148" t="e">
        <f>'DNC4 FF'!B148</f>
        <v>#REF!</v>
      </c>
      <c r="C148" t="e">
        <f>'DNC4 FF'!C148</f>
        <v>#REF!</v>
      </c>
      <c r="D148" t="e">
        <f>'DNC4 FF'!D148</f>
        <v>#REF!</v>
      </c>
      <c r="E148" t="e">
        <f>'DNC4 FF'!E148</f>
        <v>#REF!</v>
      </c>
      <c r="F148" t="e">
        <f>'DNC4 FF'!F148</f>
        <v>#REF!</v>
      </c>
      <c r="G148" t="e">
        <f>'DNC4 FF'!G148</f>
        <v>#REF!</v>
      </c>
      <c r="H148" t="e">
        <f>'DNC4 FF'!H148</f>
        <v>#REF!</v>
      </c>
      <c r="I148" t="e">
        <f>'DNC4 FF'!I148</f>
        <v>#REF!</v>
      </c>
      <c r="J148">
        <f>'DNC4 FF'!J148</f>
        <v>3</v>
      </c>
      <c r="K148" t="e">
        <f>'DNC4 FF'!K148</f>
        <v>#REF!</v>
      </c>
      <c r="L148" t="e">
        <f>'DNC4 FF'!L148</f>
        <v>#REF!</v>
      </c>
      <c r="N148">
        <f>'# Out FF'!A148</f>
        <v>145</v>
      </c>
      <c r="O148">
        <f>'# Out FF'!B148</f>
        <v>1000</v>
      </c>
      <c r="P148">
        <f>'# Out FF'!C148</f>
        <v>1000</v>
      </c>
      <c r="Q148">
        <f>'# Out FF'!D148</f>
        <v>1000</v>
      </c>
      <c r="R148">
        <f>'# Out FF'!E148</f>
        <v>1000</v>
      </c>
      <c r="S148">
        <f>'# Out FF'!F148</f>
        <v>1000</v>
      </c>
      <c r="T148">
        <f>'# Out FF'!G148</f>
        <v>1000</v>
      </c>
      <c r="U148">
        <f>'# Out FF'!H148</f>
        <v>1000</v>
      </c>
      <c r="V148">
        <f>'# Out FF'!I148</f>
        <v>1000</v>
      </c>
      <c r="W148">
        <f>'# Out FF'!J148</f>
        <v>793</v>
      </c>
      <c r="X148">
        <f>'# Out FF'!K148</f>
        <v>1000</v>
      </c>
      <c r="Y148">
        <f>'# Out FF'!L148</f>
        <v>979.3</v>
      </c>
      <c r="AB148">
        <v>3</v>
      </c>
      <c r="AC148">
        <v>775</v>
      </c>
      <c r="AF148" s="2">
        <f t="shared" si="8"/>
        <v>3.0000000000000001E-3</v>
      </c>
      <c r="AG148">
        <f t="shared" si="9"/>
        <v>0.77500000000000002</v>
      </c>
      <c r="AH148">
        <f t="shared" si="10"/>
        <v>0.78962995748025411</v>
      </c>
      <c r="AI148">
        <f t="shared" si="11"/>
        <v>-1.4629957480254085E-2</v>
      </c>
    </row>
    <row r="149" spans="1:35" x14ac:dyDescent="0.35">
      <c r="A149">
        <f>'DNC4 FF'!A149</f>
        <v>146</v>
      </c>
      <c r="B149" t="e">
        <f>'DNC4 FF'!B149</f>
        <v>#REF!</v>
      </c>
      <c r="C149" t="e">
        <f>'DNC4 FF'!C149</f>
        <v>#REF!</v>
      </c>
      <c r="D149" t="e">
        <f>'DNC4 FF'!D149</f>
        <v>#REF!</v>
      </c>
      <c r="E149" t="e">
        <f>'DNC4 FF'!E149</f>
        <v>#REF!</v>
      </c>
      <c r="F149" t="e">
        <f>'DNC4 FF'!F149</f>
        <v>#REF!</v>
      </c>
      <c r="G149" t="e">
        <f>'DNC4 FF'!G149</f>
        <v>#REF!</v>
      </c>
      <c r="H149" t="e">
        <f>'DNC4 FF'!H149</f>
        <v>#REF!</v>
      </c>
      <c r="I149" t="e">
        <f>'DNC4 FF'!I149</f>
        <v>#REF!</v>
      </c>
      <c r="J149">
        <f>'DNC4 FF'!J149</f>
        <v>5</v>
      </c>
      <c r="K149" t="e">
        <f>'DNC4 FF'!K149</f>
        <v>#REF!</v>
      </c>
      <c r="L149" t="e">
        <f>'DNC4 FF'!L149</f>
        <v>#REF!</v>
      </c>
      <c r="N149">
        <f>'# Out FF'!A149</f>
        <v>146</v>
      </c>
      <c r="O149">
        <f>'# Out FF'!B149</f>
        <v>1000</v>
      </c>
      <c r="P149">
        <f>'# Out FF'!C149</f>
        <v>1000</v>
      </c>
      <c r="Q149">
        <f>'# Out FF'!D149</f>
        <v>1000</v>
      </c>
      <c r="R149">
        <f>'# Out FF'!E149</f>
        <v>1000</v>
      </c>
      <c r="S149">
        <f>'# Out FF'!F149</f>
        <v>1000</v>
      </c>
      <c r="T149">
        <f>'# Out FF'!G149</f>
        <v>1000</v>
      </c>
      <c r="U149">
        <f>'# Out FF'!H149</f>
        <v>1000</v>
      </c>
      <c r="V149">
        <f>'# Out FF'!I149</f>
        <v>1000</v>
      </c>
      <c r="W149">
        <f>'# Out FF'!J149</f>
        <v>772</v>
      </c>
      <c r="X149">
        <f>'# Out FF'!K149</f>
        <v>1000</v>
      </c>
      <c r="Y149">
        <f>'# Out FF'!L149</f>
        <v>977.2</v>
      </c>
      <c r="AB149">
        <v>1</v>
      </c>
      <c r="AC149">
        <v>805</v>
      </c>
      <c r="AF149" s="2">
        <f t="shared" si="8"/>
        <v>1E-3</v>
      </c>
      <c r="AG149">
        <f t="shared" si="9"/>
        <v>0.80500000000000005</v>
      </c>
      <c r="AH149">
        <f t="shared" si="10"/>
        <v>0.85584084273568095</v>
      </c>
      <c r="AI149">
        <f t="shared" si="11"/>
        <v>-5.0840842735680902E-2</v>
      </c>
    </row>
    <row r="150" spans="1:35" x14ac:dyDescent="0.35">
      <c r="A150">
        <f>'DNC4 FF'!A150</f>
        <v>147</v>
      </c>
      <c r="B150" t="e">
        <f>'DNC4 FF'!B150</f>
        <v>#REF!</v>
      </c>
      <c r="C150" t="e">
        <f>'DNC4 FF'!C150</f>
        <v>#REF!</v>
      </c>
      <c r="D150" t="e">
        <f>'DNC4 FF'!D150</f>
        <v>#REF!</v>
      </c>
      <c r="E150" t="e">
        <f>'DNC4 FF'!E150</f>
        <v>#REF!</v>
      </c>
      <c r="F150" t="e">
        <f>'DNC4 FF'!F150</f>
        <v>#REF!</v>
      </c>
      <c r="G150" t="e">
        <f>'DNC4 FF'!G150</f>
        <v>#REF!</v>
      </c>
      <c r="H150" t="e">
        <f>'DNC4 FF'!H150</f>
        <v>#REF!</v>
      </c>
      <c r="I150" t="e">
        <f>'DNC4 FF'!I150</f>
        <v>#REF!</v>
      </c>
      <c r="J150">
        <f>'DNC4 FF'!J150</f>
        <v>4</v>
      </c>
      <c r="K150" t="e">
        <f>'DNC4 FF'!K150</f>
        <v>#REF!</v>
      </c>
      <c r="L150" t="e">
        <f>'DNC4 FF'!L150</f>
        <v>#REF!</v>
      </c>
      <c r="N150">
        <f>'# Out FF'!A150</f>
        <v>147</v>
      </c>
      <c r="O150">
        <f>'# Out FF'!B150</f>
        <v>1000</v>
      </c>
      <c r="P150">
        <f>'# Out FF'!C150</f>
        <v>1000</v>
      </c>
      <c r="Q150">
        <f>'# Out FF'!D150</f>
        <v>1000</v>
      </c>
      <c r="R150">
        <f>'# Out FF'!E150</f>
        <v>1000</v>
      </c>
      <c r="S150">
        <f>'# Out FF'!F150</f>
        <v>1000</v>
      </c>
      <c r="T150">
        <f>'# Out FF'!G150</f>
        <v>1000</v>
      </c>
      <c r="U150">
        <f>'# Out FF'!H150</f>
        <v>1000</v>
      </c>
      <c r="V150">
        <f>'# Out FF'!I150</f>
        <v>1000</v>
      </c>
      <c r="W150">
        <f>'# Out FF'!J150</f>
        <v>570</v>
      </c>
      <c r="X150">
        <f>'# Out FF'!K150</f>
        <v>1000</v>
      </c>
      <c r="Y150">
        <f>'# Out FF'!L150</f>
        <v>957</v>
      </c>
      <c r="AB150">
        <v>1</v>
      </c>
      <c r="AC150">
        <v>803</v>
      </c>
      <c r="AF150" s="2">
        <f t="shared" si="8"/>
        <v>1E-3</v>
      </c>
      <c r="AG150">
        <f t="shared" si="9"/>
        <v>0.80300000000000005</v>
      </c>
      <c r="AH150">
        <f t="shared" si="10"/>
        <v>0.85584084273568095</v>
      </c>
      <c r="AI150">
        <f t="shared" si="11"/>
        <v>-5.2840842735680904E-2</v>
      </c>
    </row>
    <row r="151" spans="1:35" x14ac:dyDescent="0.35">
      <c r="A151">
        <f>'DNC4 FF'!A151</f>
        <v>148</v>
      </c>
      <c r="B151" t="e">
        <f>'DNC4 FF'!B151</f>
        <v>#REF!</v>
      </c>
      <c r="C151" t="e">
        <f>'DNC4 FF'!C151</f>
        <v>#REF!</v>
      </c>
      <c r="D151" t="e">
        <f>'DNC4 FF'!D151</f>
        <v>#REF!</v>
      </c>
      <c r="E151" t="e">
        <f>'DNC4 FF'!E151</f>
        <v>#REF!</v>
      </c>
      <c r="F151" t="e">
        <f>'DNC4 FF'!F151</f>
        <v>#REF!</v>
      </c>
      <c r="G151" t="e">
        <f>'DNC4 FF'!G151</f>
        <v>#REF!</v>
      </c>
      <c r="H151" t="e">
        <f>'DNC4 FF'!H151</f>
        <v>#REF!</v>
      </c>
      <c r="I151" t="e">
        <f>'DNC4 FF'!I151</f>
        <v>#REF!</v>
      </c>
      <c r="J151">
        <f>'DNC4 FF'!J151</f>
        <v>4</v>
      </c>
      <c r="K151" t="e">
        <f>'DNC4 FF'!K151</f>
        <v>#REF!</v>
      </c>
      <c r="L151" t="e">
        <f>'DNC4 FF'!L151</f>
        <v>#REF!</v>
      </c>
      <c r="N151">
        <f>'# Out FF'!A151</f>
        <v>148</v>
      </c>
      <c r="O151">
        <f>'# Out FF'!B151</f>
        <v>1000</v>
      </c>
      <c r="P151">
        <f>'# Out FF'!C151</f>
        <v>1000</v>
      </c>
      <c r="Q151">
        <f>'# Out FF'!D151</f>
        <v>1000</v>
      </c>
      <c r="R151">
        <f>'# Out FF'!E151</f>
        <v>1000</v>
      </c>
      <c r="S151">
        <f>'# Out FF'!F151</f>
        <v>1000</v>
      </c>
      <c r="T151">
        <f>'# Out FF'!G151</f>
        <v>1000</v>
      </c>
      <c r="U151">
        <f>'# Out FF'!H151</f>
        <v>1000</v>
      </c>
      <c r="V151">
        <f>'# Out FF'!I151</f>
        <v>1000</v>
      </c>
      <c r="W151">
        <f>'# Out FF'!J151</f>
        <v>805</v>
      </c>
      <c r="X151">
        <f>'# Out FF'!K151</f>
        <v>1000</v>
      </c>
      <c r="Y151">
        <f>'# Out FF'!L151</f>
        <v>980.5</v>
      </c>
      <c r="AB151">
        <v>1</v>
      </c>
      <c r="AC151">
        <v>809</v>
      </c>
      <c r="AF151" s="2">
        <f t="shared" si="8"/>
        <v>1E-3</v>
      </c>
      <c r="AG151">
        <f t="shared" si="9"/>
        <v>0.80900000000000005</v>
      </c>
      <c r="AH151">
        <f t="shared" si="10"/>
        <v>0.85584084273568095</v>
      </c>
      <c r="AI151">
        <f t="shared" si="11"/>
        <v>-4.6840842735680899E-2</v>
      </c>
    </row>
    <row r="152" spans="1:35" x14ac:dyDescent="0.35">
      <c r="A152">
        <f>'DNC4 FF'!A152</f>
        <v>149</v>
      </c>
      <c r="B152" t="e">
        <f>'DNC4 FF'!B152</f>
        <v>#REF!</v>
      </c>
      <c r="C152" t="e">
        <f>'DNC4 FF'!C152</f>
        <v>#REF!</v>
      </c>
      <c r="D152" t="e">
        <f>'DNC4 FF'!D152</f>
        <v>#REF!</v>
      </c>
      <c r="E152" t="e">
        <f>'DNC4 FF'!E152</f>
        <v>#REF!</v>
      </c>
      <c r="F152" t="e">
        <f>'DNC4 FF'!F152</f>
        <v>#REF!</v>
      </c>
      <c r="G152" t="e">
        <f>'DNC4 FF'!G152</f>
        <v>#REF!</v>
      </c>
      <c r="H152" t="e">
        <f>'DNC4 FF'!H152</f>
        <v>#REF!</v>
      </c>
      <c r="I152" t="e">
        <f>'DNC4 FF'!I152</f>
        <v>#REF!</v>
      </c>
      <c r="J152">
        <f>'DNC4 FF'!J152</f>
        <v>5</v>
      </c>
      <c r="K152" t="e">
        <f>'DNC4 FF'!K152</f>
        <v>#REF!</v>
      </c>
      <c r="L152" t="e">
        <f>'DNC4 FF'!L152</f>
        <v>#REF!</v>
      </c>
      <c r="N152">
        <f>'# Out FF'!A152</f>
        <v>149</v>
      </c>
      <c r="O152">
        <f>'# Out FF'!B152</f>
        <v>1000</v>
      </c>
      <c r="P152">
        <f>'# Out FF'!C152</f>
        <v>1000</v>
      </c>
      <c r="Q152">
        <f>'# Out FF'!D152</f>
        <v>1000</v>
      </c>
      <c r="R152">
        <f>'# Out FF'!E152</f>
        <v>1000</v>
      </c>
      <c r="S152">
        <f>'# Out FF'!F152</f>
        <v>1000</v>
      </c>
      <c r="T152">
        <f>'# Out FF'!G152</f>
        <v>1000</v>
      </c>
      <c r="U152">
        <f>'# Out FF'!H152</f>
        <v>1000</v>
      </c>
      <c r="V152">
        <f>'# Out FF'!I152</f>
        <v>1000</v>
      </c>
      <c r="W152">
        <f>'# Out FF'!J152</f>
        <v>794</v>
      </c>
      <c r="X152">
        <f>'# Out FF'!K152</f>
        <v>1000</v>
      </c>
      <c r="Y152">
        <f>'# Out FF'!L152</f>
        <v>979.4</v>
      </c>
      <c r="AB152">
        <v>0</v>
      </c>
      <c r="AC152">
        <v>996</v>
      </c>
      <c r="AF152" s="2">
        <f t="shared" si="8"/>
        <v>0</v>
      </c>
      <c r="AG152">
        <f t="shared" si="9"/>
        <v>0.996</v>
      </c>
      <c r="AH152">
        <f t="shared" si="10"/>
        <v>0.89100000000000001</v>
      </c>
      <c r="AI152">
        <f t="shared" si="11"/>
        <v>0.10499999999999998</v>
      </c>
    </row>
    <row r="153" spans="1:35" x14ac:dyDescent="0.35">
      <c r="A153">
        <f>'DNC4 FF'!A153</f>
        <v>150</v>
      </c>
      <c r="B153" t="e">
        <f>'DNC4 FF'!B153</f>
        <v>#REF!</v>
      </c>
      <c r="C153" t="e">
        <f>'DNC4 FF'!C153</f>
        <v>#REF!</v>
      </c>
      <c r="D153" t="e">
        <f>'DNC4 FF'!D153</f>
        <v>#REF!</v>
      </c>
      <c r="E153" t="e">
        <f>'DNC4 FF'!E153</f>
        <v>#REF!</v>
      </c>
      <c r="F153" t="e">
        <f>'DNC4 FF'!F153</f>
        <v>#REF!</v>
      </c>
      <c r="G153" t="e">
        <f>'DNC4 FF'!G153</f>
        <v>#REF!</v>
      </c>
      <c r="H153" t="e">
        <f>'DNC4 FF'!H153</f>
        <v>#REF!</v>
      </c>
      <c r="I153" t="e">
        <f>'DNC4 FF'!I153</f>
        <v>#REF!</v>
      </c>
      <c r="J153">
        <f>'DNC4 FF'!J153</f>
        <v>3</v>
      </c>
      <c r="K153" t="e">
        <f>'DNC4 FF'!K153</f>
        <v>#REF!</v>
      </c>
      <c r="L153" t="e">
        <f>'DNC4 FF'!L153</f>
        <v>#REF!</v>
      </c>
      <c r="N153">
        <f>'# Out FF'!A153</f>
        <v>150</v>
      </c>
      <c r="O153">
        <f>'# Out FF'!B153</f>
        <v>1000</v>
      </c>
      <c r="P153">
        <f>'# Out FF'!C153</f>
        <v>1000</v>
      </c>
      <c r="Q153">
        <f>'# Out FF'!D153</f>
        <v>1000</v>
      </c>
      <c r="R153">
        <f>'# Out FF'!E153</f>
        <v>1000</v>
      </c>
      <c r="S153">
        <f>'# Out FF'!F153</f>
        <v>1000</v>
      </c>
      <c r="T153">
        <f>'# Out FF'!G153</f>
        <v>1000</v>
      </c>
      <c r="U153">
        <f>'# Out FF'!H153</f>
        <v>1000</v>
      </c>
      <c r="V153">
        <f>'# Out FF'!I153</f>
        <v>1000</v>
      </c>
      <c r="W153">
        <f>'# Out FF'!J153</f>
        <v>565</v>
      </c>
      <c r="X153">
        <f>'# Out FF'!K153</f>
        <v>1000</v>
      </c>
      <c r="Y153">
        <f>'# Out FF'!L153</f>
        <v>956.5</v>
      </c>
      <c r="AB153">
        <v>0</v>
      </c>
      <c r="AC153">
        <v>996</v>
      </c>
      <c r="AF153" s="2">
        <f t="shared" si="8"/>
        <v>0</v>
      </c>
      <c r="AG153">
        <f t="shared" si="9"/>
        <v>0.996</v>
      </c>
      <c r="AH153">
        <f t="shared" si="10"/>
        <v>0.89100000000000001</v>
      </c>
      <c r="AI153">
        <f t="shared" si="11"/>
        <v>0.10499999999999998</v>
      </c>
    </row>
    <row r="154" spans="1:35" x14ac:dyDescent="0.35">
      <c r="A154">
        <f>'DNC4 FF'!A154</f>
        <v>151</v>
      </c>
      <c r="B154" t="e">
        <f>'DNC4 FF'!B154</f>
        <v>#REF!</v>
      </c>
      <c r="C154" t="e">
        <f>'DNC4 FF'!C154</f>
        <v>#REF!</v>
      </c>
      <c r="D154" t="e">
        <f>'DNC4 FF'!D154</f>
        <v>#REF!</v>
      </c>
      <c r="E154" t="e">
        <f>'DNC4 FF'!E154</f>
        <v>#REF!</v>
      </c>
      <c r="F154" t="e">
        <f>'DNC4 FF'!F154</f>
        <v>#REF!</v>
      </c>
      <c r="G154" t="e">
        <f>'DNC4 FF'!G154</f>
        <v>#REF!</v>
      </c>
      <c r="H154" t="e">
        <f>'DNC4 FF'!H154</f>
        <v>#REF!</v>
      </c>
      <c r="I154" t="e">
        <f>'DNC4 FF'!I154</f>
        <v>#REF!</v>
      </c>
      <c r="J154">
        <f>'DNC4 FF'!J154</f>
        <v>4</v>
      </c>
      <c r="K154" t="e">
        <f>'DNC4 FF'!K154</f>
        <v>#REF!</v>
      </c>
      <c r="L154" t="e">
        <f>'DNC4 FF'!L154</f>
        <v>#REF!</v>
      </c>
      <c r="N154">
        <f>'# Out FF'!A154</f>
        <v>151</v>
      </c>
      <c r="O154">
        <f>'# Out FF'!B154</f>
        <v>1000</v>
      </c>
      <c r="P154">
        <f>'# Out FF'!C154</f>
        <v>1000</v>
      </c>
      <c r="Q154">
        <f>'# Out FF'!D154</f>
        <v>1000</v>
      </c>
      <c r="R154">
        <f>'# Out FF'!E154</f>
        <v>1000</v>
      </c>
      <c r="S154">
        <f>'# Out FF'!F154</f>
        <v>1000</v>
      </c>
      <c r="T154">
        <f>'# Out FF'!G154</f>
        <v>1000</v>
      </c>
      <c r="U154">
        <f>'# Out FF'!H154</f>
        <v>1000</v>
      </c>
      <c r="V154">
        <f>'# Out FF'!I154</f>
        <v>1000</v>
      </c>
      <c r="W154">
        <f>'# Out FF'!J154</f>
        <v>762</v>
      </c>
      <c r="X154">
        <f>'# Out FF'!K154</f>
        <v>1000</v>
      </c>
      <c r="Y154">
        <f>'# Out FF'!L154</f>
        <v>976.2</v>
      </c>
      <c r="AB154" cm="1">
        <f t="array" ref="AB154:AB206">D3:D55</f>
        <v>0</v>
      </c>
      <c r="AC154" cm="1">
        <f t="array" ref="AC154:AC206">Q4:Q56</f>
        <v>995</v>
      </c>
      <c r="AF154" s="2">
        <f t="shared" si="8"/>
        <v>0</v>
      </c>
      <c r="AG154">
        <f t="shared" si="9"/>
        <v>0.995</v>
      </c>
      <c r="AH154">
        <f t="shared" si="10"/>
        <v>0.89100000000000001</v>
      </c>
      <c r="AI154">
        <f t="shared" si="11"/>
        <v>0.10399999999999998</v>
      </c>
    </row>
    <row r="155" spans="1:35" x14ac:dyDescent="0.35">
      <c r="A155">
        <f>'DNC4 FF'!A155</f>
        <v>152</v>
      </c>
      <c r="B155" t="e">
        <f>'DNC4 FF'!B155</f>
        <v>#REF!</v>
      </c>
      <c r="C155" t="e">
        <f>'DNC4 FF'!C155</f>
        <v>#REF!</v>
      </c>
      <c r="D155" t="e">
        <f>'DNC4 FF'!D155</f>
        <v>#REF!</v>
      </c>
      <c r="E155" t="e">
        <f>'DNC4 FF'!E155</f>
        <v>#REF!</v>
      </c>
      <c r="F155" t="e">
        <f>'DNC4 FF'!F155</f>
        <v>#REF!</v>
      </c>
      <c r="G155" t="e">
        <f>'DNC4 FF'!G155</f>
        <v>#REF!</v>
      </c>
      <c r="H155" t="e">
        <f>'DNC4 FF'!H155</f>
        <v>#REF!</v>
      </c>
      <c r="I155" t="e">
        <f>'DNC4 FF'!I155</f>
        <v>#REF!</v>
      </c>
      <c r="J155">
        <f>'DNC4 FF'!J155</f>
        <v>0</v>
      </c>
      <c r="K155" t="e">
        <f>'DNC4 FF'!K155</f>
        <v>#REF!</v>
      </c>
      <c r="L155" t="e">
        <f>'DNC4 FF'!L155</f>
        <v>#REF!</v>
      </c>
      <c r="N155">
        <f>'# Out FF'!A155</f>
        <v>152</v>
      </c>
      <c r="O155">
        <f>'# Out FF'!B155</f>
        <v>1000</v>
      </c>
      <c r="P155">
        <f>'# Out FF'!C155</f>
        <v>1000</v>
      </c>
      <c r="Q155">
        <f>'# Out FF'!D155</f>
        <v>1000</v>
      </c>
      <c r="R155">
        <f>'# Out FF'!E155</f>
        <v>1000</v>
      </c>
      <c r="S155">
        <f>'# Out FF'!F155</f>
        <v>1000</v>
      </c>
      <c r="T155">
        <f>'# Out FF'!G155</f>
        <v>1000</v>
      </c>
      <c r="U155">
        <f>'# Out FF'!H155</f>
        <v>1000</v>
      </c>
      <c r="V155">
        <f>'# Out FF'!I155</f>
        <v>1000</v>
      </c>
      <c r="W155">
        <f>'# Out FF'!J155</f>
        <v>806</v>
      </c>
      <c r="X155">
        <f>'# Out FF'!K155</f>
        <v>1000</v>
      </c>
      <c r="Y155">
        <f>'# Out FF'!L155</f>
        <v>980.6</v>
      </c>
      <c r="AB155">
        <v>0</v>
      </c>
      <c r="AC155">
        <v>994</v>
      </c>
      <c r="AF155" s="2">
        <f t="shared" si="8"/>
        <v>0</v>
      </c>
      <c r="AG155">
        <f t="shared" si="9"/>
        <v>0.99399999999999999</v>
      </c>
      <c r="AH155">
        <f t="shared" si="10"/>
        <v>0.89100000000000001</v>
      </c>
      <c r="AI155">
        <f t="shared" si="11"/>
        <v>0.10299999999999998</v>
      </c>
    </row>
    <row r="156" spans="1:35" x14ac:dyDescent="0.35">
      <c r="A156">
        <f>'DNC4 FF'!A156</f>
        <v>153</v>
      </c>
      <c r="B156" t="e">
        <f>'DNC4 FF'!B156</f>
        <v>#REF!</v>
      </c>
      <c r="C156" t="e">
        <f>'DNC4 FF'!C156</f>
        <v>#REF!</v>
      </c>
      <c r="D156" t="e">
        <f>'DNC4 FF'!D156</f>
        <v>#REF!</v>
      </c>
      <c r="E156" t="e">
        <f>'DNC4 FF'!E156</f>
        <v>#REF!</v>
      </c>
      <c r="F156" t="e">
        <f>'DNC4 FF'!F156</f>
        <v>#REF!</v>
      </c>
      <c r="G156" t="e">
        <f>'DNC4 FF'!G156</f>
        <v>#REF!</v>
      </c>
      <c r="H156" t="e">
        <f>'DNC4 FF'!H156</f>
        <v>#REF!</v>
      </c>
      <c r="I156" t="e">
        <f>'DNC4 FF'!I156</f>
        <v>#REF!</v>
      </c>
      <c r="J156">
        <f>'DNC4 FF'!J156</f>
        <v>2</v>
      </c>
      <c r="K156" t="e">
        <f>'DNC4 FF'!K156</f>
        <v>#REF!</v>
      </c>
      <c r="L156" t="e">
        <f>'DNC4 FF'!L156</f>
        <v>#REF!</v>
      </c>
      <c r="N156">
        <f>'# Out FF'!A156</f>
        <v>153</v>
      </c>
      <c r="O156">
        <f>'# Out FF'!B156</f>
        <v>1000</v>
      </c>
      <c r="P156">
        <f>'# Out FF'!C156</f>
        <v>1000</v>
      </c>
      <c r="Q156">
        <f>'# Out FF'!D156</f>
        <v>1000</v>
      </c>
      <c r="R156">
        <f>'# Out FF'!E156</f>
        <v>1000</v>
      </c>
      <c r="S156">
        <f>'# Out FF'!F156</f>
        <v>1000</v>
      </c>
      <c r="T156">
        <f>'# Out FF'!G156</f>
        <v>1000</v>
      </c>
      <c r="U156">
        <f>'# Out FF'!H156</f>
        <v>1000</v>
      </c>
      <c r="V156">
        <f>'# Out FF'!I156</f>
        <v>1000</v>
      </c>
      <c r="W156">
        <f>'# Out FF'!J156</f>
        <v>989</v>
      </c>
      <c r="X156">
        <f>'# Out FF'!K156</f>
        <v>1000</v>
      </c>
      <c r="Y156">
        <f>'# Out FF'!L156</f>
        <v>998.9</v>
      </c>
      <c r="AB156">
        <v>0</v>
      </c>
      <c r="AC156">
        <v>994</v>
      </c>
      <c r="AF156" s="2">
        <f t="shared" si="8"/>
        <v>0</v>
      </c>
      <c r="AG156">
        <f t="shared" si="9"/>
        <v>0.99399999999999999</v>
      </c>
      <c r="AH156">
        <f t="shared" si="10"/>
        <v>0.89100000000000001</v>
      </c>
      <c r="AI156">
        <f t="shared" si="11"/>
        <v>0.10299999999999998</v>
      </c>
    </row>
    <row r="157" spans="1:35" x14ac:dyDescent="0.35">
      <c r="A157">
        <f>'DNC4 FF'!A157</f>
        <v>154</v>
      </c>
      <c r="B157" t="e">
        <f>'DNC4 FF'!B157</f>
        <v>#REF!</v>
      </c>
      <c r="C157" t="e">
        <f>'DNC4 FF'!C157</f>
        <v>#REF!</v>
      </c>
      <c r="D157" t="e">
        <f>'DNC4 FF'!D157</f>
        <v>#REF!</v>
      </c>
      <c r="E157" t="e">
        <f>'DNC4 FF'!E157</f>
        <v>#REF!</v>
      </c>
      <c r="F157" t="e">
        <f>'DNC4 FF'!F157</f>
        <v>#REF!</v>
      </c>
      <c r="G157" t="e">
        <f>'DNC4 FF'!G157</f>
        <v>#REF!</v>
      </c>
      <c r="H157" t="e">
        <f>'DNC4 FF'!H157</f>
        <v>#REF!</v>
      </c>
      <c r="I157" t="e">
        <f>'DNC4 FF'!I157</f>
        <v>#REF!</v>
      </c>
      <c r="J157">
        <f>'DNC4 FF'!J157</f>
        <v>0</v>
      </c>
      <c r="K157" t="e">
        <f>'DNC4 FF'!K157</f>
        <v>#REF!</v>
      </c>
      <c r="L157" t="e">
        <f>'DNC4 FF'!L157</f>
        <v>#REF!</v>
      </c>
      <c r="N157">
        <f>'# Out FF'!A157</f>
        <v>154</v>
      </c>
      <c r="O157">
        <f>'# Out FF'!B157</f>
        <v>1000</v>
      </c>
      <c r="P157">
        <f>'# Out FF'!C157</f>
        <v>1000</v>
      </c>
      <c r="Q157">
        <f>'# Out FF'!D157</f>
        <v>1000</v>
      </c>
      <c r="R157">
        <f>'# Out FF'!E157</f>
        <v>1000</v>
      </c>
      <c r="S157">
        <f>'# Out FF'!F157</f>
        <v>1000</v>
      </c>
      <c r="T157">
        <f>'# Out FF'!G157</f>
        <v>1000</v>
      </c>
      <c r="U157">
        <f>'# Out FF'!H157</f>
        <v>1000</v>
      </c>
      <c r="V157">
        <f>'# Out FF'!I157</f>
        <v>1000</v>
      </c>
      <c r="W157">
        <f>'# Out FF'!J157</f>
        <v>801</v>
      </c>
      <c r="X157">
        <f>'# Out FF'!K157</f>
        <v>1000</v>
      </c>
      <c r="Y157">
        <f>'# Out FF'!L157</f>
        <v>980.1</v>
      </c>
      <c r="AB157">
        <v>2</v>
      </c>
      <c r="AC157">
        <v>775</v>
      </c>
      <c r="AF157" s="2">
        <f t="shared" si="8"/>
        <v>2E-3</v>
      </c>
      <c r="AG157">
        <f t="shared" si="9"/>
        <v>0.77500000000000002</v>
      </c>
      <c r="AH157">
        <f t="shared" si="10"/>
        <v>0.82206907754716119</v>
      </c>
      <c r="AI157">
        <f t="shared" si="11"/>
        <v>-4.7069077547161164E-2</v>
      </c>
    </row>
    <row r="158" spans="1:35" x14ac:dyDescent="0.35">
      <c r="A158">
        <f>'DNC4 FF'!A158</f>
        <v>155</v>
      </c>
      <c r="B158" t="e">
        <f>'DNC4 FF'!B158</f>
        <v>#REF!</v>
      </c>
      <c r="C158" t="e">
        <f>'DNC4 FF'!C158</f>
        <v>#REF!</v>
      </c>
      <c r="D158" t="e">
        <f>'DNC4 FF'!D158</f>
        <v>#REF!</v>
      </c>
      <c r="E158" t="e">
        <f>'DNC4 FF'!E158</f>
        <v>#REF!</v>
      </c>
      <c r="F158" t="e">
        <f>'DNC4 FF'!F158</f>
        <v>#REF!</v>
      </c>
      <c r="G158" t="e">
        <f>'DNC4 FF'!G158</f>
        <v>#REF!</v>
      </c>
      <c r="H158" t="e">
        <f>'DNC4 FF'!H158</f>
        <v>#REF!</v>
      </c>
      <c r="I158" t="e">
        <f>'DNC4 FF'!I158</f>
        <v>#REF!</v>
      </c>
      <c r="J158">
        <f>'DNC4 FF'!J158</f>
        <v>1</v>
      </c>
      <c r="K158" t="e">
        <f>'DNC4 FF'!K158</f>
        <v>#REF!</v>
      </c>
      <c r="L158" t="e">
        <f>'DNC4 FF'!L158</f>
        <v>#REF!</v>
      </c>
      <c r="N158">
        <f>'# Out FF'!A158</f>
        <v>155</v>
      </c>
      <c r="O158">
        <f>'# Out FF'!B158</f>
        <v>1000</v>
      </c>
      <c r="P158">
        <f>'# Out FF'!C158</f>
        <v>1000</v>
      </c>
      <c r="Q158">
        <f>'# Out FF'!D158</f>
        <v>1000</v>
      </c>
      <c r="R158">
        <f>'# Out FF'!E158</f>
        <v>1000</v>
      </c>
      <c r="S158">
        <f>'# Out FF'!F158</f>
        <v>1000</v>
      </c>
      <c r="T158">
        <f>'# Out FF'!G158</f>
        <v>1000</v>
      </c>
      <c r="U158">
        <f>'# Out FF'!H158</f>
        <v>1000</v>
      </c>
      <c r="V158">
        <f>'# Out FF'!I158</f>
        <v>1000</v>
      </c>
      <c r="W158">
        <f>'# Out FF'!J158</f>
        <v>995</v>
      </c>
      <c r="X158">
        <f>'# Out FF'!K158</f>
        <v>1000</v>
      </c>
      <c r="Y158">
        <f>'# Out FF'!L158</f>
        <v>999.5</v>
      </c>
      <c r="AB158">
        <v>4</v>
      </c>
      <c r="AC158">
        <v>786</v>
      </c>
      <c r="AF158" s="2">
        <f t="shared" si="8"/>
        <v>4.0000000000000001E-3</v>
      </c>
      <c r="AG158">
        <f t="shared" si="9"/>
        <v>0.78600000000000003</v>
      </c>
      <c r="AH158">
        <f t="shared" si="10"/>
        <v>0.75847089591385031</v>
      </c>
      <c r="AI158">
        <f t="shared" si="11"/>
        <v>2.7529104086149725E-2</v>
      </c>
    </row>
    <row r="159" spans="1:35" x14ac:dyDescent="0.35">
      <c r="A159">
        <f>'DNC4 FF'!A159</f>
        <v>156</v>
      </c>
      <c r="B159" t="e">
        <f>'DNC4 FF'!B159</f>
        <v>#REF!</v>
      </c>
      <c r="C159" t="e">
        <f>'DNC4 FF'!C159</f>
        <v>#REF!</v>
      </c>
      <c r="D159" t="e">
        <f>'DNC4 FF'!D159</f>
        <v>#REF!</v>
      </c>
      <c r="E159" t="e">
        <f>'DNC4 FF'!E159</f>
        <v>#REF!</v>
      </c>
      <c r="F159" t="e">
        <f>'DNC4 FF'!F159</f>
        <v>#REF!</v>
      </c>
      <c r="G159" t="e">
        <f>'DNC4 FF'!G159</f>
        <v>#REF!</v>
      </c>
      <c r="H159" t="e">
        <f>'DNC4 FF'!H159</f>
        <v>#REF!</v>
      </c>
      <c r="I159" t="e">
        <f>'DNC4 FF'!I159</f>
        <v>#REF!</v>
      </c>
      <c r="J159">
        <f>'DNC4 FF'!J159</f>
        <v>1</v>
      </c>
      <c r="K159" t="e">
        <f>'DNC4 FF'!K159</f>
        <v>#REF!</v>
      </c>
      <c r="L159" t="e">
        <f>'DNC4 FF'!L159</f>
        <v>#REF!</v>
      </c>
      <c r="N159">
        <f>'# Out FF'!A159</f>
        <v>156</v>
      </c>
      <c r="O159">
        <f>'# Out FF'!B159</f>
        <v>1000</v>
      </c>
      <c r="P159">
        <f>'# Out FF'!C159</f>
        <v>1000</v>
      </c>
      <c r="Q159">
        <f>'# Out FF'!D159</f>
        <v>1000</v>
      </c>
      <c r="R159">
        <f>'# Out FF'!E159</f>
        <v>1000</v>
      </c>
      <c r="S159">
        <f>'# Out FF'!F159</f>
        <v>1000</v>
      </c>
      <c r="T159">
        <f>'# Out FF'!G159</f>
        <v>1000</v>
      </c>
      <c r="U159">
        <f>'# Out FF'!H159</f>
        <v>1000</v>
      </c>
      <c r="V159">
        <f>'# Out FF'!I159</f>
        <v>1000</v>
      </c>
      <c r="W159">
        <f>'# Out FF'!J159</f>
        <v>785</v>
      </c>
      <c r="X159">
        <f>'# Out FF'!K159</f>
        <v>1000</v>
      </c>
      <c r="Y159">
        <f>'# Out FF'!L159</f>
        <v>978.5</v>
      </c>
      <c r="AB159">
        <v>5</v>
      </c>
      <c r="AC159">
        <v>532</v>
      </c>
      <c r="AF159" s="2">
        <f t="shared" si="8"/>
        <v>5.0000000000000001E-3</v>
      </c>
      <c r="AG159">
        <f t="shared" si="9"/>
        <v>0.53200000000000003</v>
      </c>
      <c r="AH159">
        <f t="shared" si="10"/>
        <v>0.72854138131245416</v>
      </c>
      <c r="AI159">
        <f t="shared" si="11"/>
        <v>-0.19654138131245413</v>
      </c>
    </row>
    <row r="160" spans="1:35" x14ac:dyDescent="0.35">
      <c r="A160">
        <f>'DNC4 FF'!A160</f>
        <v>157</v>
      </c>
      <c r="B160" t="e">
        <f>'DNC4 FF'!B160</f>
        <v>#REF!</v>
      </c>
      <c r="C160" t="e">
        <f>'DNC4 FF'!C160</f>
        <v>#REF!</v>
      </c>
      <c r="D160" t="e">
        <f>'DNC4 FF'!D160</f>
        <v>#REF!</v>
      </c>
      <c r="E160" t="e">
        <f>'DNC4 FF'!E160</f>
        <v>#REF!</v>
      </c>
      <c r="F160" t="e">
        <f>'DNC4 FF'!F160</f>
        <v>#REF!</v>
      </c>
      <c r="G160" t="e">
        <f>'DNC4 FF'!G160</f>
        <v>#REF!</v>
      </c>
      <c r="H160" t="e">
        <f>'DNC4 FF'!H160</f>
        <v>#REF!</v>
      </c>
      <c r="I160" t="e">
        <f>'DNC4 FF'!I160</f>
        <v>#REF!</v>
      </c>
      <c r="J160">
        <f>'DNC4 FF'!J160</f>
        <v>1</v>
      </c>
      <c r="K160" t="e">
        <f>'DNC4 FF'!K160</f>
        <v>#REF!</v>
      </c>
      <c r="L160" t="e">
        <f>'DNC4 FF'!L160</f>
        <v>#REF!</v>
      </c>
      <c r="N160">
        <f>'# Out FF'!A160</f>
        <v>157</v>
      </c>
      <c r="O160">
        <f>'# Out FF'!B160</f>
        <v>1000</v>
      </c>
      <c r="P160">
        <f>'# Out FF'!C160</f>
        <v>1000</v>
      </c>
      <c r="Q160">
        <f>'# Out FF'!D160</f>
        <v>1000</v>
      </c>
      <c r="R160">
        <f>'# Out FF'!E160</f>
        <v>1000</v>
      </c>
      <c r="S160">
        <f>'# Out FF'!F160</f>
        <v>1000</v>
      </c>
      <c r="T160">
        <f>'# Out FF'!G160</f>
        <v>1000</v>
      </c>
      <c r="U160">
        <f>'# Out FF'!H160</f>
        <v>1000</v>
      </c>
      <c r="V160">
        <f>'# Out FF'!I160</f>
        <v>1000</v>
      </c>
      <c r="W160">
        <f>'# Out FF'!J160</f>
        <v>784</v>
      </c>
      <c r="X160">
        <f>'# Out FF'!K160</f>
        <v>1000</v>
      </c>
      <c r="Y160">
        <f>'# Out FF'!L160</f>
        <v>978.4</v>
      </c>
      <c r="AB160">
        <v>9</v>
      </c>
      <c r="AC160">
        <v>713</v>
      </c>
      <c r="AF160" s="2">
        <f t="shared" si="8"/>
        <v>8.9999999999999993E-3</v>
      </c>
      <c r="AG160">
        <f t="shared" si="9"/>
        <v>0.71299999999999997</v>
      </c>
      <c r="AH160">
        <f t="shared" si="10"/>
        <v>0.62017669382084306</v>
      </c>
      <c r="AI160">
        <f t="shared" si="11"/>
        <v>9.2823306179156906E-2</v>
      </c>
    </row>
    <row r="161" spans="1:35" x14ac:dyDescent="0.35">
      <c r="A161">
        <f>'DNC4 FF'!A161</f>
        <v>158</v>
      </c>
      <c r="B161" t="e">
        <f>'DNC4 FF'!B161</f>
        <v>#REF!</v>
      </c>
      <c r="C161" t="e">
        <f>'DNC4 FF'!C161</f>
        <v>#REF!</v>
      </c>
      <c r="D161" t="e">
        <f>'DNC4 FF'!D161</f>
        <v>#REF!</v>
      </c>
      <c r="E161" t="e">
        <f>'DNC4 FF'!E161</f>
        <v>#REF!</v>
      </c>
      <c r="F161" t="e">
        <f>'DNC4 FF'!F161</f>
        <v>#REF!</v>
      </c>
      <c r="G161" t="e">
        <f>'DNC4 FF'!G161</f>
        <v>#REF!</v>
      </c>
      <c r="H161" t="e">
        <f>'DNC4 FF'!H161</f>
        <v>#REF!</v>
      </c>
      <c r="I161" t="e">
        <f>'DNC4 FF'!I161</f>
        <v>#REF!</v>
      </c>
      <c r="J161">
        <f>'DNC4 FF'!J161</f>
        <v>0</v>
      </c>
      <c r="K161" t="e">
        <f>'DNC4 FF'!K161</f>
        <v>#REF!</v>
      </c>
      <c r="L161" t="e">
        <f>'DNC4 FF'!L161</f>
        <v>#REF!</v>
      </c>
      <c r="N161">
        <f>'# Out FF'!A161</f>
        <v>158</v>
      </c>
      <c r="O161">
        <f>'# Out FF'!B161</f>
        <v>1000</v>
      </c>
      <c r="P161">
        <f>'# Out FF'!C161</f>
        <v>1000</v>
      </c>
      <c r="Q161">
        <f>'# Out FF'!D161</f>
        <v>1000</v>
      </c>
      <c r="R161">
        <f>'# Out FF'!E161</f>
        <v>1000</v>
      </c>
      <c r="S161">
        <f>'# Out FF'!F161</f>
        <v>1000</v>
      </c>
      <c r="T161">
        <f>'# Out FF'!G161</f>
        <v>1000</v>
      </c>
      <c r="U161">
        <f>'# Out FF'!H161</f>
        <v>1000</v>
      </c>
      <c r="V161">
        <f>'# Out FF'!I161</f>
        <v>1000</v>
      </c>
      <c r="W161">
        <f>'# Out FF'!J161</f>
        <v>791</v>
      </c>
      <c r="X161">
        <f>'# Out FF'!K161</f>
        <v>1000</v>
      </c>
      <c r="Y161">
        <f>'# Out FF'!L161</f>
        <v>979.1</v>
      </c>
      <c r="AB161">
        <v>7</v>
      </c>
      <c r="AC161">
        <v>759</v>
      </c>
      <c r="AF161" s="2">
        <f t="shared" si="8"/>
        <v>7.0000000000000001E-3</v>
      </c>
      <c r="AG161">
        <f t="shared" si="9"/>
        <v>0.75900000000000001</v>
      </c>
      <c r="AH161">
        <f t="shared" si="10"/>
        <v>0.67217883422049818</v>
      </c>
      <c r="AI161">
        <f t="shared" si="11"/>
        <v>8.682116577950183E-2</v>
      </c>
    </row>
    <row r="162" spans="1:35" x14ac:dyDescent="0.35">
      <c r="A162">
        <f>'DNC4 FF'!A162</f>
        <v>159</v>
      </c>
      <c r="B162" t="e">
        <f>'DNC4 FF'!B162</f>
        <v>#REF!</v>
      </c>
      <c r="C162" t="e">
        <f>'DNC4 FF'!C162</f>
        <v>#REF!</v>
      </c>
      <c r="D162" t="e">
        <f>'DNC4 FF'!D162</f>
        <v>#REF!</v>
      </c>
      <c r="E162" t="e">
        <f>'DNC4 FF'!E162</f>
        <v>#REF!</v>
      </c>
      <c r="F162" t="e">
        <f>'DNC4 FF'!F162</f>
        <v>#REF!</v>
      </c>
      <c r="G162" t="e">
        <f>'DNC4 FF'!G162</f>
        <v>#REF!</v>
      </c>
      <c r="H162" t="e">
        <f>'DNC4 FF'!H162</f>
        <v>#REF!</v>
      </c>
      <c r="I162" t="e">
        <f>'DNC4 FF'!I162</f>
        <v>#REF!</v>
      </c>
      <c r="J162">
        <f>'DNC4 FF'!J162</f>
        <v>0</v>
      </c>
      <c r="K162" t="e">
        <f>'DNC4 FF'!K162</f>
        <v>#REF!</v>
      </c>
      <c r="L162" t="e">
        <f>'DNC4 FF'!L162</f>
        <v>#REF!</v>
      </c>
      <c r="N162">
        <f>'# Out FF'!A162</f>
        <v>159</v>
      </c>
      <c r="O162">
        <f>'# Out FF'!B162</f>
        <v>1000</v>
      </c>
      <c r="P162">
        <f>'# Out FF'!C162</f>
        <v>1000</v>
      </c>
      <c r="Q162">
        <f>'# Out FF'!D162</f>
        <v>1000</v>
      </c>
      <c r="R162">
        <f>'# Out FF'!E162</f>
        <v>1000</v>
      </c>
      <c r="S162">
        <f>'# Out FF'!F162</f>
        <v>1000</v>
      </c>
      <c r="T162">
        <f>'# Out FF'!G162</f>
        <v>1000</v>
      </c>
      <c r="U162">
        <f>'# Out FF'!H162</f>
        <v>1000</v>
      </c>
      <c r="V162">
        <f>'# Out FF'!I162</f>
        <v>1000</v>
      </c>
      <c r="W162">
        <f>'# Out FF'!J162</f>
        <v>995</v>
      </c>
      <c r="X162">
        <f>'# Out FF'!K162</f>
        <v>1000</v>
      </c>
      <c r="Y162">
        <f>'# Out FF'!L162</f>
        <v>999.5</v>
      </c>
      <c r="AB162">
        <v>7</v>
      </c>
      <c r="AC162">
        <v>755</v>
      </c>
      <c r="AF162" s="2">
        <f t="shared" si="8"/>
        <v>7.0000000000000001E-3</v>
      </c>
      <c r="AG162">
        <f t="shared" si="9"/>
        <v>0.755</v>
      </c>
      <c r="AH162">
        <f t="shared" si="10"/>
        <v>0.67217883422049818</v>
      </c>
      <c r="AI162">
        <f t="shared" si="11"/>
        <v>8.2821165779501826E-2</v>
      </c>
    </row>
    <row r="163" spans="1:35" x14ac:dyDescent="0.35">
      <c r="A163">
        <f>'DNC4 FF'!A163</f>
        <v>160</v>
      </c>
      <c r="B163" t="e">
        <f>'DNC4 FF'!B163</f>
        <v>#REF!</v>
      </c>
      <c r="C163" t="e">
        <f>'DNC4 FF'!C163</f>
        <v>#REF!</v>
      </c>
      <c r="D163" t="e">
        <f>'DNC4 FF'!D163</f>
        <v>#REF!</v>
      </c>
      <c r="E163" t="e">
        <f>'DNC4 FF'!E163</f>
        <v>#REF!</v>
      </c>
      <c r="F163" t="e">
        <f>'DNC4 FF'!F163</f>
        <v>#REF!</v>
      </c>
      <c r="G163" t="e">
        <f>'DNC4 FF'!G163</f>
        <v>#REF!</v>
      </c>
      <c r="H163" t="e">
        <f>'DNC4 FF'!H163</f>
        <v>#REF!</v>
      </c>
      <c r="I163" t="e">
        <f>'DNC4 FF'!I163</f>
        <v>#REF!</v>
      </c>
      <c r="J163">
        <f>'DNC4 FF'!J163</f>
        <v>0</v>
      </c>
      <c r="K163" t="e">
        <f>'DNC4 FF'!K163</f>
        <v>#REF!</v>
      </c>
      <c r="L163" t="e">
        <f>'DNC4 FF'!L163</f>
        <v>#REF!</v>
      </c>
      <c r="N163">
        <f>'# Out FF'!A163</f>
        <v>160</v>
      </c>
      <c r="O163">
        <f>'# Out FF'!B163</f>
        <v>1000</v>
      </c>
      <c r="P163">
        <f>'# Out FF'!C163</f>
        <v>1000</v>
      </c>
      <c r="Q163">
        <f>'# Out FF'!D163</f>
        <v>1000</v>
      </c>
      <c r="R163">
        <f>'# Out FF'!E163</f>
        <v>1000</v>
      </c>
      <c r="S163">
        <f>'# Out FF'!F163</f>
        <v>1000</v>
      </c>
      <c r="T163">
        <f>'# Out FF'!G163</f>
        <v>1000</v>
      </c>
      <c r="U163">
        <f>'# Out FF'!H163</f>
        <v>1000</v>
      </c>
      <c r="V163">
        <f>'# Out FF'!I163</f>
        <v>1000</v>
      </c>
      <c r="W163">
        <f>'# Out FF'!J163</f>
        <v>996</v>
      </c>
      <c r="X163">
        <f>'# Out FF'!K163</f>
        <v>1000</v>
      </c>
      <c r="Y163">
        <f>'# Out FF'!L163</f>
        <v>999.6</v>
      </c>
      <c r="AB163">
        <v>6</v>
      </c>
      <c r="AC163">
        <v>722</v>
      </c>
      <c r="AF163" s="2">
        <f t="shared" si="8"/>
        <v>6.0000000000000001E-3</v>
      </c>
      <c r="AG163">
        <f t="shared" si="9"/>
        <v>0.72199999999999998</v>
      </c>
      <c r="AH163">
        <f t="shared" si="10"/>
        <v>0.69979289534261269</v>
      </c>
      <c r="AI163">
        <f t="shared" si="11"/>
        <v>2.2207104657387289E-2</v>
      </c>
    </row>
    <row r="164" spans="1:35" x14ac:dyDescent="0.35">
      <c r="A164">
        <f>'DNC4 FF'!A164</f>
        <v>161</v>
      </c>
      <c r="B164" t="e">
        <f>'DNC4 FF'!B164</f>
        <v>#REF!</v>
      </c>
      <c r="C164" t="e">
        <f>'DNC4 FF'!C164</f>
        <v>#REF!</v>
      </c>
      <c r="D164" t="e">
        <f>'DNC4 FF'!D164</f>
        <v>#REF!</v>
      </c>
      <c r="E164" t="e">
        <f>'DNC4 FF'!E164</f>
        <v>#REF!</v>
      </c>
      <c r="F164" t="e">
        <f>'DNC4 FF'!F164</f>
        <v>#REF!</v>
      </c>
      <c r="G164" t="e">
        <f>'DNC4 FF'!G164</f>
        <v>#REF!</v>
      </c>
      <c r="H164" t="e">
        <f>'DNC4 FF'!H164</f>
        <v>#REF!</v>
      </c>
      <c r="I164" t="e">
        <f>'DNC4 FF'!I164</f>
        <v>#REF!</v>
      </c>
      <c r="J164">
        <f>'DNC4 FF'!J164</f>
        <v>0</v>
      </c>
      <c r="K164" t="e">
        <f>'DNC4 FF'!K164</f>
        <v>#REF!</v>
      </c>
      <c r="L164" t="e">
        <f>'DNC4 FF'!L164</f>
        <v>#REF!</v>
      </c>
      <c r="N164">
        <f>'# Out FF'!A164</f>
        <v>161</v>
      </c>
      <c r="O164">
        <f>'# Out FF'!B164</f>
        <v>1000</v>
      </c>
      <c r="P164">
        <f>'# Out FF'!C164</f>
        <v>1000</v>
      </c>
      <c r="Q164">
        <f>'# Out FF'!D164</f>
        <v>1000</v>
      </c>
      <c r="R164">
        <f>'# Out FF'!E164</f>
        <v>1000</v>
      </c>
      <c r="S164">
        <f>'# Out FF'!F164</f>
        <v>1000</v>
      </c>
      <c r="T164">
        <f>'# Out FF'!G164</f>
        <v>1000</v>
      </c>
      <c r="U164">
        <f>'# Out FF'!H164</f>
        <v>1000</v>
      </c>
      <c r="V164">
        <f>'# Out FF'!I164</f>
        <v>1000</v>
      </c>
      <c r="W164">
        <f>'# Out FF'!J164</f>
        <v>996</v>
      </c>
      <c r="X164">
        <f>'# Out FF'!K164</f>
        <v>1000</v>
      </c>
      <c r="Y164">
        <f>'# Out FF'!L164</f>
        <v>999.6</v>
      </c>
      <c r="AB164">
        <v>12</v>
      </c>
      <c r="AC164">
        <v>536</v>
      </c>
      <c r="AF164" s="2">
        <f t="shared" si="8"/>
        <v>1.2E-2</v>
      </c>
      <c r="AG164">
        <f t="shared" si="9"/>
        <v>0.53600000000000003</v>
      </c>
      <c r="AH164">
        <f t="shared" si="10"/>
        <v>0.54961851444668564</v>
      </c>
      <c r="AI164">
        <f t="shared" si="11"/>
        <v>-1.3618514446685603E-2</v>
      </c>
    </row>
    <row r="165" spans="1:35" x14ac:dyDescent="0.35">
      <c r="A165">
        <f>'DNC4 FF'!A165</f>
        <v>162</v>
      </c>
      <c r="B165" t="e">
        <f>'DNC4 FF'!B165</f>
        <v>#REF!</v>
      </c>
      <c r="C165" t="e">
        <f>'DNC4 FF'!C165</f>
        <v>#REF!</v>
      </c>
      <c r="D165" t="e">
        <f>'DNC4 FF'!D165</f>
        <v>#REF!</v>
      </c>
      <c r="E165" t="e">
        <f>'DNC4 FF'!E165</f>
        <v>#REF!</v>
      </c>
      <c r="F165" t="e">
        <f>'DNC4 FF'!F165</f>
        <v>#REF!</v>
      </c>
      <c r="G165" t="e">
        <f>'DNC4 FF'!G165</f>
        <v>#REF!</v>
      </c>
      <c r="H165" t="e">
        <f>'DNC4 FF'!H165</f>
        <v>#REF!</v>
      </c>
      <c r="I165" t="e">
        <f>'DNC4 FF'!I165</f>
        <v>#REF!</v>
      </c>
      <c r="J165">
        <f>'DNC4 FF'!J165</f>
        <v>0</v>
      </c>
      <c r="K165" t="e">
        <f>'DNC4 FF'!K165</f>
        <v>#REF!</v>
      </c>
      <c r="L165" t="e">
        <f>'DNC4 FF'!L165</f>
        <v>#REF!</v>
      </c>
      <c r="N165">
        <f>'# Out FF'!A165</f>
        <v>162</v>
      </c>
      <c r="O165">
        <f>'# Out FF'!B165</f>
        <v>1000</v>
      </c>
      <c r="P165">
        <f>'# Out FF'!C165</f>
        <v>1000</v>
      </c>
      <c r="Q165">
        <f>'# Out FF'!D165</f>
        <v>1000</v>
      </c>
      <c r="R165">
        <f>'# Out FF'!E165</f>
        <v>1000</v>
      </c>
      <c r="S165">
        <f>'# Out FF'!F165</f>
        <v>1000</v>
      </c>
      <c r="T165">
        <f>'# Out FF'!G165</f>
        <v>1000</v>
      </c>
      <c r="U165">
        <f>'# Out FF'!H165</f>
        <v>1000</v>
      </c>
      <c r="V165">
        <f>'# Out FF'!I165</f>
        <v>1000</v>
      </c>
      <c r="W165">
        <f>'# Out FF'!J165</f>
        <v>996</v>
      </c>
      <c r="X165">
        <f>'# Out FF'!K165</f>
        <v>1000</v>
      </c>
      <c r="Y165">
        <f>'# Out FF'!L165</f>
        <v>999.6</v>
      </c>
      <c r="AB165">
        <v>11</v>
      </c>
      <c r="AC165">
        <v>652</v>
      </c>
      <c r="AF165" s="2">
        <f t="shared" si="8"/>
        <v>1.0999999999999999E-2</v>
      </c>
      <c r="AG165">
        <f t="shared" si="9"/>
        <v>0.65200000000000002</v>
      </c>
      <c r="AH165">
        <f t="shared" si="10"/>
        <v>0.57219762357525106</v>
      </c>
      <c r="AI165">
        <f t="shared" si="11"/>
        <v>7.9802376424748966E-2</v>
      </c>
    </row>
    <row r="166" spans="1:35" x14ac:dyDescent="0.35">
      <c r="A166">
        <f>'DNC4 FF'!A166</f>
        <v>163</v>
      </c>
      <c r="B166" t="e">
        <f>'DNC4 FF'!B166</f>
        <v>#REF!</v>
      </c>
      <c r="C166" t="e">
        <f>'DNC4 FF'!C166</f>
        <v>#REF!</v>
      </c>
      <c r="D166" t="e">
        <f>'DNC4 FF'!D166</f>
        <v>#REF!</v>
      </c>
      <c r="E166" t="e">
        <f>'DNC4 FF'!E166</f>
        <v>#REF!</v>
      </c>
      <c r="F166" t="e">
        <f>'DNC4 FF'!F166</f>
        <v>#REF!</v>
      </c>
      <c r="G166" t="e">
        <f>'DNC4 FF'!G166</f>
        <v>#REF!</v>
      </c>
      <c r="H166" t="e">
        <f>'DNC4 FF'!H166</f>
        <v>#REF!</v>
      </c>
      <c r="I166" t="e">
        <f>'DNC4 FF'!I166</f>
        <v>#REF!</v>
      </c>
      <c r="J166">
        <f>'DNC4 FF'!J166</f>
        <v>1</v>
      </c>
      <c r="K166" t="e">
        <f>'DNC4 FF'!K166</f>
        <v>#REF!</v>
      </c>
      <c r="L166" t="e">
        <f>'DNC4 FF'!L166</f>
        <v>#REF!</v>
      </c>
      <c r="N166">
        <f>'# Out FF'!A166</f>
        <v>163</v>
      </c>
      <c r="O166">
        <f>'# Out FF'!B166</f>
        <v>1000</v>
      </c>
      <c r="P166">
        <f>'# Out FF'!C166</f>
        <v>1000</v>
      </c>
      <c r="Q166">
        <f>'# Out FF'!D166</f>
        <v>1000</v>
      </c>
      <c r="R166">
        <f>'# Out FF'!E166</f>
        <v>1000</v>
      </c>
      <c r="S166">
        <f>'# Out FF'!F166</f>
        <v>1000</v>
      </c>
      <c r="T166">
        <f>'# Out FF'!G166</f>
        <v>1000</v>
      </c>
      <c r="U166">
        <f>'# Out FF'!H166</f>
        <v>1000</v>
      </c>
      <c r="V166">
        <f>'# Out FF'!I166</f>
        <v>1000</v>
      </c>
      <c r="W166">
        <f>'# Out FF'!J166</f>
        <v>997</v>
      </c>
      <c r="X166">
        <f>'# Out FF'!K166</f>
        <v>1000</v>
      </c>
      <c r="Y166">
        <f>'# Out FF'!L166</f>
        <v>999.7</v>
      </c>
      <c r="AB166">
        <v>18</v>
      </c>
      <c r="AC166">
        <v>527</v>
      </c>
      <c r="AF166" s="2">
        <f t="shared" si="8"/>
        <v>1.7999999999999999E-2</v>
      </c>
      <c r="AG166">
        <f t="shared" si="9"/>
        <v>0.52700000000000002</v>
      </c>
      <c r="AH166">
        <f t="shared" si="10"/>
        <v>0.43167130365718487</v>
      </c>
      <c r="AI166">
        <f t="shared" si="11"/>
        <v>9.5328696342815156E-2</v>
      </c>
    </row>
    <row r="167" spans="1:35" x14ac:dyDescent="0.35">
      <c r="A167">
        <f>'DNC4 FF'!A167</f>
        <v>164</v>
      </c>
      <c r="B167" t="e">
        <f>'DNC4 FF'!B167</f>
        <v>#REF!</v>
      </c>
      <c r="C167" t="e">
        <f>'DNC4 FF'!C167</f>
        <v>#REF!</v>
      </c>
      <c r="D167" t="e">
        <f>'DNC4 FF'!D167</f>
        <v>#REF!</v>
      </c>
      <c r="E167" t="e">
        <f>'DNC4 FF'!E167</f>
        <v>#REF!</v>
      </c>
      <c r="F167" t="e">
        <f>'DNC4 FF'!F167</f>
        <v>#REF!</v>
      </c>
      <c r="G167" t="e">
        <f>'DNC4 FF'!G167</f>
        <v>#REF!</v>
      </c>
      <c r="H167" t="e">
        <f>'DNC4 FF'!H167</f>
        <v>#REF!</v>
      </c>
      <c r="I167" t="e">
        <f>'DNC4 FF'!I167</f>
        <v>#REF!</v>
      </c>
      <c r="J167">
        <f>'DNC4 FF'!J167</f>
        <v>0</v>
      </c>
      <c r="K167" t="e">
        <f>'DNC4 FF'!K167</f>
        <v>#REF!</v>
      </c>
      <c r="L167" t="e">
        <f>'DNC4 FF'!L167</f>
        <v>#REF!</v>
      </c>
      <c r="N167">
        <f>'# Out FF'!A167</f>
        <v>164</v>
      </c>
      <c r="O167">
        <f>'# Out FF'!B167</f>
        <v>1000</v>
      </c>
      <c r="P167">
        <f>'# Out FF'!C167</f>
        <v>1000</v>
      </c>
      <c r="Q167">
        <f>'# Out FF'!D167</f>
        <v>1000</v>
      </c>
      <c r="R167">
        <f>'# Out FF'!E167</f>
        <v>1000</v>
      </c>
      <c r="S167">
        <f>'# Out FF'!F167</f>
        <v>1000</v>
      </c>
      <c r="T167">
        <f>'# Out FF'!G167</f>
        <v>1000</v>
      </c>
      <c r="U167">
        <f>'# Out FF'!H167</f>
        <v>1000</v>
      </c>
      <c r="V167">
        <f>'# Out FF'!I167</f>
        <v>1000</v>
      </c>
      <c r="W167">
        <f>'# Out FF'!J167</f>
        <v>792</v>
      </c>
      <c r="X167">
        <f>'# Out FF'!K167</f>
        <v>1000</v>
      </c>
      <c r="Y167">
        <f>'# Out FF'!L167</f>
        <v>979.2</v>
      </c>
      <c r="AB167">
        <v>17</v>
      </c>
      <c r="AC167">
        <v>424</v>
      </c>
      <c r="AF167" s="2">
        <f t="shared" si="8"/>
        <v>1.7000000000000001E-2</v>
      </c>
      <c r="AG167">
        <f t="shared" si="9"/>
        <v>0.42399999999999999</v>
      </c>
      <c r="AH167">
        <f t="shared" si="10"/>
        <v>0.44940497386070405</v>
      </c>
      <c r="AI167">
        <f t="shared" si="11"/>
        <v>-2.5404973860704061E-2</v>
      </c>
    </row>
    <row r="168" spans="1:35" x14ac:dyDescent="0.35">
      <c r="A168">
        <f>'DNC4 FF'!A168</f>
        <v>165</v>
      </c>
      <c r="B168" t="e">
        <f>'DNC4 FF'!B168</f>
        <v>#REF!</v>
      </c>
      <c r="C168" t="e">
        <f>'DNC4 FF'!C168</f>
        <v>#REF!</v>
      </c>
      <c r="D168" t="e">
        <f>'DNC4 FF'!D168</f>
        <v>#REF!</v>
      </c>
      <c r="E168" t="e">
        <f>'DNC4 FF'!E168</f>
        <v>#REF!</v>
      </c>
      <c r="F168" t="e">
        <f>'DNC4 FF'!F168</f>
        <v>#REF!</v>
      </c>
      <c r="G168" t="e">
        <f>'DNC4 FF'!G168</f>
        <v>#REF!</v>
      </c>
      <c r="H168" t="e">
        <f>'DNC4 FF'!H168</f>
        <v>#REF!</v>
      </c>
      <c r="I168" t="e">
        <f>'DNC4 FF'!I168</f>
        <v>#REF!</v>
      </c>
      <c r="J168">
        <f>'DNC4 FF'!J168</f>
        <v>2</v>
      </c>
      <c r="K168" t="e">
        <f>'DNC4 FF'!K168</f>
        <v>#REF!</v>
      </c>
      <c r="L168" t="e">
        <f>'DNC4 FF'!L168</f>
        <v>#REF!</v>
      </c>
      <c r="N168">
        <f>'# Out FF'!A168</f>
        <v>165</v>
      </c>
      <c r="O168">
        <f>'# Out FF'!B168</f>
        <v>1000</v>
      </c>
      <c r="P168">
        <f>'# Out FF'!C168</f>
        <v>1000</v>
      </c>
      <c r="Q168">
        <f>'# Out FF'!D168</f>
        <v>1000</v>
      </c>
      <c r="R168">
        <f>'# Out FF'!E168</f>
        <v>1000</v>
      </c>
      <c r="S168">
        <f>'# Out FF'!F168</f>
        <v>1000</v>
      </c>
      <c r="T168">
        <f>'# Out FF'!G168</f>
        <v>1000</v>
      </c>
      <c r="U168">
        <f>'# Out FF'!H168</f>
        <v>1000</v>
      </c>
      <c r="V168">
        <f>'# Out FF'!I168</f>
        <v>1000</v>
      </c>
      <c r="W168">
        <f>'# Out FF'!J168</f>
        <v>995</v>
      </c>
      <c r="X168">
        <f>'# Out FF'!K168</f>
        <v>1000</v>
      </c>
      <c r="Y168">
        <f>'# Out FF'!L168</f>
        <v>999.5</v>
      </c>
      <c r="AB168">
        <v>6</v>
      </c>
      <c r="AC168">
        <v>698</v>
      </c>
      <c r="AF168" s="2">
        <f t="shared" si="8"/>
        <v>6.0000000000000001E-3</v>
      </c>
      <c r="AG168">
        <f t="shared" si="9"/>
        <v>0.69799999999999995</v>
      </c>
      <c r="AH168">
        <f t="shared" si="10"/>
        <v>0.69979289534261269</v>
      </c>
      <c r="AI168">
        <f t="shared" si="11"/>
        <v>-1.7928953426127325E-3</v>
      </c>
    </row>
    <row r="169" spans="1:35" x14ac:dyDescent="0.35">
      <c r="A169">
        <f>'DNC4 FF'!A169</f>
        <v>166</v>
      </c>
      <c r="B169" t="e">
        <f>'DNC4 FF'!B169</f>
        <v>#REF!</v>
      </c>
      <c r="C169" t="e">
        <f>'DNC4 FF'!C169</f>
        <v>#REF!</v>
      </c>
      <c r="D169" t="e">
        <f>'DNC4 FF'!D169</f>
        <v>#REF!</v>
      </c>
      <c r="E169" t="e">
        <f>'DNC4 FF'!E169</f>
        <v>#REF!</v>
      </c>
      <c r="F169" t="e">
        <f>'DNC4 FF'!F169</f>
        <v>#REF!</v>
      </c>
      <c r="G169" t="e">
        <f>'DNC4 FF'!G169</f>
        <v>#REF!</v>
      </c>
      <c r="H169" t="e">
        <f>'DNC4 FF'!H169</f>
        <v>#REF!</v>
      </c>
      <c r="I169" t="e">
        <f>'DNC4 FF'!I169</f>
        <v>#REF!</v>
      </c>
      <c r="J169">
        <f>'DNC4 FF'!J169</f>
        <v>3</v>
      </c>
      <c r="K169" t="e">
        <f>'DNC4 FF'!K169</f>
        <v>#REF!</v>
      </c>
      <c r="L169" t="e">
        <f>'DNC4 FF'!L169</f>
        <v>#REF!</v>
      </c>
      <c r="N169">
        <f>'# Out FF'!A169</f>
        <v>166</v>
      </c>
      <c r="O169">
        <f>'# Out FF'!B169</f>
        <v>1000</v>
      </c>
      <c r="P169">
        <f>'# Out FF'!C169</f>
        <v>1000</v>
      </c>
      <c r="Q169">
        <f>'# Out FF'!D169</f>
        <v>1000</v>
      </c>
      <c r="R169">
        <f>'# Out FF'!E169</f>
        <v>1000</v>
      </c>
      <c r="S169">
        <f>'# Out FF'!F169</f>
        <v>1000</v>
      </c>
      <c r="T169">
        <f>'# Out FF'!G169</f>
        <v>1000</v>
      </c>
      <c r="U169">
        <f>'# Out FF'!H169</f>
        <v>1000</v>
      </c>
      <c r="V169">
        <f>'# Out FF'!I169</f>
        <v>1000</v>
      </c>
      <c r="W169">
        <f>'# Out FF'!J169</f>
        <v>783</v>
      </c>
      <c r="X169">
        <f>'# Out FF'!K169</f>
        <v>1000</v>
      </c>
      <c r="Y169">
        <f>'# Out FF'!L169</f>
        <v>978.3</v>
      </c>
      <c r="AB169">
        <v>10</v>
      </c>
      <c r="AC169">
        <v>831</v>
      </c>
      <c r="AF169" s="2">
        <f t="shared" si="8"/>
        <v>0.01</v>
      </c>
      <c r="AG169">
        <f t="shared" si="9"/>
        <v>0.83099999999999996</v>
      </c>
      <c r="AH169">
        <f t="shared" si="10"/>
        <v>0.59570431457312989</v>
      </c>
      <c r="AI169">
        <f t="shared" si="11"/>
        <v>0.23529568542687007</v>
      </c>
    </row>
    <row r="170" spans="1:35" x14ac:dyDescent="0.35">
      <c r="A170">
        <f>'DNC4 FF'!A170</f>
        <v>167</v>
      </c>
      <c r="B170" t="e">
        <f>'DNC4 FF'!B170</f>
        <v>#REF!</v>
      </c>
      <c r="C170" t="e">
        <f>'DNC4 FF'!C170</f>
        <v>#REF!</v>
      </c>
      <c r="D170" t="e">
        <f>'DNC4 FF'!D170</f>
        <v>#REF!</v>
      </c>
      <c r="E170" t="e">
        <f>'DNC4 FF'!E170</f>
        <v>#REF!</v>
      </c>
      <c r="F170" t="e">
        <f>'DNC4 FF'!F170</f>
        <v>#REF!</v>
      </c>
      <c r="G170" t="e">
        <f>'DNC4 FF'!G170</f>
        <v>#REF!</v>
      </c>
      <c r="H170" t="e">
        <f>'DNC4 FF'!H170</f>
        <v>#REF!</v>
      </c>
      <c r="I170" t="e">
        <f>'DNC4 FF'!I170</f>
        <v>#REF!</v>
      </c>
      <c r="J170">
        <f>'DNC4 FF'!J170</f>
        <v>3</v>
      </c>
      <c r="K170" t="e">
        <f>'DNC4 FF'!K170</f>
        <v>#REF!</v>
      </c>
      <c r="L170" t="e">
        <f>'DNC4 FF'!L170</f>
        <v>#REF!</v>
      </c>
      <c r="N170">
        <f>'# Out FF'!A170</f>
        <v>167</v>
      </c>
      <c r="O170">
        <f>'# Out FF'!B170</f>
        <v>1000</v>
      </c>
      <c r="P170">
        <f>'# Out FF'!C170</f>
        <v>1000</v>
      </c>
      <c r="Q170">
        <f>'# Out FF'!D170</f>
        <v>1000</v>
      </c>
      <c r="R170">
        <f>'# Out FF'!E170</f>
        <v>1000</v>
      </c>
      <c r="S170">
        <f>'# Out FF'!F170</f>
        <v>1000</v>
      </c>
      <c r="T170">
        <f>'# Out FF'!G170</f>
        <v>1000</v>
      </c>
      <c r="U170">
        <f>'# Out FF'!H170</f>
        <v>1000</v>
      </c>
      <c r="V170">
        <f>'# Out FF'!I170</f>
        <v>1000</v>
      </c>
      <c r="W170">
        <f>'# Out FF'!J170</f>
        <v>766</v>
      </c>
      <c r="X170">
        <f>'# Out FF'!K170</f>
        <v>1000</v>
      </c>
      <c r="Y170">
        <f>'# Out FF'!L170</f>
        <v>976.6</v>
      </c>
      <c r="AB170">
        <v>8</v>
      </c>
      <c r="AC170">
        <v>703</v>
      </c>
      <c r="AF170" s="2">
        <f t="shared" si="8"/>
        <v>8.0000000000000002E-3</v>
      </c>
      <c r="AG170">
        <f t="shared" si="9"/>
        <v>0.70299999999999996</v>
      </c>
      <c r="AH170">
        <f t="shared" si="10"/>
        <v>0.64565443316314119</v>
      </c>
      <c r="AI170">
        <f t="shared" si="11"/>
        <v>5.7345566836858763E-2</v>
      </c>
    </row>
    <row r="171" spans="1:35" x14ac:dyDescent="0.35">
      <c r="A171">
        <f>'DNC4 FF'!A171</f>
        <v>168</v>
      </c>
      <c r="B171" t="e">
        <f>'DNC4 FF'!B171</f>
        <v>#REF!</v>
      </c>
      <c r="C171" t="e">
        <f>'DNC4 FF'!C171</f>
        <v>#REF!</v>
      </c>
      <c r="D171" t="e">
        <f>'DNC4 FF'!D171</f>
        <v>#REF!</v>
      </c>
      <c r="E171" t="e">
        <f>'DNC4 FF'!E171</f>
        <v>#REF!</v>
      </c>
      <c r="F171" t="e">
        <f>'DNC4 FF'!F171</f>
        <v>#REF!</v>
      </c>
      <c r="G171" t="e">
        <f>'DNC4 FF'!G171</f>
        <v>#REF!</v>
      </c>
      <c r="H171" t="e">
        <f>'DNC4 FF'!H171</f>
        <v>#REF!</v>
      </c>
      <c r="I171" t="e">
        <f>'DNC4 FF'!I171</f>
        <v>#REF!</v>
      </c>
      <c r="J171">
        <f>'DNC4 FF'!J171</f>
        <v>6</v>
      </c>
      <c r="K171" t="e">
        <f>'DNC4 FF'!K171</f>
        <v>#REF!</v>
      </c>
      <c r="L171" t="e">
        <f>'DNC4 FF'!L171</f>
        <v>#REF!</v>
      </c>
      <c r="N171">
        <f>'# Out FF'!A171</f>
        <v>168</v>
      </c>
      <c r="O171">
        <f>'# Out FF'!B171</f>
        <v>1000</v>
      </c>
      <c r="P171">
        <f>'# Out FF'!C171</f>
        <v>1000</v>
      </c>
      <c r="Q171">
        <f>'# Out FF'!D171</f>
        <v>1000</v>
      </c>
      <c r="R171">
        <f>'# Out FF'!E171</f>
        <v>1000</v>
      </c>
      <c r="S171">
        <f>'# Out FF'!F171</f>
        <v>1000</v>
      </c>
      <c r="T171">
        <f>'# Out FF'!G171</f>
        <v>1000</v>
      </c>
      <c r="U171">
        <f>'# Out FF'!H171</f>
        <v>1000</v>
      </c>
      <c r="V171">
        <f>'# Out FF'!I171</f>
        <v>1000</v>
      </c>
      <c r="W171">
        <f>'# Out FF'!J171</f>
        <v>766</v>
      </c>
      <c r="X171">
        <f>'# Out FF'!K171</f>
        <v>1000</v>
      </c>
      <c r="Y171">
        <f>'# Out FF'!L171</f>
        <v>976.6</v>
      </c>
      <c r="AB171">
        <v>3</v>
      </c>
      <c r="AC171">
        <v>743</v>
      </c>
      <c r="AF171" s="2">
        <f t="shared" si="8"/>
        <v>3.0000000000000001E-3</v>
      </c>
      <c r="AG171">
        <f t="shared" si="9"/>
        <v>0.74299999999999999</v>
      </c>
      <c r="AH171">
        <f t="shared" si="10"/>
        <v>0.78962995748025411</v>
      </c>
      <c r="AI171">
        <f t="shared" si="11"/>
        <v>-4.6629957480254114E-2</v>
      </c>
    </row>
    <row r="172" spans="1:35" x14ac:dyDescent="0.35">
      <c r="A172">
        <f>'DNC4 FF'!A172</f>
        <v>169</v>
      </c>
      <c r="B172" t="e">
        <f>'DNC4 FF'!B172</f>
        <v>#REF!</v>
      </c>
      <c r="C172" t="e">
        <f>'DNC4 FF'!C172</f>
        <v>#REF!</v>
      </c>
      <c r="D172" t="e">
        <f>'DNC4 FF'!D172</f>
        <v>#REF!</v>
      </c>
      <c r="E172" t="e">
        <f>'DNC4 FF'!E172</f>
        <v>#REF!</v>
      </c>
      <c r="F172" t="e">
        <f>'DNC4 FF'!F172</f>
        <v>#REF!</v>
      </c>
      <c r="G172" t="e">
        <f>'DNC4 FF'!G172</f>
        <v>#REF!</v>
      </c>
      <c r="H172" t="e">
        <f>'DNC4 FF'!H172</f>
        <v>#REF!</v>
      </c>
      <c r="I172" t="e">
        <f>'DNC4 FF'!I172</f>
        <v>#REF!</v>
      </c>
      <c r="J172">
        <f>'DNC4 FF'!J172</f>
        <v>6</v>
      </c>
      <c r="K172" t="e">
        <f>'DNC4 FF'!K172</f>
        <v>#REF!</v>
      </c>
      <c r="L172" t="e">
        <f>'DNC4 FF'!L172</f>
        <v>#REF!</v>
      </c>
      <c r="N172">
        <f>'# Out FF'!A172</f>
        <v>169</v>
      </c>
      <c r="O172">
        <f>'# Out FF'!B172</f>
        <v>1000</v>
      </c>
      <c r="P172">
        <f>'# Out FF'!C172</f>
        <v>1000</v>
      </c>
      <c r="Q172">
        <f>'# Out FF'!D172</f>
        <v>1000</v>
      </c>
      <c r="R172">
        <f>'# Out FF'!E172</f>
        <v>1000</v>
      </c>
      <c r="S172">
        <f>'# Out FF'!F172</f>
        <v>1000</v>
      </c>
      <c r="T172">
        <f>'# Out FF'!G172</f>
        <v>1000</v>
      </c>
      <c r="U172">
        <f>'# Out FF'!H172</f>
        <v>1000</v>
      </c>
      <c r="V172">
        <f>'# Out FF'!I172</f>
        <v>1000</v>
      </c>
      <c r="W172">
        <f>'# Out FF'!J172</f>
        <v>748</v>
      </c>
      <c r="X172">
        <f>'# Out FF'!K172</f>
        <v>1000</v>
      </c>
      <c r="Y172">
        <f>'# Out FF'!L172</f>
        <v>974.8</v>
      </c>
      <c r="AB172">
        <v>7</v>
      </c>
      <c r="AC172">
        <v>757</v>
      </c>
      <c r="AF172" s="2">
        <f t="shared" si="8"/>
        <v>7.0000000000000001E-3</v>
      </c>
      <c r="AG172">
        <f t="shared" si="9"/>
        <v>0.75700000000000001</v>
      </c>
      <c r="AH172">
        <f t="shared" si="10"/>
        <v>0.67217883422049818</v>
      </c>
      <c r="AI172">
        <f t="shared" si="11"/>
        <v>8.4821165779501828E-2</v>
      </c>
    </row>
    <row r="173" spans="1:35" x14ac:dyDescent="0.35">
      <c r="A173">
        <f>'DNC4 FF'!A173</f>
        <v>170</v>
      </c>
      <c r="B173" t="e">
        <f>'DNC4 FF'!B173</f>
        <v>#REF!</v>
      </c>
      <c r="C173" t="e">
        <f>'DNC4 FF'!C173</f>
        <v>#REF!</v>
      </c>
      <c r="D173" t="e">
        <f>'DNC4 FF'!D173</f>
        <v>#REF!</v>
      </c>
      <c r="E173" t="e">
        <f>'DNC4 FF'!E173</f>
        <v>#REF!</v>
      </c>
      <c r="F173" t="e">
        <f>'DNC4 FF'!F173</f>
        <v>#REF!</v>
      </c>
      <c r="G173" t="e">
        <f>'DNC4 FF'!G173</f>
        <v>#REF!</v>
      </c>
      <c r="H173" t="e">
        <f>'DNC4 FF'!H173</f>
        <v>#REF!</v>
      </c>
      <c r="I173" t="e">
        <f>'DNC4 FF'!I173</f>
        <v>#REF!</v>
      </c>
      <c r="J173">
        <f>'DNC4 FF'!J173</f>
        <v>4</v>
      </c>
      <c r="K173" t="e">
        <f>'DNC4 FF'!K173</f>
        <v>#REF!</v>
      </c>
      <c r="L173" t="e">
        <f>'DNC4 FF'!L173</f>
        <v>#REF!</v>
      </c>
      <c r="N173">
        <f>'# Out FF'!A173</f>
        <v>170</v>
      </c>
      <c r="O173">
        <f>'# Out FF'!B173</f>
        <v>1000</v>
      </c>
      <c r="P173">
        <f>'# Out FF'!C173</f>
        <v>1000</v>
      </c>
      <c r="Q173">
        <f>'# Out FF'!D173</f>
        <v>1000</v>
      </c>
      <c r="R173">
        <f>'# Out FF'!E173</f>
        <v>1000</v>
      </c>
      <c r="S173">
        <f>'# Out FF'!F173</f>
        <v>1000</v>
      </c>
      <c r="T173">
        <f>'# Out FF'!G173</f>
        <v>1000</v>
      </c>
      <c r="U173">
        <f>'# Out FF'!H173</f>
        <v>1000</v>
      </c>
      <c r="V173">
        <f>'# Out FF'!I173</f>
        <v>1000</v>
      </c>
      <c r="W173">
        <f>'# Out FF'!J173</f>
        <v>736</v>
      </c>
      <c r="X173">
        <f>'# Out FF'!K173</f>
        <v>1000</v>
      </c>
      <c r="Y173">
        <f>'# Out FF'!L173</f>
        <v>973.6</v>
      </c>
      <c r="AB173">
        <v>12</v>
      </c>
      <c r="AC173">
        <v>537</v>
      </c>
      <c r="AF173" s="2">
        <f t="shared" si="8"/>
        <v>1.2E-2</v>
      </c>
      <c r="AG173">
        <f t="shared" si="9"/>
        <v>0.53700000000000003</v>
      </c>
      <c r="AH173">
        <f t="shared" si="10"/>
        <v>0.54961851444668564</v>
      </c>
      <c r="AI173">
        <f t="shared" si="11"/>
        <v>-1.2618514446685603E-2</v>
      </c>
    </row>
    <row r="174" spans="1:35" x14ac:dyDescent="0.35">
      <c r="A174">
        <f>'DNC4 FF'!A174</f>
        <v>171</v>
      </c>
      <c r="B174" t="e">
        <f>'DNC4 FF'!B174</f>
        <v>#REF!</v>
      </c>
      <c r="C174" t="e">
        <f>'DNC4 FF'!C174</f>
        <v>#REF!</v>
      </c>
      <c r="D174" t="e">
        <f>'DNC4 FF'!D174</f>
        <v>#REF!</v>
      </c>
      <c r="E174" t="e">
        <f>'DNC4 FF'!E174</f>
        <v>#REF!</v>
      </c>
      <c r="F174" t="e">
        <f>'DNC4 FF'!F174</f>
        <v>#REF!</v>
      </c>
      <c r="G174" t="e">
        <f>'DNC4 FF'!G174</f>
        <v>#REF!</v>
      </c>
      <c r="H174" t="e">
        <f>'DNC4 FF'!H174</f>
        <v>#REF!</v>
      </c>
      <c r="I174" t="e">
        <f>'DNC4 FF'!I174</f>
        <v>#REF!</v>
      </c>
      <c r="J174">
        <f>'DNC4 FF'!J174</f>
        <v>6</v>
      </c>
      <c r="K174" t="e">
        <f>'DNC4 FF'!K174</f>
        <v>#REF!</v>
      </c>
      <c r="L174" t="e">
        <f>'DNC4 FF'!L174</f>
        <v>#REF!</v>
      </c>
      <c r="N174">
        <f>'# Out FF'!A174</f>
        <v>171</v>
      </c>
      <c r="O174">
        <f>'# Out FF'!B174</f>
        <v>1000</v>
      </c>
      <c r="P174">
        <f>'# Out FF'!C174</f>
        <v>1000</v>
      </c>
      <c r="Q174">
        <f>'# Out FF'!D174</f>
        <v>1000</v>
      </c>
      <c r="R174">
        <f>'# Out FF'!E174</f>
        <v>1000</v>
      </c>
      <c r="S174">
        <f>'# Out FF'!F174</f>
        <v>1000</v>
      </c>
      <c r="T174">
        <f>'# Out FF'!G174</f>
        <v>1000</v>
      </c>
      <c r="U174">
        <f>'# Out FF'!H174</f>
        <v>1000</v>
      </c>
      <c r="V174">
        <f>'# Out FF'!I174</f>
        <v>1000</v>
      </c>
      <c r="W174">
        <f>'# Out FF'!J174</f>
        <v>799</v>
      </c>
      <c r="X174">
        <f>'# Out FF'!K174</f>
        <v>1000</v>
      </c>
      <c r="Y174">
        <f>'# Out FF'!L174</f>
        <v>979.9</v>
      </c>
      <c r="AB174">
        <v>6</v>
      </c>
      <c r="AC174">
        <v>720</v>
      </c>
      <c r="AF174" s="2">
        <f t="shared" si="8"/>
        <v>6.0000000000000001E-3</v>
      </c>
      <c r="AG174">
        <f t="shared" si="9"/>
        <v>0.72</v>
      </c>
      <c r="AH174">
        <f t="shared" si="10"/>
        <v>0.69979289534261269</v>
      </c>
      <c r="AI174">
        <f t="shared" si="11"/>
        <v>2.0207104657387287E-2</v>
      </c>
    </row>
    <row r="175" spans="1:35" x14ac:dyDescent="0.35">
      <c r="A175">
        <f>'DNC4 FF'!A175</f>
        <v>172</v>
      </c>
      <c r="B175" t="e">
        <f>'DNC4 FF'!B175</f>
        <v>#REF!</v>
      </c>
      <c r="C175" t="e">
        <f>'DNC4 FF'!C175</f>
        <v>#REF!</v>
      </c>
      <c r="D175" t="e">
        <f>'DNC4 FF'!D175</f>
        <v>#REF!</v>
      </c>
      <c r="E175" t="e">
        <f>'DNC4 FF'!E175</f>
        <v>#REF!</v>
      </c>
      <c r="F175" t="e">
        <f>'DNC4 FF'!F175</f>
        <v>#REF!</v>
      </c>
      <c r="G175" t="e">
        <f>'DNC4 FF'!G175</f>
        <v>#REF!</v>
      </c>
      <c r="H175" t="e">
        <f>'DNC4 FF'!H175</f>
        <v>#REF!</v>
      </c>
      <c r="I175" t="e">
        <f>'DNC4 FF'!I175</f>
        <v>#REF!</v>
      </c>
      <c r="J175">
        <f>'DNC4 FF'!J175</f>
        <v>2</v>
      </c>
      <c r="K175" t="e">
        <f>'DNC4 FF'!K175</f>
        <v>#REF!</v>
      </c>
      <c r="L175" t="e">
        <f>'DNC4 FF'!L175</f>
        <v>#REF!</v>
      </c>
      <c r="N175">
        <f>'# Out FF'!A175</f>
        <v>172</v>
      </c>
      <c r="O175">
        <f>'# Out FF'!B175</f>
        <v>1000</v>
      </c>
      <c r="P175">
        <f>'# Out FF'!C175</f>
        <v>1000</v>
      </c>
      <c r="Q175">
        <f>'# Out FF'!D175</f>
        <v>1000</v>
      </c>
      <c r="R175">
        <f>'# Out FF'!E175</f>
        <v>1000</v>
      </c>
      <c r="S175">
        <f>'# Out FF'!F175</f>
        <v>1000</v>
      </c>
      <c r="T175">
        <f>'# Out FF'!G175</f>
        <v>1000</v>
      </c>
      <c r="U175">
        <f>'# Out FF'!H175</f>
        <v>1000</v>
      </c>
      <c r="V175">
        <f>'# Out FF'!I175</f>
        <v>1000</v>
      </c>
      <c r="W175">
        <f>'# Out FF'!J175</f>
        <v>739</v>
      </c>
      <c r="X175">
        <f>'# Out FF'!K175</f>
        <v>1000</v>
      </c>
      <c r="Y175">
        <f>'# Out FF'!L175</f>
        <v>973.9</v>
      </c>
      <c r="AB175">
        <v>8</v>
      </c>
      <c r="AC175">
        <v>699</v>
      </c>
      <c r="AF175" s="2">
        <f t="shared" si="8"/>
        <v>8.0000000000000002E-3</v>
      </c>
      <c r="AG175">
        <f t="shared" si="9"/>
        <v>0.69899999999999995</v>
      </c>
      <c r="AH175">
        <f t="shared" si="10"/>
        <v>0.64565443316314119</v>
      </c>
      <c r="AI175">
        <f t="shared" si="11"/>
        <v>5.334556683685876E-2</v>
      </c>
    </row>
    <row r="176" spans="1:35" x14ac:dyDescent="0.35">
      <c r="A176">
        <f>'DNC4 FF'!A176</f>
        <v>173</v>
      </c>
      <c r="B176" t="e">
        <f>'DNC4 FF'!B176</f>
        <v>#REF!</v>
      </c>
      <c r="C176" t="e">
        <f>'DNC4 FF'!C176</f>
        <v>#REF!</v>
      </c>
      <c r="D176" t="e">
        <f>'DNC4 FF'!D176</f>
        <v>#REF!</v>
      </c>
      <c r="E176" t="e">
        <f>'DNC4 FF'!E176</f>
        <v>#REF!</v>
      </c>
      <c r="F176" t="e">
        <f>'DNC4 FF'!F176</f>
        <v>#REF!</v>
      </c>
      <c r="G176" t="e">
        <f>'DNC4 FF'!G176</f>
        <v>#REF!</v>
      </c>
      <c r="H176" t="e">
        <f>'DNC4 FF'!H176</f>
        <v>#REF!</v>
      </c>
      <c r="I176" t="e">
        <f>'DNC4 FF'!I176</f>
        <v>#REF!</v>
      </c>
      <c r="J176">
        <f>'DNC4 FF'!J176</f>
        <v>0</v>
      </c>
      <c r="K176" t="e">
        <f>'DNC4 FF'!K176</f>
        <v>#REF!</v>
      </c>
      <c r="L176" t="e">
        <f>'DNC4 FF'!L176</f>
        <v>#REF!</v>
      </c>
      <c r="N176">
        <f>'# Out FF'!A176</f>
        <v>173</v>
      </c>
      <c r="O176">
        <f>'# Out FF'!B176</f>
        <v>1000</v>
      </c>
      <c r="P176">
        <f>'# Out FF'!C176</f>
        <v>1000</v>
      </c>
      <c r="Q176">
        <f>'# Out FF'!D176</f>
        <v>1000</v>
      </c>
      <c r="R176">
        <f>'# Out FF'!E176</f>
        <v>1000</v>
      </c>
      <c r="S176">
        <f>'# Out FF'!F176</f>
        <v>1000</v>
      </c>
      <c r="T176">
        <f>'# Out FF'!G176</f>
        <v>1000</v>
      </c>
      <c r="U176">
        <f>'# Out FF'!H176</f>
        <v>1000</v>
      </c>
      <c r="V176">
        <f>'# Out FF'!I176</f>
        <v>1000</v>
      </c>
      <c r="W176">
        <f>'# Out FF'!J176</f>
        <v>787</v>
      </c>
      <c r="X176">
        <f>'# Out FF'!K176</f>
        <v>1000</v>
      </c>
      <c r="Y176">
        <f>'# Out FF'!L176</f>
        <v>978.7</v>
      </c>
      <c r="AB176">
        <v>6</v>
      </c>
      <c r="AC176">
        <v>722</v>
      </c>
      <c r="AF176" s="2">
        <f t="shared" si="8"/>
        <v>6.0000000000000001E-3</v>
      </c>
      <c r="AG176">
        <f t="shared" si="9"/>
        <v>0.72199999999999998</v>
      </c>
      <c r="AH176">
        <f t="shared" si="10"/>
        <v>0.69979289534261269</v>
      </c>
      <c r="AI176">
        <f t="shared" si="11"/>
        <v>2.2207104657387289E-2</v>
      </c>
    </row>
    <row r="177" spans="1:35" x14ac:dyDescent="0.35">
      <c r="A177">
        <f>'DNC4 FF'!A177</f>
        <v>174</v>
      </c>
      <c r="B177" t="e">
        <f>'DNC4 FF'!B177</f>
        <v>#REF!</v>
      </c>
      <c r="C177" t="e">
        <f>'DNC4 FF'!C177</f>
        <v>#REF!</v>
      </c>
      <c r="D177" t="e">
        <f>'DNC4 FF'!D177</f>
        <v>#REF!</v>
      </c>
      <c r="E177" t="e">
        <f>'DNC4 FF'!E177</f>
        <v>#REF!</v>
      </c>
      <c r="F177" t="e">
        <f>'DNC4 FF'!F177</f>
        <v>#REF!</v>
      </c>
      <c r="G177" t="e">
        <f>'DNC4 FF'!G177</f>
        <v>#REF!</v>
      </c>
      <c r="H177" t="e">
        <f>'DNC4 FF'!H177</f>
        <v>#REF!</v>
      </c>
      <c r="I177" t="e">
        <f>'DNC4 FF'!I177</f>
        <v>#REF!</v>
      </c>
      <c r="J177">
        <f>'DNC4 FF'!J177</f>
        <v>0</v>
      </c>
      <c r="K177" t="e">
        <f>'DNC4 FF'!K177</f>
        <v>#REF!</v>
      </c>
      <c r="L177" t="e">
        <f>'DNC4 FF'!L177</f>
        <v>#REF!</v>
      </c>
      <c r="N177">
        <f>'# Out FF'!A177</f>
        <v>174</v>
      </c>
      <c r="O177">
        <f>'# Out FF'!B177</f>
        <v>1000</v>
      </c>
      <c r="P177">
        <f>'# Out FF'!C177</f>
        <v>1000</v>
      </c>
      <c r="Q177">
        <f>'# Out FF'!D177</f>
        <v>1000</v>
      </c>
      <c r="R177">
        <f>'# Out FF'!E177</f>
        <v>1000</v>
      </c>
      <c r="S177">
        <f>'# Out FF'!F177</f>
        <v>1000</v>
      </c>
      <c r="T177">
        <f>'# Out FF'!G177</f>
        <v>1000</v>
      </c>
      <c r="U177">
        <f>'# Out FF'!H177</f>
        <v>1000</v>
      </c>
      <c r="V177">
        <f>'# Out FF'!I177</f>
        <v>1000</v>
      </c>
      <c r="W177">
        <f>'# Out FF'!J177</f>
        <v>994</v>
      </c>
      <c r="X177">
        <f>'# Out FF'!K177</f>
        <v>1000</v>
      </c>
      <c r="Y177">
        <f>'# Out FF'!L177</f>
        <v>999.4</v>
      </c>
      <c r="AB177">
        <v>5</v>
      </c>
      <c r="AC177">
        <v>532</v>
      </c>
      <c r="AF177" s="2">
        <f t="shared" si="8"/>
        <v>5.0000000000000001E-3</v>
      </c>
      <c r="AG177">
        <f t="shared" si="9"/>
        <v>0.53200000000000003</v>
      </c>
      <c r="AH177">
        <f t="shared" si="10"/>
        <v>0.72854138131245416</v>
      </c>
      <c r="AI177">
        <f t="shared" si="11"/>
        <v>-0.19654138131245413</v>
      </c>
    </row>
    <row r="178" spans="1:35" x14ac:dyDescent="0.35">
      <c r="A178">
        <f>'DNC4 FF'!A178</f>
        <v>175</v>
      </c>
      <c r="B178" t="e">
        <f>'DNC4 FF'!B178</f>
        <v>#REF!</v>
      </c>
      <c r="C178" t="e">
        <f>'DNC4 FF'!C178</f>
        <v>#REF!</v>
      </c>
      <c r="D178" t="e">
        <f>'DNC4 FF'!D178</f>
        <v>#REF!</v>
      </c>
      <c r="E178" t="e">
        <f>'DNC4 FF'!E178</f>
        <v>#REF!</v>
      </c>
      <c r="F178" t="e">
        <f>'DNC4 FF'!F178</f>
        <v>#REF!</v>
      </c>
      <c r="G178" t="e">
        <f>'DNC4 FF'!G178</f>
        <v>#REF!</v>
      </c>
      <c r="H178" t="e">
        <f>'DNC4 FF'!H178</f>
        <v>#REF!</v>
      </c>
      <c r="I178" t="e">
        <f>'DNC4 FF'!I178</f>
        <v>#REF!</v>
      </c>
      <c r="J178">
        <f>'DNC4 FF'!J178</f>
        <v>0</v>
      </c>
      <c r="K178" t="e">
        <f>'DNC4 FF'!K178</f>
        <v>#REF!</v>
      </c>
      <c r="L178" t="e">
        <f>'DNC4 FF'!L178</f>
        <v>#REF!</v>
      </c>
      <c r="N178">
        <f>'# Out FF'!A178</f>
        <v>175</v>
      </c>
      <c r="O178">
        <f>'# Out FF'!B178</f>
        <v>1000</v>
      </c>
      <c r="P178">
        <f>'# Out FF'!C178</f>
        <v>1000</v>
      </c>
      <c r="Q178">
        <f>'# Out FF'!D178</f>
        <v>1000</v>
      </c>
      <c r="R178">
        <f>'# Out FF'!E178</f>
        <v>1000</v>
      </c>
      <c r="S178">
        <f>'# Out FF'!F178</f>
        <v>1000</v>
      </c>
      <c r="T178">
        <f>'# Out FF'!G178</f>
        <v>1000</v>
      </c>
      <c r="U178">
        <f>'# Out FF'!H178</f>
        <v>1000</v>
      </c>
      <c r="V178">
        <f>'# Out FF'!I178</f>
        <v>1000</v>
      </c>
      <c r="W178">
        <f>'# Out FF'!J178</f>
        <v>997</v>
      </c>
      <c r="X178">
        <f>'# Out FF'!K178</f>
        <v>1000</v>
      </c>
      <c r="Y178">
        <f>'# Out FF'!L178</f>
        <v>999.7</v>
      </c>
      <c r="AB178">
        <v>4</v>
      </c>
      <c r="AC178">
        <v>774</v>
      </c>
      <c r="AF178" s="2">
        <f t="shared" si="8"/>
        <v>4.0000000000000001E-3</v>
      </c>
      <c r="AG178">
        <f t="shared" si="9"/>
        <v>0.77400000000000002</v>
      </c>
      <c r="AH178">
        <f t="shared" si="10"/>
        <v>0.75847089591385031</v>
      </c>
      <c r="AI178">
        <f t="shared" si="11"/>
        <v>1.5529104086149714E-2</v>
      </c>
    </row>
    <row r="179" spans="1:35" x14ac:dyDescent="0.35">
      <c r="A179">
        <f>'DNC4 FF'!A179</f>
        <v>176</v>
      </c>
      <c r="B179" t="e">
        <f>'DNC4 FF'!B179</f>
        <v>#REF!</v>
      </c>
      <c r="C179" t="e">
        <f>'DNC4 FF'!C179</f>
        <v>#REF!</v>
      </c>
      <c r="D179" t="e">
        <f>'DNC4 FF'!D179</f>
        <v>#REF!</v>
      </c>
      <c r="E179" t="e">
        <f>'DNC4 FF'!E179</f>
        <v>#REF!</v>
      </c>
      <c r="F179" t="e">
        <f>'DNC4 FF'!F179</f>
        <v>#REF!</v>
      </c>
      <c r="G179" t="e">
        <f>'DNC4 FF'!G179</f>
        <v>#REF!</v>
      </c>
      <c r="H179" t="e">
        <f>'DNC4 FF'!H179</f>
        <v>#REF!</v>
      </c>
      <c r="I179" t="e">
        <f>'DNC4 FF'!I179</f>
        <v>#REF!</v>
      </c>
      <c r="J179">
        <f>'DNC4 FF'!J179</f>
        <v>0</v>
      </c>
      <c r="K179" t="e">
        <f>'DNC4 FF'!K179</f>
        <v>#REF!</v>
      </c>
      <c r="L179" t="e">
        <f>'DNC4 FF'!L179</f>
        <v>#REF!</v>
      </c>
      <c r="N179">
        <f>'# Out FF'!A179</f>
        <v>176</v>
      </c>
      <c r="O179">
        <f>'# Out FF'!B179</f>
        <v>1000</v>
      </c>
      <c r="P179">
        <f>'# Out FF'!C179</f>
        <v>1000</v>
      </c>
      <c r="Q179">
        <f>'# Out FF'!D179</f>
        <v>1000</v>
      </c>
      <c r="R179">
        <f>'# Out FF'!E179</f>
        <v>1000</v>
      </c>
      <c r="S179">
        <f>'# Out FF'!F179</f>
        <v>1000</v>
      </c>
      <c r="T179">
        <f>'# Out FF'!G179</f>
        <v>1000</v>
      </c>
      <c r="U179">
        <f>'# Out FF'!H179</f>
        <v>1000</v>
      </c>
      <c r="V179">
        <f>'# Out FF'!I179</f>
        <v>1000</v>
      </c>
      <c r="W179">
        <f>'# Out FF'!J179</f>
        <v>996</v>
      </c>
      <c r="X179">
        <f>'# Out FF'!K179</f>
        <v>1000</v>
      </c>
      <c r="Y179">
        <f>'# Out FF'!L179</f>
        <v>999.6</v>
      </c>
      <c r="AB179">
        <v>4</v>
      </c>
      <c r="AC179">
        <v>786</v>
      </c>
      <c r="AF179" s="2">
        <f t="shared" si="8"/>
        <v>4.0000000000000001E-3</v>
      </c>
      <c r="AG179">
        <f t="shared" si="9"/>
        <v>0.78600000000000003</v>
      </c>
      <c r="AH179">
        <f t="shared" si="10"/>
        <v>0.75847089591385031</v>
      </c>
      <c r="AI179">
        <f t="shared" si="11"/>
        <v>2.7529104086149725E-2</v>
      </c>
    </row>
    <row r="180" spans="1:35" x14ac:dyDescent="0.35">
      <c r="A180">
        <f>'DNC4 FF'!A180</f>
        <v>177</v>
      </c>
      <c r="B180" t="e">
        <f>'DNC4 FF'!B180</f>
        <v>#REF!</v>
      </c>
      <c r="C180" t="e">
        <f>'DNC4 FF'!C180</f>
        <v>#REF!</v>
      </c>
      <c r="D180" t="e">
        <f>'DNC4 FF'!D180</f>
        <v>#REF!</v>
      </c>
      <c r="E180" t="e">
        <f>'DNC4 FF'!E180</f>
        <v>#REF!</v>
      </c>
      <c r="F180" t="e">
        <f>'DNC4 FF'!F180</f>
        <v>#REF!</v>
      </c>
      <c r="G180" t="e">
        <f>'DNC4 FF'!G180</f>
        <v>#REF!</v>
      </c>
      <c r="H180" t="e">
        <f>'DNC4 FF'!H180</f>
        <v>#REF!</v>
      </c>
      <c r="I180" t="e">
        <f>'DNC4 FF'!I180</f>
        <v>#REF!</v>
      </c>
      <c r="J180">
        <f>'DNC4 FF'!J180</f>
        <v>1</v>
      </c>
      <c r="K180" t="e">
        <f>'DNC4 FF'!K180</f>
        <v>#REF!</v>
      </c>
      <c r="L180" t="e">
        <f>'DNC4 FF'!L180</f>
        <v>#REF!</v>
      </c>
      <c r="N180">
        <f>'# Out FF'!A180</f>
        <v>177</v>
      </c>
      <c r="O180">
        <f>'# Out FF'!B180</f>
        <v>1000</v>
      </c>
      <c r="P180">
        <f>'# Out FF'!C180</f>
        <v>1000</v>
      </c>
      <c r="Q180">
        <f>'# Out FF'!D180</f>
        <v>1000</v>
      </c>
      <c r="R180">
        <f>'# Out FF'!E180</f>
        <v>1000</v>
      </c>
      <c r="S180">
        <f>'# Out FF'!F180</f>
        <v>1000</v>
      </c>
      <c r="T180">
        <f>'# Out FF'!G180</f>
        <v>1000</v>
      </c>
      <c r="U180">
        <f>'# Out FF'!H180</f>
        <v>1000</v>
      </c>
      <c r="V180">
        <f>'# Out FF'!I180</f>
        <v>1000</v>
      </c>
      <c r="W180">
        <f>'# Out FF'!J180</f>
        <v>999</v>
      </c>
      <c r="X180">
        <f>'# Out FF'!K180</f>
        <v>1000</v>
      </c>
      <c r="Y180">
        <f>'# Out FF'!L180</f>
        <v>999.9</v>
      </c>
      <c r="AB180">
        <v>4</v>
      </c>
      <c r="AC180">
        <v>790</v>
      </c>
      <c r="AF180" s="2">
        <f t="shared" si="8"/>
        <v>4.0000000000000001E-3</v>
      </c>
      <c r="AG180">
        <f t="shared" si="9"/>
        <v>0.79</v>
      </c>
      <c r="AH180">
        <f t="shared" si="10"/>
        <v>0.75847089591385031</v>
      </c>
      <c r="AI180">
        <f t="shared" si="11"/>
        <v>3.1529104086149728E-2</v>
      </c>
    </row>
    <row r="181" spans="1:35" x14ac:dyDescent="0.35">
      <c r="A181">
        <f>'DNC4 FF'!A181</f>
        <v>178</v>
      </c>
      <c r="B181" t="e">
        <f>'DNC4 FF'!B181</f>
        <v>#REF!</v>
      </c>
      <c r="C181" t="e">
        <f>'DNC4 FF'!C181</f>
        <v>#REF!</v>
      </c>
      <c r="D181" t="e">
        <f>'DNC4 FF'!D181</f>
        <v>#REF!</v>
      </c>
      <c r="E181" t="e">
        <f>'DNC4 FF'!E181</f>
        <v>#REF!</v>
      </c>
      <c r="F181" t="e">
        <f>'DNC4 FF'!F181</f>
        <v>#REF!</v>
      </c>
      <c r="G181" t="e">
        <f>'DNC4 FF'!G181</f>
        <v>#REF!</v>
      </c>
      <c r="H181" t="e">
        <f>'DNC4 FF'!H181</f>
        <v>#REF!</v>
      </c>
      <c r="I181" t="e">
        <f>'DNC4 FF'!I181</f>
        <v>#REF!</v>
      </c>
      <c r="J181">
        <f>'DNC4 FF'!J181</f>
        <v>1</v>
      </c>
      <c r="K181" t="e">
        <f>'DNC4 FF'!K181</f>
        <v>#REF!</v>
      </c>
      <c r="L181" t="e">
        <f>'DNC4 FF'!L181</f>
        <v>#REF!</v>
      </c>
      <c r="N181">
        <f>'# Out FF'!A181</f>
        <v>178</v>
      </c>
      <c r="O181">
        <f>'# Out FF'!B181</f>
        <v>1000</v>
      </c>
      <c r="P181">
        <f>'# Out FF'!C181</f>
        <v>1000</v>
      </c>
      <c r="Q181">
        <f>'# Out FF'!D181</f>
        <v>1000</v>
      </c>
      <c r="R181">
        <f>'# Out FF'!E181</f>
        <v>1000</v>
      </c>
      <c r="S181">
        <f>'# Out FF'!F181</f>
        <v>1000</v>
      </c>
      <c r="T181">
        <f>'# Out FF'!G181</f>
        <v>1000</v>
      </c>
      <c r="U181">
        <f>'# Out FF'!H181</f>
        <v>1000</v>
      </c>
      <c r="V181">
        <f>'# Out FF'!I181</f>
        <v>1000</v>
      </c>
      <c r="W181">
        <f>'# Out FF'!J181</f>
        <v>786</v>
      </c>
      <c r="X181">
        <f>'# Out FF'!K181</f>
        <v>1000</v>
      </c>
      <c r="Y181">
        <f>'# Out FF'!L181</f>
        <v>978.6</v>
      </c>
      <c r="AB181">
        <v>3</v>
      </c>
      <c r="AC181">
        <v>758</v>
      </c>
      <c r="AF181" s="2">
        <f t="shared" si="8"/>
        <v>3.0000000000000001E-3</v>
      </c>
      <c r="AG181">
        <f t="shared" si="9"/>
        <v>0.75800000000000001</v>
      </c>
      <c r="AH181">
        <f t="shared" si="10"/>
        <v>0.78962995748025411</v>
      </c>
      <c r="AI181">
        <f t="shared" si="11"/>
        <v>-3.1629957480254101E-2</v>
      </c>
    </row>
    <row r="182" spans="1:35" x14ac:dyDescent="0.35">
      <c r="A182">
        <f>'DNC4 FF'!A182</f>
        <v>179</v>
      </c>
      <c r="B182" t="e">
        <f>'DNC4 FF'!B182</f>
        <v>#REF!</v>
      </c>
      <c r="C182" t="e">
        <f>'DNC4 FF'!C182</f>
        <v>#REF!</v>
      </c>
      <c r="D182" t="e">
        <f>'DNC4 FF'!D182</f>
        <v>#REF!</v>
      </c>
      <c r="E182" t="e">
        <f>'DNC4 FF'!E182</f>
        <v>#REF!</v>
      </c>
      <c r="F182" t="e">
        <f>'DNC4 FF'!F182</f>
        <v>#REF!</v>
      </c>
      <c r="G182" t="e">
        <f>'DNC4 FF'!G182</f>
        <v>#REF!</v>
      </c>
      <c r="H182" t="e">
        <f>'DNC4 FF'!H182</f>
        <v>#REF!</v>
      </c>
      <c r="I182" t="e">
        <f>'DNC4 FF'!I182</f>
        <v>#REF!</v>
      </c>
      <c r="J182">
        <f>'DNC4 FF'!J182</f>
        <v>1</v>
      </c>
      <c r="K182" t="e">
        <f>'DNC4 FF'!K182</f>
        <v>#REF!</v>
      </c>
      <c r="L182" t="e">
        <f>'DNC4 FF'!L182</f>
        <v>#REF!</v>
      </c>
      <c r="N182">
        <f>'# Out FF'!A182</f>
        <v>179</v>
      </c>
      <c r="O182">
        <f>'# Out FF'!B182</f>
        <v>1000</v>
      </c>
      <c r="P182">
        <f>'# Out FF'!C182</f>
        <v>1000</v>
      </c>
      <c r="Q182">
        <f>'# Out FF'!D182</f>
        <v>1000</v>
      </c>
      <c r="R182">
        <f>'# Out FF'!E182</f>
        <v>1000</v>
      </c>
      <c r="S182">
        <f>'# Out FF'!F182</f>
        <v>1000</v>
      </c>
      <c r="T182">
        <f>'# Out FF'!G182</f>
        <v>1000</v>
      </c>
      <c r="U182">
        <f>'# Out FF'!H182</f>
        <v>1000</v>
      </c>
      <c r="V182">
        <f>'# Out FF'!I182</f>
        <v>1000</v>
      </c>
      <c r="W182">
        <f>'# Out FF'!J182</f>
        <v>790</v>
      </c>
      <c r="X182">
        <f>'# Out FF'!K182</f>
        <v>1000</v>
      </c>
      <c r="Y182">
        <f>'# Out FF'!L182</f>
        <v>979</v>
      </c>
      <c r="AB182">
        <v>5</v>
      </c>
      <c r="AC182">
        <v>535</v>
      </c>
      <c r="AF182" s="2">
        <f t="shared" si="8"/>
        <v>5.0000000000000001E-3</v>
      </c>
      <c r="AG182">
        <f t="shared" si="9"/>
        <v>0.53500000000000003</v>
      </c>
      <c r="AH182">
        <f t="shared" si="10"/>
        <v>0.72854138131245416</v>
      </c>
      <c r="AI182">
        <f t="shared" si="11"/>
        <v>-0.19354138131245413</v>
      </c>
    </row>
    <row r="183" spans="1:35" x14ac:dyDescent="0.35">
      <c r="A183">
        <f>'DNC4 FF'!A183</f>
        <v>180</v>
      </c>
      <c r="B183" t="e">
        <f>'DNC4 FF'!B183</f>
        <v>#REF!</v>
      </c>
      <c r="C183" t="e">
        <f>'DNC4 FF'!C183</f>
        <v>#REF!</v>
      </c>
      <c r="D183" t="e">
        <f>'DNC4 FF'!D183</f>
        <v>#REF!</v>
      </c>
      <c r="E183" t="e">
        <f>'DNC4 FF'!E183</f>
        <v>#REF!</v>
      </c>
      <c r="F183" t="e">
        <f>'DNC4 FF'!F183</f>
        <v>#REF!</v>
      </c>
      <c r="G183" t="e">
        <f>'DNC4 FF'!G183</f>
        <v>#REF!</v>
      </c>
      <c r="H183" t="e">
        <f>'DNC4 FF'!H183</f>
        <v>#REF!</v>
      </c>
      <c r="I183" t="e">
        <f>'DNC4 FF'!I183</f>
        <v>#REF!</v>
      </c>
      <c r="J183">
        <f>'DNC4 FF'!J183</f>
        <v>2</v>
      </c>
      <c r="K183" t="e">
        <f>'DNC4 FF'!K183</f>
        <v>#REF!</v>
      </c>
      <c r="L183" t="e">
        <f>'DNC4 FF'!L183</f>
        <v>#REF!</v>
      </c>
      <c r="N183">
        <f>'# Out FF'!A183</f>
        <v>180</v>
      </c>
      <c r="O183">
        <f>'# Out FF'!B183</f>
        <v>1000</v>
      </c>
      <c r="P183">
        <f>'# Out FF'!C183</f>
        <v>1000</v>
      </c>
      <c r="Q183">
        <f>'# Out FF'!D183</f>
        <v>1000</v>
      </c>
      <c r="R183">
        <f>'# Out FF'!E183</f>
        <v>1000</v>
      </c>
      <c r="S183">
        <f>'# Out FF'!F183</f>
        <v>1000</v>
      </c>
      <c r="T183">
        <f>'# Out FF'!G183</f>
        <v>1000</v>
      </c>
      <c r="U183">
        <f>'# Out FF'!H183</f>
        <v>1000</v>
      </c>
      <c r="V183">
        <f>'# Out FF'!I183</f>
        <v>1000</v>
      </c>
      <c r="W183">
        <f>'# Out FF'!J183</f>
        <v>794</v>
      </c>
      <c r="X183">
        <f>'# Out FF'!K183</f>
        <v>1000</v>
      </c>
      <c r="Y183">
        <f>'# Out FF'!L183</f>
        <v>979.4</v>
      </c>
      <c r="AB183">
        <v>4</v>
      </c>
      <c r="AC183">
        <v>781</v>
      </c>
      <c r="AF183" s="2">
        <f t="shared" si="8"/>
        <v>4.0000000000000001E-3</v>
      </c>
      <c r="AG183">
        <f t="shared" si="9"/>
        <v>0.78100000000000003</v>
      </c>
      <c r="AH183">
        <f t="shared" si="10"/>
        <v>0.75847089591385031</v>
      </c>
      <c r="AI183">
        <f t="shared" si="11"/>
        <v>2.252910408614972E-2</v>
      </c>
    </row>
    <row r="184" spans="1:35" x14ac:dyDescent="0.35">
      <c r="A184">
        <f>'DNC4 FF'!A184</f>
        <v>181</v>
      </c>
      <c r="B184" t="e">
        <f>'DNC4 FF'!B184</f>
        <v>#REF!</v>
      </c>
      <c r="C184" t="e">
        <f>'DNC4 FF'!C184</f>
        <v>#REF!</v>
      </c>
      <c r="D184" t="e">
        <f>'DNC4 FF'!D184</f>
        <v>#REF!</v>
      </c>
      <c r="E184" t="e">
        <f>'DNC4 FF'!E184</f>
        <v>#REF!</v>
      </c>
      <c r="F184" t="e">
        <f>'DNC4 FF'!F184</f>
        <v>#REF!</v>
      </c>
      <c r="G184" t="e">
        <f>'DNC4 FF'!G184</f>
        <v>#REF!</v>
      </c>
      <c r="H184" t="e">
        <f>'DNC4 FF'!H184</f>
        <v>#REF!</v>
      </c>
      <c r="I184" t="e">
        <f>'DNC4 FF'!I184</f>
        <v>#REF!</v>
      </c>
      <c r="J184">
        <f>'DNC4 FF'!J184</f>
        <v>0</v>
      </c>
      <c r="K184" t="e">
        <f>'DNC4 FF'!K184</f>
        <v>#REF!</v>
      </c>
      <c r="L184" t="e">
        <f>'DNC4 FF'!L184</f>
        <v>#REF!</v>
      </c>
      <c r="N184">
        <f>'# Out FF'!A184</f>
        <v>181</v>
      </c>
      <c r="O184">
        <f>'# Out FF'!B184</f>
        <v>1000</v>
      </c>
      <c r="P184">
        <f>'# Out FF'!C184</f>
        <v>1000</v>
      </c>
      <c r="Q184">
        <f>'# Out FF'!D184</f>
        <v>1000</v>
      </c>
      <c r="R184">
        <f>'# Out FF'!E184</f>
        <v>1000</v>
      </c>
      <c r="S184">
        <f>'# Out FF'!F184</f>
        <v>1000</v>
      </c>
      <c r="T184">
        <f>'# Out FF'!G184</f>
        <v>1000</v>
      </c>
      <c r="U184">
        <f>'# Out FF'!H184</f>
        <v>1000</v>
      </c>
      <c r="V184">
        <f>'# Out FF'!I184</f>
        <v>1000</v>
      </c>
      <c r="W184">
        <f>'# Out FF'!J184</f>
        <v>789</v>
      </c>
      <c r="X184">
        <f>'# Out FF'!K184</f>
        <v>1000</v>
      </c>
      <c r="Y184">
        <f>'# Out FF'!L184</f>
        <v>978.9</v>
      </c>
      <c r="AB184">
        <v>7</v>
      </c>
      <c r="AC184">
        <v>760</v>
      </c>
      <c r="AF184" s="2">
        <f t="shared" si="8"/>
        <v>7.0000000000000001E-3</v>
      </c>
      <c r="AG184">
        <f t="shared" si="9"/>
        <v>0.76</v>
      </c>
      <c r="AH184">
        <f t="shared" si="10"/>
        <v>0.67217883422049818</v>
      </c>
      <c r="AI184">
        <f t="shared" si="11"/>
        <v>8.7821165779501831E-2</v>
      </c>
    </row>
    <row r="185" spans="1:35" x14ac:dyDescent="0.35">
      <c r="A185">
        <f>'DNC4 FF'!A185</f>
        <v>182</v>
      </c>
      <c r="B185" t="e">
        <f>'DNC4 FF'!B185</f>
        <v>#REF!</v>
      </c>
      <c r="C185" t="e">
        <f>'DNC4 FF'!C185</f>
        <v>#REF!</v>
      </c>
      <c r="D185" t="e">
        <f>'DNC4 FF'!D185</f>
        <v>#REF!</v>
      </c>
      <c r="E185" t="e">
        <f>'DNC4 FF'!E185</f>
        <v>#REF!</v>
      </c>
      <c r="F185" t="e">
        <f>'DNC4 FF'!F185</f>
        <v>#REF!</v>
      </c>
      <c r="G185" t="e">
        <f>'DNC4 FF'!G185</f>
        <v>#REF!</v>
      </c>
      <c r="H185" t="e">
        <f>'DNC4 FF'!H185</f>
        <v>#REF!</v>
      </c>
      <c r="I185" t="e">
        <f>'DNC4 FF'!I185</f>
        <v>#REF!</v>
      </c>
      <c r="J185">
        <f>'DNC4 FF'!J185</f>
        <v>1</v>
      </c>
      <c r="K185" t="e">
        <f>'DNC4 FF'!K185</f>
        <v>#REF!</v>
      </c>
      <c r="L185" t="e">
        <f>'DNC4 FF'!L185</f>
        <v>#REF!</v>
      </c>
      <c r="N185">
        <f>'# Out FF'!A185</f>
        <v>182</v>
      </c>
      <c r="O185">
        <f>'# Out FF'!B185</f>
        <v>1000</v>
      </c>
      <c r="P185">
        <f>'# Out FF'!C185</f>
        <v>1000</v>
      </c>
      <c r="Q185">
        <f>'# Out FF'!D185</f>
        <v>1000</v>
      </c>
      <c r="R185">
        <f>'# Out FF'!E185</f>
        <v>1000</v>
      </c>
      <c r="S185">
        <f>'# Out FF'!F185</f>
        <v>1000</v>
      </c>
      <c r="T185">
        <f>'# Out FF'!G185</f>
        <v>1000</v>
      </c>
      <c r="U185">
        <f>'# Out FF'!H185</f>
        <v>1000</v>
      </c>
      <c r="V185">
        <f>'# Out FF'!I185</f>
        <v>1000</v>
      </c>
      <c r="W185">
        <f>'# Out FF'!J185</f>
        <v>993</v>
      </c>
      <c r="X185">
        <f>'# Out FF'!K185</f>
        <v>1000</v>
      </c>
      <c r="Y185">
        <f>'# Out FF'!L185</f>
        <v>999.3</v>
      </c>
      <c r="AB185">
        <v>5</v>
      </c>
      <c r="AC185">
        <v>534</v>
      </c>
      <c r="AF185" s="2">
        <f t="shared" si="8"/>
        <v>5.0000000000000001E-3</v>
      </c>
      <c r="AG185">
        <f t="shared" si="9"/>
        <v>0.53400000000000003</v>
      </c>
      <c r="AH185">
        <f t="shared" si="10"/>
        <v>0.72854138131245416</v>
      </c>
      <c r="AI185">
        <f t="shared" si="11"/>
        <v>-0.19454138131245413</v>
      </c>
    </row>
    <row r="186" spans="1:35" x14ac:dyDescent="0.35">
      <c r="A186">
        <f>'DNC4 FF'!A186</f>
        <v>183</v>
      </c>
      <c r="B186" t="e">
        <f>'DNC4 FF'!B186</f>
        <v>#REF!</v>
      </c>
      <c r="C186" t="e">
        <f>'DNC4 FF'!C186</f>
        <v>#REF!</v>
      </c>
      <c r="D186" t="e">
        <f>'DNC4 FF'!D186</f>
        <v>#REF!</v>
      </c>
      <c r="E186" t="e">
        <f>'DNC4 FF'!E186</f>
        <v>#REF!</v>
      </c>
      <c r="F186" t="e">
        <f>'DNC4 FF'!F186</f>
        <v>#REF!</v>
      </c>
      <c r="G186" t="e">
        <f>'DNC4 FF'!G186</f>
        <v>#REF!</v>
      </c>
      <c r="H186" t="e">
        <f>'DNC4 FF'!H186</f>
        <v>#REF!</v>
      </c>
      <c r="I186" t="e">
        <f>'DNC4 FF'!I186</f>
        <v>#REF!</v>
      </c>
      <c r="J186">
        <f>'DNC4 FF'!J186</f>
        <v>1</v>
      </c>
      <c r="K186" t="e">
        <f>'DNC4 FF'!K186</f>
        <v>#REF!</v>
      </c>
      <c r="L186" t="e">
        <f>'DNC4 FF'!L186</f>
        <v>#REF!</v>
      </c>
      <c r="N186">
        <f>'# Out FF'!A186</f>
        <v>183</v>
      </c>
      <c r="O186">
        <f>'# Out FF'!B186</f>
        <v>1000</v>
      </c>
      <c r="P186">
        <f>'# Out FF'!C186</f>
        <v>1000</v>
      </c>
      <c r="Q186">
        <f>'# Out FF'!D186</f>
        <v>1000</v>
      </c>
      <c r="R186">
        <f>'# Out FF'!E186</f>
        <v>1000</v>
      </c>
      <c r="S186">
        <f>'# Out FF'!F186</f>
        <v>1000</v>
      </c>
      <c r="T186">
        <f>'# Out FF'!G186</f>
        <v>1000</v>
      </c>
      <c r="U186">
        <f>'# Out FF'!H186</f>
        <v>1000</v>
      </c>
      <c r="V186">
        <f>'# Out FF'!I186</f>
        <v>1000</v>
      </c>
      <c r="W186">
        <f>'# Out FF'!J186</f>
        <v>783</v>
      </c>
      <c r="X186">
        <f>'# Out FF'!K186</f>
        <v>1000</v>
      </c>
      <c r="Y186">
        <f>'# Out FF'!L186</f>
        <v>978.3</v>
      </c>
      <c r="AB186">
        <v>3</v>
      </c>
      <c r="AC186">
        <v>761</v>
      </c>
      <c r="AF186" s="2">
        <f t="shared" si="8"/>
        <v>3.0000000000000001E-3</v>
      </c>
      <c r="AG186">
        <f t="shared" si="9"/>
        <v>0.76100000000000001</v>
      </c>
      <c r="AH186">
        <f t="shared" si="10"/>
        <v>0.78962995748025411</v>
      </c>
      <c r="AI186">
        <f t="shared" si="11"/>
        <v>-2.8629957480254098E-2</v>
      </c>
    </row>
    <row r="187" spans="1:35" x14ac:dyDescent="0.35">
      <c r="A187">
        <f>'DNC4 FF'!A187</f>
        <v>184</v>
      </c>
      <c r="B187" t="e">
        <f>'DNC4 FF'!B187</f>
        <v>#REF!</v>
      </c>
      <c r="C187" t="e">
        <f>'DNC4 FF'!C187</f>
        <v>#REF!</v>
      </c>
      <c r="D187" t="e">
        <f>'DNC4 FF'!D187</f>
        <v>#REF!</v>
      </c>
      <c r="E187" t="e">
        <f>'DNC4 FF'!E187</f>
        <v>#REF!</v>
      </c>
      <c r="F187" t="e">
        <f>'DNC4 FF'!F187</f>
        <v>#REF!</v>
      </c>
      <c r="G187" t="e">
        <f>'DNC4 FF'!G187</f>
        <v>#REF!</v>
      </c>
      <c r="H187" t="e">
        <f>'DNC4 FF'!H187</f>
        <v>#REF!</v>
      </c>
      <c r="I187" t="e">
        <f>'DNC4 FF'!I187</f>
        <v>#REF!</v>
      </c>
      <c r="J187">
        <f>'DNC4 FF'!J187</f>
        <v>0</v>
      </c>
      <c r="K187" t="e">
        <f>'DNC4 FF'!K187</f>
        <v>#REF!</v>
      </c>
      <c r="L187" t="e">
        <f>'DNC4 FF'!L187</f>
        <v>#REF!</v>
      </c>
      <c r="N187">
        <f>'# Out FF'!A187</f>
        <v>184</v>
      </c>
      <c r="O187">
        <f>'# Out FF'!B187</f>
        <v>1000</v>
      </c>
      <c r="P187">
        <f>'# Out FF'!C187</f>
        <v>1000</v>
      </c>
      <c r="Q187">
        <f>'# Out FF'!D187</f>
        <v>1000</v>
      </c>
      <c r="R187">
        <f>'# Out FF'!E187</f>
        <v>1000</v>
      </c>
      <c r="S187">
        <f>'# Out FF'!F187</f>
        <v>1000</v>
      </c>
      <c r="T187">
        <f>'# Out FF'!G187</f>
        <v>1000</v>
      </c>
      <c r="U187">
        <f>'# Out FF'!H187</f>
        <v>1000</v>
      </c>
      <c r="V187">
        <f>'# Out FF'!I187</f>
        <v>1000</v>
      </c>
      <c r="W187">
        <f>'# Out FF'!J187</f>
        <v>790</v>
      </c>
      <c r="X187">
        <f>'# Out FF'!K187</f>
        <v>1000</v>
      </c>
      <c r="Y187">
        <f>'# Out FF'!L187</f>
        <v>979</v>
      </c>
      <c r="AB187">
        <v>2</v>
      </c>
      <c r="AC187">
        <v>763</v>
      </c>
      <c r="AF187" s="2">
        <f t="shared" si="8"/>
        <v>2E-3</v>
      </c>
      <c r="AG187">
        <f t="shared" si="9"/>
        <v>0.76300000000000001</v>
      </c>
      <c r="AH187">
        <f t="shared" si="10"/>
        <v>0.82206907754716119</v>
      </c>
      <c r="AI187">
        <f t="shared" si="11"/>
        <v>-5.9069077547161175E-2</v>
      </c>
    </row>
    <row r="188" spans="1:35" x14ac:dyDescent="0.35">
      <c r="A188">
        <f>'DNC4 FF'!A188</f>
        <v>185</v>
      </c>
      <c r="B188" t="e">
        <f>'DNC4 FF'!B188</f>
        <v>#REF!</v>
      </c>
      <c r="C188" t="e">
        <f>'DNC4 FF'!C188</f>
        <v>#REF!</v>
      </c>
      <c r="D188" t="e">
        <f>'DNC4 FF'!D188</f>
        <v>#REF!</v>
      </c>
      <c r="E188" t="e">
        <f>'DNC4 FF'!E188</f>
        <v>#REF!</v>
      </c>
      <c r="F188" t="e">
        <f>'DNC4 FF'!F188</f>
        <v>#REF!</v>
      </c>
      <c r="G188" t="e">
        <f>'DNC4 FF'!G188</f>
        <v>#REF!</v>
      </c>
      <c r="H188" t="e">
        <f>'DNC4 FF'!H188</f>
        <v>#REF!</v>
      </c>
      <c r="I188" t="e">
        <f>'DNC4 FF'!I188</f>
        <v>#REF!</v>
      </c>
      <c r="J188">
        <f>'DNC4 FF'!J188</f>
        <v>2</v>
      </c>
      <c r="K188" t="e">
        <f>'DNC4 FF'!K188</f>
        <v>#REF!</v>
      </c>
      <c r="L188" t="e">
        <f>'DNC4 FF'!L188</f>
        <v>#REF!</v>
      </c>
      <c r="N188">
        <f>'# Out FF'!A188</f>
        <v>185</v>
      </c>
      <c r="O188">
        <f>'# Out FF'!B188</f>
        <v>1000</v>
      </c>
      <c r="P188">
        <f>'# Out FF'!C188</f>
        <v>1000</v>
      </c>
      <c r="Q188">
        <f>'# Out FF'!D188</f>
        <v>1000</v>
      </c>
      <c r="R188">
        <f>'# Out FF'!E188</f>
        <v>1000</v>
      </c>
      <c r="S188">
        <f>'# Out FF'!F188</f>
        <v>1000</v>
      </c>
      <c r="T188">
        <f>'# Out FF'!G188</f>
        <v>1000</v>
      </c>
      <c r="U188">
        <f>'# Out FF'!H188</f>
        <v>1000</v>
      </c>
      <c r="V188">
        <f>'# Out FF'!I188</f>
        <v>1000</v>
      </c>
      <c r="W188">
        <f>'# Out FF'!J188</f>
        <v>994</v>
      </c>
      <c r="X188">
        <f>'# Out FF'!K188</f>
        <v>1000</v>
      </c>
      <c r="Y188">
        <f>'# Out FF'!L188</f>
        <v>999.4</v>
      </c>
      <c r="AB188">
        <v>2</v>
      </c>
      <c r="AC188">
        <v>771</v>
      </c>
      <c r="AF188" s="2">
        <f t="shared" si="8"/>
        <v>2E-3</v>
      </c>
      <c r="AG188">
        <f t="shared" si="9"/>
        <v>0.77100000000000002</v>
      </c>
      <c r="AH188">
        <f t="shared" si="10"/>
        <v>0.82206907754716119</v>
      </c>
      <c r="AI188">
        <f t="shared" si="11"/>
        <v>-5.1069077547161168E-2</v>
      </c>
    </row>
    <row r="189" spans="1:35" x14ac:dyDescent="0.35">
      <c r="A189">
        <f>'DNC4 FF'!A189</f>
        <v>186</v>
      </c>
      <c r="B189" t="e">
        <f>'DNC4 FF'!B189</f>
        <v>#REF!</v>
      </c>
      <c r="C189" t="e">
        <f>'DNC4 FF'!C189</f>
        <v>#REF!</v>
      </c>
      <c r="D189" t="e">
        <f>'DNC4 FF'!D189</f>
        <v>#REF!</v>
      </c>
      <c r="E189" t="e">
        <f>'DNC4 FF'!E189</f>
        <v>#REF!</v>
      </c>
      <c r="F189" t="e">
        <f>'DNC4 FF'!F189</f>
        <v>#REF!</v>
      </c>
      <c r="G189" t="e">
        <f>'DNC4 FF'!G189</f>
        <v>#REF!</v>
      </c>
      <c r="H189" t="e">
        <f>'DNC4 FF'!H189</f>
        <v>#REF!</v>
      </c>
      <c r="I189" t="e">
        <f>'DNC4 FF'!I189</f>
        <v>#REF!</v>
      </c>
      <c r="J189">
        <f>'DNC4 FF'!J189</f>
        <v>1</v>
      </c>
      <c r="K189" t="e">
        <f>'DNC4 FF'!K189</f>
        <v>#REF!</v>
      </c>
      <c r="L189" t="e">
        <f>'DNC4 FF'!L189</f>
        <v>#REF!</v>
      </c>
      <c r="N189">
        <f>'# Out FF'!A189</f>
        <v>186</v>
      </c>
      <c r="O189">
        <f>'# Out FF'!B189</f>
        <v>1000</v>
      </c>
      <c r="P189">
        <f>'# Out FF'!C189</f>
        <v>1000</v>
      </c>
      <c r="Q189">
        <f>'# Out FF'!D189</f>
        <v>1000</v>
      </c>
      <c r="R189">
        <f>'# Out FF'!E189</f>
        <v>1000</v>
      </c>
      <c r="S189">
        <f>'# Out FF'!F189</f>
        <v>1000</v>
      </c>
      <c r="T189">
        <f>'# Out FF'!G189</f>
        <v>1000</v>
      </c>
      <c r="U189">
        <f>'# Out FF'!H189</f>
        <v>1000</v>
      </c>
      <c r="V189">
        <f>'# Out FF'!I189</f>
        <v>1000</v>
      </c>
      <c r="W189">
        <f>'# Out FF'!J189</f>
        <v>788</v>
      </c>
      <c r="X189">
        <f>'# Out FF'!K189</f>
        <v>1000</v>
      </c>
      <c r="Y189">
        <f>'# Out FF'!L189</f>
        <v>978.8</v>
      </c>
      <c r="AB189">
        <v>0</v>
      </c>
      <c r="AC189">
        <v>993</v>
      </c>
      <c r="AF189" s="2">
        <f t="shared" si="8"/>
        <v>0</v>
      </c>
      <c r="AG189">
        <f t="shared" si="9"/>
        <v>0.99299999999999999</v>
      </c>
      <c r="AH189">
        <f t="shared" si="10"/>
        <v>0.89100000000000001</v>
      </c>
      <c r="AI189">
        <f t="shared" si="11"/>
        <v>0.10199999999999998</v>
      </c>
    </row>
    <row r="190" spans="1:35" x14ac:dyDescent="0.35">
      <c r="A190">
        <f>'DNC4 FF'!A190</f>
        <v>187</v>
      </c>
      <c r="B190" t="e">
        <f>'DNC4 FF'!B190</f>
        <v>#REF!</v>
      </c>
      <c r="C190" t="e">
        <f>'DNC4 FF'!C190</f>
        <v>#REF!</v>
      </c>
      <c r="D190" t="e">
        <f>'DNC4 FF'!D190</f>
        <v>#REF!</v>
      </c>
      <c r="E190" t="e">
        <f>'DNC4 FF'!E190</f>
        <v>#REF!</v>
      </c>
      <c r="F190" t="e">
        <f>'DNC4 FF'!F190</f>
        <v>#REF!</v>
      </c>
      <c r="G190" t="e">
        <f>'DNC4 FF'!G190</f>
        <v>#REF!</v>
      </c>
      <c r="H190" t="e">
        <f>'DNC4 FF'!H190</f>
        <v>#REF!</v>
      </c>
      <c r="I190" t="e">
        <f>'DNC4 FF'!I190</f>
        <v>#REF!</v>
      </c>
      <c r="J190">
        <f>'DNC4 FF'!J190</f>
        <v>1</v>
      </c>
      <c r="K190" t="e">
        <f>'DNC4 FF'!K190</f>
        <v>#REF!</v>
      </c>
      <c r="L190" t="e">
        <f>'DNC4 FF'!L190</f>
        <v>#REF!</v>
      </c>
      <c r="N190">
        <f>'# Out FF'!A190</f>
        <v>187</v>
      </c>
      <c r="O190">
        <f>'# Out FF'!B190</f>
        <v>1000</v>
      </c>
      <c r="P190">
        <f>'# Out FF'!C190</f>
        <v>1000</v>
      </c>
      <c r="Q190">
        <f>'# Out FF'!D190</f>
        <v>1000</v>
      </c>
      <c r="R190">
        <f>'# Out FF'!E190</f>
        <v>1000</v>
      </c>
      <c r="S190">
        <f>'# Out FF'!F190</f>
        <v>1000</v>
      </c>
      <c r="T190">
        <f>'# Out FF'!G190</f>
        <v>1000</v>
      </c>
      <c r="U190">
        <f>'# Out FF'!H190</f>
        <v>1000</v>
      </c>
      <c r="V190">
        <f>'# Out FF'!I190</f>
        <v>1000</v>
      </c>
      <c r="W190">
        <f>'# Out FF'!J190</f>
        <v>786</v>
      </c>
      <c r="X190">
        <f>'# Out FF'!K190</f>
        <v>1000</v>
      </c>
      <c r="Y190">
        <f>'# Out FF'!L190</f>
        <v>978.6</v>
      </c>
      <c r="AB190">
        <v>2</v>
      </c>
      <c r="AC190">
        <v>775</v>
      </c>
      <c r="AF190" s="2">
        <f t="shared" si="8"/>
        <v>2E-3</v>
      </c>
      <c r="AG190">
        <f t="shared" si="9"/>
        <v>0.77500000000000002</v>
      </c>
      <c r="AH190">
        <f t="shared" si="10"/>
        <v>0.82206907754716119</v>
      </c>
      <c r="AI190">
        <f t="shared" si="11"/>
        <v>-4.7069077547161164E-2</v>
      </c>
    </row>
    <row r="191" spans="1:35" x14ac:dyDescent="0.35">
      <c r="A191">
        <f>'DNC4 FF'!A191</f>
        <v>188</v>
      </c>
      <c r="B191" t="e">
        <f>'DNC4 FF'!B191</f>
        <v>#REF!</v>
      </c>
      <c r="C191" t="e">
        <f>'DNC4 FF'!C191</f>
        <v>#REF!</v>
      </c>
      <c r="D191" t="e">
        <f>'DNC4 FF'!D191</f>
        <v>#REF!</v>
      </c>
      <c r="E191" t="e">
        <f>'DNC4 FF'!E191</f>
        <v>#REF!</v>
      </c>
      <c r="F191" t="e">
        <f>'DNC4 FF'!F191</f>
        <v>#REF!</v>
      </c>
      <c r="G191" t="e">
        <f>'DNC4 FF'!G191</f>
        <v>#REF!</v>
      </c>
      <c r="H191" t="e">
        <f>'DNC4 FF'!H191</f>
        <v>#REF!</v>
      </c>
      <c r="I191" t="e">
        <f>'DNC4 FF'!I191</f>
        <v>#REF!</v>
      </c>
      <c r="J191">
        <f>'DNC4 FF'!J191</f>
        <v>1</v>
      </c>
      <c r="K191" t="e">
        <f>'DNC4 FF'!K191</f>
        <v>#REF!</v>
      </c>
      <c r="L191" t="e">
        <f>'DNC4 FF'!L191</f>
        <v>#REF!</v>
      </c>
      <c r="N191">
        <f>'# Out FF'!A191</f>
        <v>188</v>
      </c>
      <c r="O191">
        <f>'# Out FF'!B191</f>
        <v>1000</v>
      </c>
      <c r="P191">
        <f>'# Out FF'!C191</f>
        <v>1000</v>
      </c>
      <c r="Q191">
        <f>'# Out FF'!D191</f>
        <v>1000</v>
      </c>
      <c r="R191">
        <f>'# Out FF'!E191</f>
        <v>1000</v>
      </c>
      <c r="S191">
        <f>'# Out FF'!F191</f>
        <v>1000</v>
      </c>
      <c r="T191">
        <f>'# Out FF'!G191</f>
        <v>1000</v>
      </c>
      <c r="U191">
        <f>'# Out FF'!H191</f>
        <v>1000</v>
      </c>
      <c r="V191">
        <f>'# Out FF'!I191</f>
        <v>1000</v>
      </c>
      <c r="W191">
        <f>'# Out FF'!J191</f>
        <v>779</v>
      </c>
      <c r="X191">
        <f>'# Out FF'!K191</f>
        <v>1000</v>
      </c>
      <c r="Y191">
        <f>'# Out FF'!L191</f>
        <v>977.9</v>
      </c>
      <c r="AB191">
        <v>0</v>
      </c>
      <c r="AC191">
        <v>992</v>
      </c>
      <c r="AF191" s="2">
        <f t="shared" si="8"/>
        <v>0</v>
      </c>
      <c r="AG191">
        <f t="shared" si="9"/>
        <v>0.99199999999999999</v>
      </c>
      <c r="AH191">
        <f t="shared" si="10"/>
        <v>0.89100000000000001</v>
      </c>
      <c r="AI191">
        <f t="shared" si="11"/>
        <v>0.10099999999999998</v>
      </c>
    </row>
    <row r="192" spans="1:35" x14ac:dyDescent="0.35">
      <c r="A192">
        <f>'DNC4 FF'!A192</f>
        <v>189</v>
      </c>
      <c r="B192" t="e">
        <f>'DNC4 FF'!B192</f>
        <v>#REF!</v>
      </c>
      <c r="C192" t="e">
        <f>'DNC4 FF'!C192</f>
        <v>#REF!</v>
      </c>
      <c r="D192" t="e">
        <f>'DNC4 FF'!D192</f>
        <v>#REF!</v>
      </c>
      <c r="E192" t="e">
        <f>'DNC4 FF'!E192</f>
        <v>#REF!</v>
      </c>
      <c r="F192" t="e">
        <f>'DNC4 FF'!F192</f>
        <v>#REF!</v>
      </c>
      <c r="G192" t="e">
        <f>'DNC4 FF'!G192</f>
        <v>#REF!</v>
      </c>
      <c r="H192" t="e">
        <f>'DNC4 FF'!H192</f>
        <v>#REF!</v>
      </c>
      <c r="I192" t="e">
        <f>'DNC4 FF'!I192</f>
        <v>#REF!</v>
      </c>
      <c r="J192">
        <f>'DNC4 FF'!J192</f>
        <v>2</v>
      </c>
      <c r="K192" t="e">
        <f>'DNC4 FF'!K192</f>
        <v>#REF!</v>
      </c>
      <c r="L192" t="e">
        <f>'DNC4 FF'!L192</f>
        <v>#REF!</v>
      </c>
      <c r="N192">
        <f>'# Out FF'!A192</f>
        <v>189</v>
      </c>
      <c r="O192">
        <f>'# Out FF'!B192</f>
        <v>1000</v>
      </c>
      <c r="P192">
        <f>'# Out FF'!C192</f>
        <v>1000</v>
      </c>
      <c r="Q192">
        <f>'# Out FF'!D192</f>
        <v>1000</v>
      </c>
      <c r="R192">
        <f>'# Out FF'!E192</f>
        <v>1000</v>
      </c>
      <c r="S192">
        <f>'# Out FF'!F192</f>
        <v>1000</v>
      </c>
      <c r="T192">
        <f>'# Out FF'!G192</f>
        <v>1000</v>
      </c>
      <c r="U192">
        <f>'# Out FF'!H192</f>
        <v>1000</v>
      </c>
      <c r="V192">
        <f>'# Out FF'!I192</f>
        <v>1000</v>
      </c>
      <c r="W192">
        <f>'# Out FF'!J192</f>
        <v>772</v>
      </c>
      <c r="X192">
        <f>'# Out FF'!K192</f>
        <v>1000</v>
      </c>
      <c r="Y192">
        <f>'# Out FF'!L192</f>
        <v>977.2</v>
      </c>
      <c r="AB192">
        <v>2</v>
      </c>
      <c r="AC192">
        <v>767</v>
      </c>
      <c r="AF192" s="2">
        <f t="shared" si="8"/>
        <v>2E-3</v>
      </c>
      <c r="AG192">
        <f t="shared" si="9"/>
        <v>0.76700000000000002</v>
      </c>
      <c r="AH192">
        <f t="shared" si="10"/>
        <v>0.82206907754716119</v>
      </c>
      <c r="AI192">
        <f t="shared" si="11"/>
        <v>-5.5069077547161172E-2</v>
      </c>
    </row>
    <row r="193" spans="1:35" x14ac:dyDescent="0.35">
      <c r="A193">
        <f>'DNC4 FF'!A193</f>
        <v>190</v>
      </c>
      <c r="B193" t="e">
        <f>'DNC4 FF'!B193</f>
        <v>#REF!</v>
      </c>
      <c r="C193" t="e">
        <f>'DNC4 FF'!C193</f>
        <v>#REF!</v>
      </c>
      <c r="D193" t="e">
        <f>'DNC4 FF'!D193</f>
        <v>#REF!</v>
      </c>
      <c r="E193" t="e">
        <f>'DNC4 FF'!E193</f>
        <v>#REF!</v>
      </c>
      <c r="F193" t="e">
        <f>'DNC4 FF'!F193</f>
        <v>#REF!</v>
      </c>
      <c r="G193" t="e">
        <f>'DNC4 FF'!G193</f>
        <v>#REF!</v>
      </c>
      <c r="H193" t="e">
        <f>'DNC4 FF'!H193</f>
        <v>#REF!</v>
      </c>
      <c r="I193" t="e">
        <f>'DNC4 FF'!I193</f>
        <v>#REF!</v>
      </c>
      <c r="J193">
        <f>'DNC4 FF'!J193</f>
        <v>2</v>
      </c>
      <c r="K193" t="e">
        <f>'DNC4 FF'!K193</f>
        <v>#REF!</v>
      </c>
      <c r="L193" t="e">
        <f>'DNC4 FF'!L193</f>
        <v>#REF!</v>
      </c>
      <c r="N193">
        <f>'# Out FF'!A193</f>
        <v>190</v>
      </c>
      <c r="O193">
        <f>'# Out FF'!B193</f>
        <v>1000</v>
      </c>
      <c r="P193">
        <f>'# Out FF'!C193</f>
        <v>1000</v>
      </c>
      <c r="Q193">
        <f>'# Out FF'!D193</f>
        <v>1000</v>
      </c>
      <c r="R193">
        <f>'# Out FF'!E193</f>
        <v>1000</v>
      </c>
      <c r="S193">
        <f>'# Out FF'!F193</f>
        <v>1000</v>
      </c>
      <c r="T193">
        <f>'# Out FF'!G193</f>
        <v>1000</v>
      </c>
      <c r="U193">
        <f>'# Out FF'!H193</f>
        <v>1000</v>
      </c>
      <c r="V193">
        <f>'# Out FF'!I193</f>
        <v>1000</v>
      </c>
      <c r="W193">
        <f>'# Out FF'!J193</f>
        <v>783</v>
      </c>
      <c r="X193">
        <f>'# Out FF'!K193</f>
        <v>1000</v>
      </c>
      <c r="Y193">
        <f>'# Out FF'!L193</f>
        <v>978.3</v>
      </c>
      <c r="AB193">
        <v>3</v>
      </c>
      <c r="AC193">
        <v>771</v>
      </c>
      <c r="AF193" s="2">
        <f t="shared" si="8"/>
        <v>3.0000000000000001E-3</v>
      </c>
      <c r="AG193">
        <f t="shared" si="9"/>
        <v>0.77100000000000002</v>
      </c>
      <c r="AH193">
        <f t="shared" si="10"/>
        <v>0.78962995748025411</v>
      </c>
      <c r="AI193">
        <f t="shared" si="11"/>
        <v>-1.8629957480254089E-2</v>
      </c>
    </row>
    <row r="194" spans="1:35" x14ac:dyDescent="0.35">
      <c r="A194">
        <f>'DNC4 FF'!A194</f>
        <v>191</v>
      </c>
      <c r="B194" t="e">
        <f>'DNC4 FF'!B194</f>
        <v>#REF!</v>
      </c>
      <c r="C194" t="e">
        <f>'DNC4 FF'!C194</f>
        <v>#REF!</v>
      </c>
      <c r="D194" t="e">
        <f>'DNC4 FF'!D194</f>
        <v>#REF!</v>
      </c>
      <c r="E194" t="e">
        <f>'DNC4 FF'!E194</f>
        <v>#REF!</v>
      </c>
      <c r="F194" t="e">
        <f>'DNC4 FF'!F194</f>
        <v>#REF!</v>
      </c>
      <c r="G194" t="e">
        <f>'DNC4 FF'!G194</f>
        <v>#REF!</v>
      </c>
      <c r="H194" t="e">
        <f>'DNC4 FF'!H194</f>
        <v>#REF!</v>
      </c>
      <c r="I194" t="e">
        <f>'DNC4 FF'!I194</f>
        <v>#REF!</v>
      </c>
      <c r="J194">
        <f>'DNC4 FF'!J194</f>
        <v>1</v>
      </c>
      <c r="K194" t="e">
        <f>'DNC4 FF'!K194</f>
        <v>#REF!</v>
      </c>
      <c r="L194" t="e">
        <f>'DNC4 FF'!L194</f>
        <v>#REF!</v>
      </c>
      <c r="N194">
        <f>'# Out FF'!A194</f>
        <v>191</v>
      </c>
      <c r="O194">
        <f>'# Out FF'!B194</f>
        <v>1000</v>
      </c>
      <c r="P194">
        <f>'# Out FF'!C194</f>
        <v>1000</v>
      </c>
      <c r="Q194">
        <f>'# Out FF'!D194</f>
        <v>1000</v>
      </c>
      <c r="R194">
        <f>'# Out FF'!E194</f>
        <v>1000</v>
      </c>
      <c r="S194">
        <f>'# Out FF'!F194</f>
        <v>1000</v>
      </c>
      <c r="T194">
        <f>'# Out FF'!G194</f>
        <v>1000</v>
      </c>
      <c r="U194">
        <f>'# Out FF'!H194</f>
        <v>1000</v>
      </c>
      <c r="V194">
        <f>'# Out FF'!I194</f>
        <v>1000</v>
      </c>
      <c r="W194">
        <f>'# Out FF'!J194</f>
        <v>781</v>
      </c>
      <c r="X194">
        <f>'# Out FF'!K194</f>
        <v>1000</v>
      </c>
      <c r="Y194">
        <f>'# Out FF'!L194</f>
        <v>978.1</v>
      </c>
      <c r="AB194">
        <v>1</v>
      </c>
      <c r="AC194">
        <v>785</v>
      </c>
      <c r="AF194" s="2">
        <f t="shared" si="8"/>
        <v>1E-3</v>
      </c>
      <c r="AG194">
        <f t="shared" si="9"/>
        <v>0.78500000000000003</v>
      </c>
      <c r="AH194">
        <f t="shared" si="10"/>
        <v>0.85584084273568095</v>
      </c>
      <c r="AI194">
        <f t="shared" si="11"/>
        <v>-7.084084273568092E-2</v>
      </c>
    </row>
    <row r="195" spans="1:35" x14ac:dyDescent="0.35">
      <c r="A195">
        <f>'DNC4 FF'!A195</f>
        <v>192</v>
      </c>
      <c r="B195" t="e">
        <f>'DNC4 FF'!B195</f>
        <v>#REF!</v>
      </c>
      <c r="C195" t="e">
        <f>'DNC4 FF'!C195</f>
        <v>#REF!</v>
      </c>
      <c r="D195" t="e">
        <f>'DNC4 FF'!D195</f>
        <v>#REF!</v>
      </c>
      <c r="E195" t="e">
        <f>'DNC4 FF'!E195</f>
        <v>#REF!</v>
      </c>
      <c r="F195" t="e">
        <f>'DNC4 FF'!F195</f>
        <v>#REF!</v>
      </c>
      <c r="G195" t="e">
        <f>'DNC4 FF'!G195</f>
        <v>#REF!</v>
      </c>
      <c r="H195" t="e">
        <f>'DNC4 FF'!H195</f>
        <v>#REF!</v>
      </c>
      <c r="I195" t="e">
        <f>'DNC4 FF'!I195</f>
        <v>#REF!</v>
      </c>
      <c r="J195">
        <f>'DNC4 FF'!J195</f>
        <v>1</v>
      </c>
      <c r="K195" t="e">
        <f>'DNC4 FF'!K195</f>
        <v>#REF!</v>
      </c>
      <c r="L195" t="e">
        <f>'DNC4 FF'!L195</f>
        <v>#REF!</v>
      </c>
      <c r="N195">
        <f>'# Out FF'!A195</f>
        <v>192</v>
      </c>
      <c r="O195">
        <f>'# Out FF'!B195</f>
        <v>1000</v>
      </c>
      <c r="P195">
        <f>'# Out FF'!C195</f>
        <v>1000</v>
      </c>
      <c r="Q195">
        <f>'# Out FF'!D195</f>
        <v>1000</v>
      </c>
      <c r="R195">
        <f>'# Out FF'!E195</f>
        <v>1000</v>
      </c>
      <c r="S195">
        <f>'# Out FF'!F195</f>
        <v>1000</v>
      </c>
      <c r="T195">
        <f>'# Out FF'!G195</f>
        <v>1000</v>
      </c>
      <c r="U195">
        <f>'# Out FF'!H195</f>
        <v>1000</v>
      </c>
      <c r="V195">
        <f>'# Out FF'!I195</f>
        <v>1000</v>
      </c>
      <c r="W195">
        <f>'# Out FF'!J195</f>
        <v>787</v>
      </c>
      <c r="X195">
        <f>'# Out FF'!K195</f>
        <v>1000</v>
      </c>
      <c r="Y195">
        <f>'# Out FF'!L195</f>
        <v>978.7</v>
      </c>
      <c r="AB195">
        <v>4</v>
      </c>
      <c r="AC195">
        <v>783</v>
      </c>
      <c r="AF195" s="2">
        <f t="shared" si="8"/>
        <v>4.0000000000000001E-3</v>
      </c>
      <c r="AG195">
        <f t="shared" si="9"/>
        <v>0.78300000000000003</v>
      </c>
      <c r="AH195">
        <f t="shared" si="10"/>
        <v>0.75847089591385031</v>
      </c>
      <c r="AI195">
        <f t="shared" si="11"/>
        <v>2.4529104086149722E-2</v>
      </c>
    </row>
    <row r="196" spans="1:35" x14ac:dyDescent="0.35">
      <c r="A196">
        <f>'DNC4 FF'!A196</f>
        <v>193</v>
      </c>
      <c r="B196" t="e">
        <f>'DNC4 FF'!B196</f>
        <v>#REF!</v>
      </c>
      <c r="C196" t="e">
        <f>'DNC4 FF'!C196</f>
        <v>#REF!</v>
      </c>
      <c r="D196" t="e">
        <f>'DNC4 FF'!D196</f>
        <v>#REF!</v>
      </c>
      <c r="E196" t="e">
        <f>'DNC4 FF'!E196</f>
        <v>#REF!</v>
      </c>
      <c r="F196" t="e">
        <f>'DNC4 FF'!F196</f>
        <v>#REF!</v>
      </c>
      <c r="G196" t="e">
        <f>'DNC4 FF'!G196</f>
        <v>#REF!</v>
      </c>
      <c r="H196" t="e">
        <f>'DNC4 FF'!H196</f>
        <v>#REF!</v>
      </c>
      <c r="I196" t="e">
        <f>'DNC4 FF'!I196</f>
        <v>#REF!</v>
      </c>
      <c r="J196">
        <f>'DNC4 FF'!J196</f>
        <v>1</v>
      </c>
      <c r="K196" t="e">
        <f>'DNC4 FF'!K196</f>
        <v>#REF!</v>
      </c>
      <c r="L196" t="e">
        <f>'DNC4 FF'!L196</f>
        <v>#REF!</v>
      </c>
      <c r="N196">
        <f>'# Out FF'!A196</f>
        <v>193</v>
      </c>
      <c r="O196">
        <f>'# Out FF'!B196</f>
        <v>1000</v>
      </c>
      <c r="P196">
        <f>'# Out FF'!C196</f>
        <v>1000</v>
      </c>
      <c r="Q196">
        <f>'# Out FF'!D196</f>
        <v>1000</v>
      </c>
      <c r="R196">
        <f>'# Out FF'!E196</f>
        <v>1000</v>
      </c>
      <c r="S196">
        <f>'# Out FF'!F196</f>
        <v>1000</v>
      </c>
      <c r="T196">
        <f>'# Out FF'!G196</f>
        <v>1000</v>
      </c>
      <c r="U196">
        <f>'# Out FF'!H196</f>
        <v>1000</v>
      </c>
      <c r="V196">
        <f>'# Out FF'!I196</f>
        <v>1000</v>
      </c>
      <c r="W196">
        <f>'# Out FF'!J196</f>
        <v>786</v>
      </c>
      <c r="X196">
        <f>'# Out FF'!K196</f>
        <v>1000</v>
      </c>
      <c r="Y196">
        <f>'# Out FF'!L196</f>
        <v>978.6</v>
      </c>
      <c r="AB196">
        <v>2</v>
      </c>
      <c r="AC196">
        <v>769</v>
      </c>
      <c r="AF196" s="2">
        <f t="shared" ref="AF196:AF259" si="12">AB196/1000</f>
        <v>2E-3</v>
      </c>
      <c r="AG196">
        <f t="shared" ref="AG196:AG259" si="13">AC196/1000</f>
        <v>0.76900000000000002</v>
      </c>
      <c r="AH196">
        <f t="shared" ref="AH196:AH259" si="14">0.891*EXP(-40.26*AF196)</f>
        <v>0.82206907754716119</v>
      </c>
      <c r="AI196">
        <f t="shared" ref="AI196:AI259" si="15">AG196-AH196</f>
        <v>-5.306907754716117E-2</v>
      </c>
    </row>
    <row r="197" spans="1:35" x14ac:dyDescent="0.35">
      <c r="A197">
        <f>'DNC4 FF'!A197</f>
        <v>194</v>
      </c>
      <c r="B197" t="e">
        <f>'DNC4 FF'!B197</f>
        <v>#REF!</v>
      </c>
      <c r="C197" t="e">
        <f>'DNC4 FF'!C197</f>
        <v>#REF!</v>
      </c>
      <c r="D197" t="e">
        <f>'DNC4 FF'!D197</f>
        <v>#REF!</v>
      </c>
      <c r="E197" t="e">
        <f>'DNC4 FF'!E197</f>
        <v>#REF!</v>
      </c>
      <c r="F197" t="e">
        <f>'DNC4 FF'!F197</f>
        <v>#REF!</v>
      </c>
      <c r="G197" t="e">
        <f>'DNC4 FF'!G197</f>
        <v>#REF!</v>
      </c>
      <c r="H197" t="e">
        <f>'DNC4 FF'!H197</f>
        <v>#REF!</v>
      </c>
      <c r="I197" t="e">
        <f>'DNC4 FF'!I197</f>
        <v>#REF!</v>
      </c>
      <c r="J197">
        <f>'DNC4 FF'!J197</f>
        <v>1</v>
      </c>
      <c r="K197" t="e">
        <f>'DNC4 FF'!K197</f>
        <v>#REF!</v>
      </c>
      <c r="L197" t="e">
        <f>'DNC4 FF'!L197</f>
        <v>#REF!</v>
      </c>
      <c r="N197">
        <f>'# Out FF'!A197</f>
        <v>194</v>
      </c>
      <c r="O197">
        <f>'# Out FF'!B197</f>
        <v>1000</v>
      </c>
      <c r="P197">
        <f>'# Out FF'!C197</f>
        <v>1000</v>
      </c>
      <c r="Q197">
        <f>'# Out FF'!D197</f>
        <v>1000</v>
      </c>
      <c r="R197">
        <f>'# Out FF'!E197</f>
        <v>1000</v>
      </c>
      <c r="S197">
        <f>'# Out FF'!F197</f>
        <v>1000</v>
      </c>
      <c r="T197">
        <f>'# Out FF'!G197</f>
        <v>1000</v>
      </c>
      <c r="U197">
        <f>'# Out FF'!H197</f>
        <v>1000</v>
      </c>
      <c r="V197">
        <f>'# Out FF'!I197</f>
        <v>1000</v>
      </c>
      <c r="W197">
        <f>'# Out FF'!J197</f>
        <v>796</v>
      </c>
      <c r="X197">
        <f>'# Out FF'!K197</f>
        <v>1000</v>
      </c>
      <c r="Y197">
        <f>'# Out FF'!L197</f>
        <v>979.6</v>
      </c>
      <c r="AB197">
        <v>4</v>
      </c>
      <c r="AC197">
        <v>776</v>
      </c>
      <c r="AF197" s="2">
        <f t="shared" si="12"/>
        <v>4.0000000000000001E-3</v>
      </c>
      <c r="AG197">
        <f t="shared" si="13"/>
        <v>0.77600000000000002</v>
      </c>
      <c r="AH197">
        <f t="shared" si="14"/>
        <v>0.75847089591385031</v>
      </c>
      <c r="AI197">
        <f t="shared" si="15"/>
        <v>1.7529104086149716E-2</v>
      </c>
    </row>
    <row r="198" spans="1:35" x14ac:dyDescent="0.35">
      <c r="A198">
        <f>'DNC4 FF'!A198</f>
        <v>195</v>
      </c>
      <c r="B198" t="e">
        <f>'DNC4 FF'!B198</f>
        <v>#REF!</v>
      </c>
      <c r="C198" t="e">
        <f>'DNC4 FF'!C198</f>
        <v>#REF!</v>
      </c>
      <c r="D198" t="e">
        <f>'DNC4 FF'!D198</f>
        <v>#REF!</v>
      </c>
      <c r="E198" t="e">
        <f>'DNC4 FF'!E198</f>
        <v>#REF!</v>
      </c>
      <c r="F198" t="e">
        <f>'DNC4 FF'!F198</f>
        <v>#REF!</v>
      </c>
      <c r="G198" t="e">
        <f>'DNC4 FF'!G198</f>
        <v>#REF!</v>
      </c>
      <c r="H198" t="e">
        <f>'DNC4 FF'!H198</f>
        <v>#REF!</v>
      </c>
      <c r="I198" t="e">
        <f>'DNC4 FF'!I198</f>
        <v>#REF!</v>
      </c>
      <c r="J198">
        <f>'DNC4 FF'!J198</f>
        <v>0</v>
      </c>
      <c r="K198" t="e">
        <f>'DNC4 FF'!K198</f>
        <v>#REF!</v>
      </c>
      <c r="L198" t="e">
        <f>'DNC4 FF'!L198</f>
        <v>#REF!</v>
      </c>
      <c r="N198">
        <f>'# Out FF'!A198</f>
        <v>195</v>
      </c>
      <c r="O198">
        <f>'# Out FF'!B198</f>
        <v>1000</v>
      </c>
      <c r="P198">
        <f>'# Out FF'!C198</f>
        <v>1000</v>
      </c>
      <c r="Q198">
        <f>'# Out FF'!D198</f>
        <v>1000</v>
      </c>
      <c r="R198">
        <f>'# Out FF'!E198</f>
        <v>1000</v>
      </c>
      <c r="S198">
        <f>'# Out FF'!F198</f>
        <v>1000</v>
      </c>
      <c r="T198">
        <f>'# Out FF'!G198</f>
        <v>1000</v>
      </c>
      <c r="U198">
        <f>'# Out FF'!H198</f>
        <v>1000</v>
      </c>
      <c r="V198">
        <f>'# Out FF'!I198</f>
        <v>1000</v>
      </c>
      <c r="W198">
        <f>'# Out FF'!J198</f>
        <v>788</v>
      </c>
      <c r="X198">
        <f>'# Out FF'!K198</f>
        <v>1000</v>
      </c>
      <c r="Y198">
        <f>'# Out FF'!L198</f>
        <v>978.8</v>
      </c>
      <c r="AB198">
        <v>2</v>
      </c>
      <c r="AC198">
        <v>777</v>
      </c>
      <c r="AF198" s="2">
        <f t="shared" si="12"/>
        <v>2E-3</v>
      </c>
      <c r="AG198">
        <f t="shared" si="13"/>
        <v>0.77700000000000002</v>
      </c>
      <c r="AH198">
        <f t="shared" si="14"/>
        <v>0.82206907754716119</v>
      </c>
      <c r="AI198">
        <f t="shared" si="15"/>
        <v>-4.5069077547161163E-2</v>
      </c>
    </row>
    <row r="199" spans="1:35" x14ac:dyDescent="0.35">
      <c r="A199">
        <f>'DNC4 FF'!A199</f>
        <v>196</v>
      </c>
      <c r="B199" t="e">
        <f>'DNC4 FF'!B199</f>
        <v>#REF!</v>
      </c>
      <c r="C199" t="e">
        <f>'DNC4 FF'!C199</f>
        <v>#REF!</v>
      </c>
      <c r="D199" t="e">
        <f>'DNC4 FF'!D199</f>
        <v>#REF!</v>
      </c>
      <c r="E199" t="e">
        <f>'DNC4 FF'!E199</f>
        <v>#REF!</v>
      </c>
      <c r="F199" t="e">
        <f>'DNC4 FF'!F199</f>
        <v>#REF!</v>
      </c>
      <c r="G199" t="e">
        <f>'DNC4 FF'!G199</f>
        <v>#REF!</v>
      </c>
      <c r="H199" t="e">
        <f>'DNC4 FF'!H199</f>
        <v>#REF!</v>
      </c>
      <c r="I199" t="e">
        <f>'DNC4 FF'!I199</f>
        <v>#REF!</v>
      </c>
      <c r="J199">
        <f>'DNC4 FF'!J199</f>
        <v>0</v>
      </c>
      <c r="K199" t="e">
        <f>'DNC4 FF'!K199</f>
        <v>#REF!</v>
      </c>
      <c r="L199" t="e">
        <f>'DNC4 FF'!L199</f>
        <v>#REF!</v>
      </c>
      <c r="N199">
        <f>'# Out FF'!A199</f>
        <v>196</v>
      </c>
      <c r="O199">
        <f>'# Out FF'!B199</f>
        <v>1000</v>
      </c>
      <c r="P199">
        <f>'# Out FF'!C199</f>
        <v>1000</v>
      </c>
      <c r="Q199">
        <f>'# Out FF'!D199</f>
        <v>1000</v>
      </c>
      <c r="R199">
        <f>'# Out FF'!E199</f>
        <v>1000</v>
      </c>
      <c r="S199">
        <f>'# Out FF'!F199</f>
        <v>1000</v>
      </c>
      <c r="T199">
        <f>'# Out FF'!G199</f>
        <v>1000</v>
      </c>
      <c r="U199">
        <f>'# Out FF'!H199</f>
        <v>1000</v>
      </c>
      <c r="V199">
        <f>'# Out FF'!I199</f>
        <v>1000</v>
      </c>
      <c r="W199">
        <f>'# Out FF'!J199</f>
        <v>994</v>
      </c>
      <c r="X199">
        <f>'# Out FF'!K199</f>
        <v>1000</v>
      </c>
      <c r="Y199">
        <f>'# Out FF'!L199</f>
        <v>999.4</v>
      </c>
      <c r="AB199">
        <v>2</v>
      </c>
      <c r="AC199">
        <v>776</v>
      </c>
      <c r="AF199" s="2">
        <f t="shared" si="12"/>
        <v>2E-3</v>
      </c>
      <c r="AG199">
        <f t="shared" si="13"/>
        <v>0.77600000000000002</v>
      </c>
      <c r="AH199">
        <f t="shared" si="14"/>
        <v>0.82206907754716119</v>
      </c>
      <c r="AI199">
        <f t="shared" si="15"/>
        <v>-4.6069077547161164E-2</v>
      </c>
    </row>
    <row r="200" spans="1:35" x14ac:dyDescent="0.35">
      <c r="A200">
        <f>'DNC4 FF'!A200</f>
        <v>197</v>
      </c>
      <c r="B200" t="e">
        <f>'DNC4 FF'!B200</f>
        <v>#REF!</v>
      </c>
      <c r="C200" t="e">
        <f>'DNC4 FF'!C200</f>
        <v>#REF!</v>
      </c>
      <c r="D200" t="e">
        <f>'DNC4 FF'!D200</f>
        <v>#REF!</v>
      </c>
      <c r="E200" t="e">
        <f>'DNC4 FF'!E200</f>
        <v>#REF!</v>
      </c>
      <c r="F200" t="e">
        <f>'DNC4 FF'!F200</f>
        <v>#REF!</v>
      </c>
      <c r="G200" t="e">
        <f>'DNC4 FF'!G200</f>
        <v>#REF!</v>
      </c>
      <c r="H200" t="e">
        <f>'DNC4 FF'!H200</f>
        <v>#REF!</v>
      </c>
      <c r="I200" t="e">
        <f>'DNC4 FF'!I200</f>
        <v>#REF!</v>
      </c>
      <c r="J200">
        <f>'DNC4 FF'!J200</f>
        <v>0</v>
      </c>
      <c r="K200" t="e">
        <f>'DNC4 FF'!K200</f>
        <v>#REF!</v>
      </c>
      <c r="L200" t="e">
        <f>'DNC4 FF'!L200</f>
        <v>#REF!</v>
      </c>
      <c r="N200">
        <f>'# Out FF'!A200</f>
        <v>197</v>
      </c>
      <c r="O200">
        <f>'# Out FF'!B200</f>
        <v>1000</v>
      </c>
      <c r="P200">
        <f>'# Out FF'!C200</f>
        <v>1000</v>
      </c>
      <c r="Q200">
        <f>'# Out FF'!D200</f>
        <v>1000</v>
      </c>
      <c r="R200">
        <f>'# Out FF'!E200</f>
        <v>1000</v>
      </c>
      <c r="S200">
        <f>'# Out FF'!F200</f>
        <v>1000</v>
      </c>
      <c r="T200">
        <f>'# Out FF'!G200</f>
        <v>1000</v>
      </c>
      <c r="U200">
        <f>'# Out FF'!H200</f>
        <v>1000</v>
      </c>
      <c r="V200">
        <f>'# Out FF'!I200</f>
        <v>1000</v>
      </c>
      <c r="W200">
        <f>'# Out FF'!J200</f>
        <v>996</v>
      </c>
      <c r="X200">
        <f>'# Out FF'!K200</f>
        <v>1000</v>
      </c>
      <c r="Y200">
        <f>'# Out FF'!L200</f>
        <v>999.6</v>
      </c>
      <c r="AB200">
        <v>0</v>
      </c>
      <c r="AC200">
        <v>990</v>
      </c>
      <c r="AF200" s="2">
        <f t="shared" si="12"/>
        <v>0</v>
      </c>
      <c r="AG200">
        <f t="shared" si="13"/>
        <v>0.99</v>
      </c>
      <c r="AH200">
        <f t="shared" si="14"/>
        <v>0.89100000000000001</v>
      </c>
      <c r="AI200">
        <f t="shared" si="15"/>
        <v>9.8999999999999977E-2</v>
      </c>
    </row>
    <row r="201" spans="1:35" x14ac:dyDescent="0.35">
      <c r="AB201">
        <v>1</v>
      </c>
      <c r="AC201">
        <v>784</v>
      </c>
      <c r="AF201" s="2">
        <f t="shared" si="12"/>
        <v>1E-3</v>
      </c>
      <c r="AG201">
        <f t="shared" si="13"/>
        <v>0.78400000000000003</v>
      </c>
      <c r="AH201">
        <f t="shared" si="14"/>
        <v>0.85584084273568095</v>
      </c>
      <c r="AI201">
        <f t="shared" si="15"/>
        <v>-7.1840842735680921E-2</v>
      </c>
    </row>
    <row r="202" spans="1:35" x14ac:dyDescent="0.35">
      <c r="AB202">
        <v>0</v>
      </c>
      <c r="AC202">
        <v>993</v>
      </c>
      <c r="AF202" s="2">
        <f t="shared" si="12"/>
        <v>0</v>
      </c>
      <c r="AG202">
        <f t="shared" si="13"/>
        <v>0.99299999999999999</v>
      </c>
      <c r="AH202">
        <f t="shared" si="14"/>
        <v>0.89100000000000001</v>
      </c>
      <c r="AI202">
        <f t="shared" si="15"/>
        <v>0.10199999999999998</v>
      </c>
    </row>
    <row r="203" spans="1:35" x14ac:dyDescent="0.35">
      <c r="AB203">
        <v>0</v>
      </c>
      <c r="AC203">
        <v>993</v>
      </c>
      <c r="AF203" s="2">
        <f t="shared" si="12"/>
        <v>0</v>
      </c>
      <c r="AG203">
        <f t="shared" si="13"/>
        <v>0.99299999999999999</v>
      </c>
      <c r="AH203">
        <f t="shared" si="14"/>
        <v>0.89100000000000001</v>
      </c>
      <c r="AI203">
        <f t="shared" si="15"/>
        <v>0.10199999999999998</v>
      </c>
    </row>
    <row r="204" spans="1:35" x14ac:dyDescent="0.35">
      <c r="AB204">
        <v>1</v>
      </c>
      <c r="AC204">
        <v>793</v>
      </c>
      <c r="AF204" s="2">
        <f t="shared" si="12"/>
        <v>1E-3</v>
      </c>
      <c r="AG204">
        <f t="shared" si="13"/>
        <v>0.79300000000000004</v>
      </c>
      <c r="AH204">
        <f t="shared" si="14"/>
        <v>0.85584084273568095</v>
      </c>
      <c r="AI204">
        <f t="shared" si="15"/>
        <v>-6.2840842735680913E-2</v>
      </c>
    </row>
    <row r="205" spans="1:35" x14ac:dyDescent="0.35">
      <c r="AB205">
        <v>0</v>
      </c>
      <c r="AC205">
        <v>994</v>
      </c>
      <c r="AF205" s="2">
        <f t="shared" si="12"/>
        <v>0</v>
      </c>
      <c r="AG205">
        <f t="shared" si="13"/>
        <v>0.99399999999999999</v>
      </c>
      <c r="AH205">
        <f t="shared" si="14"/>
        <v>0.89100000000000001</v>
      </c>
      <c r="AI205">
        <f t="shared" si="15"/>
        <v>0.10299999999999998</v>
      </c>
    </row>
    <row r="206" spans="1:35" x14ac:dyDescent="0.35">
      <c r="AB206">
        <v>0</v>
      </c>
      <c r="AC206">
        <v>993</v>
      </c>
      <c r="AF206" s="2">
        <f t="shared" si="12"/>
        <v>0</v>
      </c>
      <c r="AG206">
        <f t="shared" si="13"/>
        <v>0.99299999999999999</v>
      </c>
      <c r="AH206">
        <f t="shared" si="14"/>
        <v>0.89100000000000001</v>
      </c>
      <c r="AI206">
        <f t="shared" si="15"/>
        <v>0.10199999999999998</v>
      </c>
    </row>
    <row r="207" spans="1:35" x14ac:dyDescent="0.35">
      <c r="AB207" cm="1">
        <f t="array" ref="AB207:AB282">E3:E78</f>
        <v>0</v>
      </c>
      <c r="AC207" cm="1">
        <f t="array" ref="AC207:AC282">R4:R79</f>
        <v>998</v>
      </c>
      <c r="AF207" s="2">
        <f t="shared" si="12"/>
        <v>0</v>
      </c>
      <c r="AG207">
        <f t="shared" si="13"/>
        <v>0.998</v>
      </c>
      <c r="AH207">
        <f t="shared" si="14"/>
        <v>0.89100000000000001</v>
      </c>
      <c r="AI207">
        <f t="shared" si="15"/>
        <v>0.10699999999999998</v>
      </c>
    </row>
    <row r="208" spans="1:35" x14ac:dyDescent="0.35">
      <c r="AB208">
        <v>0</v>
      </c>
      <c r="AC208">
        <v>999</v>
      </c>
      <c r="AF208" s="2">
        <f t="shared" si="12"/>
        <v>0</v>
      </c>
      <c r="AG208">
        <f t="shared" si="13"/>
        <v>0.999</v>
      </c>
      <c r="AH208">
        <f t="shared" si="14"/>
        <v>0.89100000000000001</v>
      </c>
      <c r="AI208">
        <f t="shared" si="15"/>
        <v>0.10799999999999998</v>
      </c>
    </row>
    <row r="209" spans="28:35" x14ac:dyDescent="0.35">
      <c r="AB209">
        <v>0</v>
      </c>
      <c r="AC209">
        <v>999</v>
      </c>
      <c r="AF209" s="2">
        <f t="shared" si="12"/>
        <v>0</v>
      </c>
      <c r="AG209">
        <f t="shared" si="13"/>
        <v>0.999</v>
      </c>
      <c r="AH209">
        <f t="shared" si="14"/>
        <v>0.89100000000000001</v>
      </c>
      <c r="AI209">
        <f t="shared" si="15"/>
        <v>0.10799999999999998</v>
      </c>
    </row>
    <row r="210" spans="28:35" x14ac:dyDescent="0.35">
      <c r="AB210">
        <v>2</v>
      </c>
      <c r="AC210">
        <v>791</v>
      </c>
      <c r="AF210" s="2">
        <f t="shared" si="12"/>
        <v>2E-3</v>
      </c>
      <c r="AG210">
        <f t="shared" si="13"/>
        <v>0.79100000000000004</v>
      </c>
      <c r="AH210">
        <f t="shared" si="14"/>
        <v>0.82206907754716119</v>
      </c>
      <c r="AI210">
        <f t="shared" si="15"/>
        <v>-3.106907754716115E-2</v>
      </c>
    </row>
    <row r="211" spans="28:35" x14ac:dyDescent="0.35">
      <c r="AB211">
        <v>0</v>
      </c>
      <c r="AC211">
        <v>995</v>
      </c>
      <c r="AF211" s="2">
        <f t="shared" si="12"/>
        <v>0</v>
      </c>
      <c r="AG211">
        <f t="shared" si="13"/>
        <v>0.995</v>
      </c>
      <c r="AH211">
        <f t="shared" si="14"/>
        <v>0.89100000000000001</v>
      </c>
      <c r="AI211">
        <f t="shared" si="15"/>
        <v>0.10399999999999998</v>
      </c>
    </row>
    <row r="212" spans="28:35" x14ac:dyDescent="0.35">
      <c r="AB212">
        <v>3</v>
      </c>
      <c r="AC212">
        <v>766</v>
      </c>
      <c r="AF212" s="2">
        <f t="shared" si="12"/>
        <v>3.0000000000000001E-3</v>
      </c>
      <c r="AG212">
        <f t="shared" si="13"/>
        <v>0.76600000000000001</v>
      </c>
      <c r="AH212">
        <f t="shared" si="14"/>
        <v>0.78962995748025411</v>
      </c>
      <c r="AI212">
        <f t="shared" si="15"/>
        <v>-2.3629957480254093E-2</v>
      </c>
    </row>
    <row r="213" spans="28:35" x14ac:dyDescent="0.35">
      <c r="AB213">
        <v>8</v>
      </c>
      <c r="AC213">
        <v>687</v>
      </c>
      <c r="AF213" s="2">
        <f t="shared" si="12"/>
        <v>8.0000000000000002E-3</v>
      </c>
      <c r="AG213">
        <f t="shared" si="13"/>
        <v>0.68700000000000006</v>
      </c>
      <c r="AH213">
        <f t="shared" si="14"/>
        <v>0.64565443316314119</v>
      </c>
      <c r="AI213">
        <f t="shared" si="15"/>
        <v>4.134556683685886E-2</v>
      </c>
    </row>
    <row r="214" spans="28:35" x14ac:dyDescent="0.35">
      <c r="AB214">
        <v>7</v>
      </c>
      <c r="AC214">
        <v>745</v>
      </c>
      <c r="AF214" s="2">
        <f t="shared" si="12"/>
        <v>7.0000000000000001E-3</v>
      </c>
      <c r="AG214">
        <f t="shared" si="13"/>
        <v>0.745</v>
      </c>
      <c r="AH214">
        <f t="shared" si="14"/>
        <v>0.67217883422049818</v>
      </c>
      <c r="AI214">
        <f t="shared" si="15"/>
        <v>7.2821165779501817E-2</v>
      </c>
    </row>
    <row r="215" spans="28:35" x14ac:dyDescent="0.35">
      <c r="AB215">
        <v>19</v>
      </c>
      <c r="AC215">
        <v>484</v>
      </c>
      <c r="AF215" s="2">
        <f t="shared" si="12"/>
        <v>1.9E-2</v>
      </c>
      <c r="AG215">
        <f t="shared" si="13"/>
        <v>0.48399999999999999</v>
      </c>
      <c r="AH215">
        <f t="shared" si="14"/>
        <v>0.41463740999638066</v>
      </c>
      <c r="AI215">
        <f t="shared" si="15"/>
        <v>6.9362590003619329E-2</v>
      </c>
    </row>
    <row r="216" spans="28:35" x14ac:dyDescent="0.35">
      <c r="AB216">
        <v>15</v>
      </c>
      <c r="AC216">
        <v>345</v>
      </c>
      <c r="AF216" s="2">
        <f t="shared" si="12"/>
        <v>1.4999999999999999E-2</v>
      </c>
      <c r="AG216">
        <f t="shared" si="13"/>
        <v>0.34499999999999997</v>
      </c>
      <c r="AH216">
        <f t="shared" si="14"/>
        <v>0.48708781615364399</v>
      </c>
      <c r="AI216">
        <f t="shared" si="15"/>
        <v>-0.14208781615364402</v>
      </c>
    </row>
    <row r="217" spans="28:35" x14ac:dyDescent="0.35">
      <c r="AB217">
        <v>15</v>
      </c>
      <c r="AC217">
        <v>335</v>
      </c>
      <c r="AF217" s="2">
        <f t="shared" si="12"/>
        <v>1.4999999999999999E-2</v>
      </c>
      <c r="AG217">
        <f t="shared" si="13"/>
        <v>0.33500000000000002</v>
      </c>
      <c r="AH217">
        <f t="shared" si="14"/>
        <v>0.48708781615364399</v>
      </c>
      <c r="AI217">
        <f t="shared" si="15"/>
        <v>-0.15208781615364397</v>
      </c>
    </row>
    <row r="218" spans="28:35" x14ac:dyDescent="0.35">
      <c r="AB218">
        <v>20</v>
      </c>
      <c r="AC218">
        <v>504</v>
      </c>
      <c r="AF218" s="2">
        <f t="shared" si="12"/>
        <v>0.02</v>
      </c>
      <c r="AG218">
        <f t="shared" si="13"/>
        <v>0.504</v>
      </c>
      <c r="AH218">
        <f t="shared" si="14"/>
        <v>0.39827567946244946</v>
      </c>
      <c r="AI218">
        <f t="shared" si="15"/>
        <v>0.10572432053755054</v>
      </c>
    </row>
    <row r="219" spans="28:35" x14ac:dyDescent="0.35">
      <c r="AB219">
        <v>14</v>
      </c>
      <c r="AC219">
        <v>440</v>
      </c>
      <c r="AF219" s="2">
        <f t="shared" si="12"/>
        <v>1.4E-2</v>
      </c>
      <c r="AG219">
        <f t="shared" si="13"/>
        <v>0.44</v>
      </c>
      <c r="AH219">
        <f t="shared" si="14"/>
        <v>0.50709807539172602</v>
      </c>
      <c r="AI219">
        <f t="shared" si="15"/>
        <v>-6.709807539172602E-2</v>
      </c>
    </row>
    <row r="220" spans="28:35" x14ac:dyDescent="0.35">
      <c r="AB220">
        <v>6</v>
      </c>
      <c r="AC220">
        <v>699</v>
      </c>
      <c r="AF220" s="2">
        <f t="shared" si="12"/>
        <v>6.0000000000000001E-3</v>
      </c>
      <c r="AG220">
        <f t="shared" si="13"/>
        <v>0.69899999999999995</v>
      </c>
      <c r="AH220">
        <f t="shared" si="14"/>
        <v>0.69979289534261269</v>
      </c>
      <c r="AI220">
        <f t="shared" si="15"/>
        <v>-7.9289534261273165E-4</v>
      </c>
    </row>
    <row r="221" spans="28:35" x14ac:dyDescent="0.35">
      <c r="AB221">
        <v>3</v>
      </c>
      <c r="AC221">
        <v>744</v>
      </c>
      <c r="AF221" s="2">
        <f t="shared" si="12"/>
        <v>3.0000000000000001E-3</v>
      </c>
      <c r="AG221">
        <f t="shared" si="13"/>
        <v>0.74399999999999999</v>
      </c>
      <c r="AH221">
        <f t="shared" si="14"/>
        <v>0.78962995748025411</v>
      </c>
      <c r="AI221">
        <f t="shared" si="15"/>
        <v>-4.5629957480254113E-2</v>
      </c>
    </row>
    <row r="222" spans="28:35" x14ac:dyDescent="0.35">
      <c r="AB222">
        <v>2</v>
      </c>
      <c r="AC222">
        <v>784</v>
      </c>
      <c r="AF222" s="2">
        <f t="shared" si="12"/>
        <v>2E-3</v>
      </c>
      <c r="AG222">
        <f t="shared" si="13"/>
        <v>0.78400000000000003</v>
      </c>
      <c r="AH222">
        <f t="shared" si="14"/>
        <v>0.82206907754716119</v>
      </c>
      <c r="AI222">
        <f t="shared" si="15"/>
        <v>-3.8069077547161156E-2</v>
      </c>
    </row>
    <row r="223" spans="28:35" x14ac:dyDescent="0.35">
      <c r="AB223">
        <v>4</v>
      </c>
      <c r="AC223">
        <v>804</v>
      </c>
      <c r="AF223" s="2">
        <f t="shared" si="12"/>
        <v>4.0000000000000001E-3</v>
      </c>
      <c r="AG223">
        <f t="shared" si="13"/>
        <v>0.80400000000000005</v>
      </c>
      <c r="AH223">
        <f t="shared" si="14"/>
        <v>0.75847089591385031</v>
      </c>
      <c r="AI223">
        <f t="shared" si="15"/>
        <v>4.5529104086149741E-2</v>
      </c>
    </row>
    <row r="224" spans="28:35" x14ac:dyDescent="0.35">
      <c r="AB224">
        <v>2</v>
      </c>
      <c r="AC224">
        <v>780</v>
      </c>
      <c r="AF224" s="2">
        <f t="shared" si="12"/>
        <v>2E-3</v>
      </c>
      <c r="AG224">
        <f t="shared" si="13"/>
        <v>0.78</v>
      </c>
      <c r="AH224">
        <f t="shared" si="14"/>
        <v>0.82206907754716119</v>
      </c>
      <c r="AI224">
        <f t="shared" si="15"/>
        <v>-4.206907754716116E-2</v>
      </c>
    </row>
    <row r="225" spans="28:35" x14ac:dyDescent="0.35">
      <c r="AB225">
        <v>3</v>
      </c>
      <c r="AC225">
        <v>758</v>
      </c>
      <c r="AF225" s="2">
        <f t="shared" si="12"/>
        <v>3.0000000000000001E-3</v>
      </c>
      <c r="AG225">
        <f t="shared" si="13"/>
        <v>0.75800000000000001</v>
      </c>
      <c r="AH225">
        <f t="shared" si="14"/>
        <v>0.78962995748025411</v>
      </c>
      <c r="AI225">
        <f t="shared" si="15"/>
        <v>-3.1629957480254101E-2</v>
      </c>
    </row>
    <row r="226" spans="28:35" x14ac:dyDescent="0.35">
      <c r="AB226">
        <v>6</v>
      </c>
      <c r="AC226">
        <v>722</v>
      </c>
      <c r="AF226" s="2">
        <f t="shared" si="12"/>
        <v>6.0000000000000001E-3</v>
      </c>
      <c r="AG226">
        <f t="shared" si="13"/>
        <v>0.72199999999999998</v>
      </c>
      <c r="AH226">
        <f t="shared" si="14"/>
        <v>0.69979289534261269</v>
      </c>
      <c r="AI226">
        <f t="shared" si="15"/>
        <v>2.2207104657387289E-2</v>
      </c>
    </row>
    <row r="227" spans="28:35" x14ac:dyDescent="0.35">
      <c r="AB227">
        <v>7</v>
      </c>
      <c r="AC227">
        <v>751</v>
      </c>
      <c r="AF227" s="2">
        <f t="shared" si="12"/>
        <v>7.0000000000000001E-3</v>
      </c>
      <c r="AG227">
        <f t="shared" si="13"/>
        <v>0.751</v>
      </c>
      <c r="AH227">
        <f t="shared" si="14"/>
        <v>0.67217883422049818</v>
      </c>
      <c r="AI227">
        <f t="shared" si="15"/>
        <v>7.8821165779501823E-2</v>
      </c>
    </row>
    <row r="228" spans="28:35" x14ac:dyDescent="0.35">
      <c r="AB228">
        <v>9</v>
      </c>
      <c r="AC228">
        <v>709</v>
      </c>
      <c r="AF228" s="2">
        <f t="shared" si="12"/>
        <v>8.9999999999999993E-3</v>
      </c>
      <c r="AG228">
        <f t="shared" si="13"/>
        <v>0.70899999999999996</v>
      </c>
      <c r="AH228">
        <f t="shared" si="14"/>
        <v>0.62017669382084306</v>
      </c>
      <c r="AI228">
        <f t="shared" si="15"/>
        <v>8.8823306179156902E-2</v>
      </c>
    </row>
    <row r="229" spans="28:35" x14ac:dyDescent="0.35">
      <c r="AB229">
        <v>9</v>
      </c>
      <c r="AC229">
        <v>702</v>
      </c>
      <c r="AF229" s="2">
        <f t="shared" si="12"/>
        <v>8.9999999999999993E-3</v>
      </c>
      <c r="AG229">
        <f t="shared" si="13"/>
        <v>0.70199999999999996</v>
      </c>
      <c r="AH229">
        <f t="shared" si="14"/>
        <v>0.62017669382084306</v>
      </c>
      <c r="AI229">
        <f t="shared" si="15"/>
        <v>8.1823306179156896E-2</v>
      </c>
    </row>
    <row r="230" spans="28:35" x14ac:dyDescent="0.35">
      <c r="AB230">
        <v>9</v>
      </c>
      <c r="AC230">
        <v>702</v>
      </c>
      <c r="AF230" s="2">
        <f t="shared" si="12"/>
        <v>8.9999999999999993E-3</v>
      </c>
      <c r="AG230">
        <f t="shared" si="13"/>
        <v>0.70199999999999996</v>
      </c>
      <c r="AH230">
        <f t="shared" si="14"/>
        <v>0.62017669382084306</v>
      </c>
      <c r="AI230">
        <f t="shared" si="15"/>
        <v>8.1823306179156896E-2</v>
      </c>
    </row>
    <row r="231" spans="28:35" x14ac:dyDescent="0.35">
      <c r="AB231">
        <v>6</v>
      </c>
      <c r="AC231">
        <v>702</v>
      </c>
      <c r="AF231" s="2">
        <f t="shared" si="12"/>
        <v>6.0000000000000001E-3</v>
      </c>
      <c r="AG231">
        <f t="shared" si="13"/>
        <v>0.70199999999999996</v>
      </c>
      <c r="AH231">
        <f t="shared" si="14"/>
        <v>0.69979289534261269</v>
      </c>
      <c r="AI231">
        <f t="shared" si="15"/>
        <v>2.207104657387271E-3</v>
      </c>
    </row>
    <row r="232" spans="28:35" x14ac:dyDescent="0.35">
      <c r="AB232">
        <v>10</v>
      </c>
      <c r="AC232">
        <v>845</v>
      </c>
      <c r="AF232" s="2">
        <f t="shared" si="12"/>
        <v>0.01</v>
      </c>
      <c r="AG232">
        <f t="shared" si="13"/>
        <v>0.84499999999999997</v>
      </c>
      <c r="AH232">
        <f t="shared" si="14"/>
        <v>0.59570431457312989</v>
      </c>
      <c r="AI232">
        <f t="shared" si="15"/>
        <v>0.24929568542687008</v>
      </c>
    </row>
    <row r="233" spans="28:35" x14ac:dyDescent="0.35">
      <c r="AB233">
        <v>7</v>
      </c>
      <c r="AC233">
        <v>751</v>
      </c>
      <c r="AF233" s="2">
        <f t="shared" si="12"/>
        <v>7.0000000000000001E-3</v>
      </c>
      <c r="AG233">
        <f t="shared" si="13"/>
        <v>0.751</v>
      </c>
      <c r="AH233">
        <f t="shared" si="14"/>
        <v>0.67217883422049818</v>
      </c>
      <c r="AI233">
        <f t="shared" si="15"/>
        <v>7.8821165779501823E-2</v>
      </c>
    </row>
    <row r="234" spans="28:35" x14ac:dyDescent="0.35">
      <c r="AB234">
        <v>11</v>
      </c>
      <c r="AC234">
        <v>665</v>
      </c>
      <c r="AF234" s="2">
        <f t="shared" si="12"/>
        <v>1.0999999999999999E-2</v>
      </c>
      <c r="AG234">
        <f t="shared" si="13"/>
        <v>0.66500000000000004</v>
      </c>
      <c r="AH234">
        <f t="shared" si="14"/>
        <v>0.57219762357525106</v>
      </c>
      <c r="AI234">
        <f t="shared" si="15"/>
        <v>9.2802376424748978E-2</v>
      </c>
    </row>
    <row r="235" spans="28:35" x14ac:dyDescent="0.35">
      <c r="AB235">
        <v>7</v>
      </c>
      <c r="AC235">
        <v>748</v>
      </c>
      <c r="AF235" s="2">
        <f t="shared" si="12"/>
        <v>7.0000000000000001E-3</v>
      </c>
      <c r="AG235">
        <f t="shared" si="13"/>
        <v>0.748</v>
      </c>
      <c r="AH235">
        <f t="shared" si="14"/>
        <v>0.67217883422049818</v>
      </c>
      <c r="AI235">
        <f t="shared" si="15"/>
        <v>7.582116577950182E-2</v>
      </c>
    </row>
    <row r="236" spans="28:35" x14ac:dyDescent="0.35">
      <c r="AB236">
        <v>12</v>
      </c>
      <c r="AC236">
        <v>534</v>
      </c>
      <c r="AF236" s="2">
        <f t="shared" si="12"/>
        <v>1.2E-2</v>
      </c>
      <c r="AG236">
        <f t="shared" si="13"/>
        <v>0.53400000000000003</v>
      </c>
      <c r="AH236">
        <f t="shared" si="14"/>
        <v>0.54961851444668564</v>
      </c>
      <c r="AI236">
        <f t="shared" si="15"/>
        <v>-1.5618514446685605E-2</v>
      </c>
    </row>
    <row r="237" spans="28:35" x14ac:dyDescent="0.35">
      <c r="AB237">
        <v>12</v>
      </c>
      <c r="AC237">
        <v>540</v>
      </c>
      <c r="AF237" s="2">
        <f t="shared" si="12"/>
        <v>1.2E-2</v>
      </c>
      <c r="AG237">
        <f t="shared" si="13"/>
        <v>0.54</v>
      </c>
      <c r="AH237">
        <f t="shared" si="14"/>
        <v>0.54961851444668564</v>
      </c>
      <c r="AI237">
        <f t="shared" si="15"/>
        <v>-9.6185144466855999E-3</v>
      </c>
    </row>
    <row r="238" spans="28:35" x14ac:dyDescent="0.35">
      <c r="AB238">
        <v>9</v>
      </c>
      <c r="AC238">
        <v>684</v>
      </c>
      <c r="AF238" s="2">
        <f t="shared" si="12"/>
        <v>8.9999999999999993E-3</v>
      </c>
      <c r="AG238">
        <f t="shared" si="13"/>
        <v>0.68400000000000005</v>
      </c>
      <c r="AH238">
        <f t="shared" si="14"/>
        <v>0.62017669382084306</v>
      </c>
      <c r="AI238">
        <f t="shared" si="15"/>
        <v>6.3823306179156991E-2</v>
      </c>
    </row>
    <row r="239" spans="28:35" x14ac:dyDescent="0.35">
      <c r="AB239">
        <v>17</v>
      </c>
      <c r="AC239">
        <v>427</v>
      </c>
      <c r="AF239" s="2">
        <f t="shared" si="12"/>
        <v>1.7000000000000001E-2</v>
      </c>
      <c r="AG239">
        <f t="shared" si="13"/>
        <v>0.42699999999999999</v>
      </c>
      <c r="AH239">
        <f t="shared" si="14"/>
        <v>0.44940497386070405</v>
      </c>
      <c r="AI239">
        <f t="shared" si="15"/>
        <v>-2.2404973860704058E-2</v>
      </c>
    </row>
    <row r="240" spans="28:35" x14ac:dyDescent="0.35">
      <c r="AB240">
        <v>10</v>
      </c>
      <c r="AC240">
        <v>831</v>
      </c>
      <c r="AF240" s="2">
        <f t="shared" si="12"/>
        <v>0.01</v>
      </c>
      <c r="AG240">
        <f t="shared" si="13"/>
        <v>0.83099999999999996</v>
      </c>
      <c r="AH240">
        <f t="shared" si="14"/>
        <v>0.59570431457312989</v>
      </c>
      <c r="AI240">
        <f t="shared" si="15"/>
        <v>0.23529568542687007</v>
      </c>
    </row>
    <row r="241" spans="28:35" x14ac:dyDescent="0.35">
      <c r="AB241">
        <v>8</v>
      </c>
      <c r="AC241">
        <v>662</v>
      </c>
      <c r="AF241" s="2">
        <f t="shared" si="12"/>
        <v>8.0000000000000002E-3</v>
      </c>
      <c r="AG241">
        <f t="shared" si="13"/>
        <v>0.66200000000000003</v>
      </c>
      <c r="AH241">
        <f t="shared" si="14"/>
        <v>0.64565443316314119</v>
      </c>
      <c r="AI241">
        <f t="shared" si="15"/>
        <v>1.6345566836858838E-2</v>
      </c>
    </row>
    <row r="242" spans="28:35" x14ac:dyDescent="0.35">
      <c r="AB242">
        <v>7</v>
      </c>
      <c r="AC242">
        <v>749</v>
      </c>
      <c r="AF242" s="2">
        <f t="shared" si="12"/>
        <v>7.0000000000000001E-3</v>
      </c>
      <c r="AG242">
        <f t="shared" si="13"/>
        <v>0.749</v>
      </c>
      <c r="AH242">
        <f t="shared" si="14"/>
        <v>0.67217883422049818</v>
      </c>
      <c r="AI242">
        <f t="shared" si="15"/>
        <v>7.6821165779501821E-2</v>
      </c>
    </row>
    <row r="243" spans="28:35" x14ac:dyDescent="0.35">
      <c r="AB243">
        <v>5</v>
      </c>
      <c r="AC243">
        <v>518</v>
      </c>
      <c r="AF243" s="2">
        <f t="shared" si="12"/>
        <v>5.0000000000000001E-3</v>
      </c>
      <c r="AG243">
        <f t="shared" si="13"/>
        <v>0.51800000000000002</v>
      </c>
      <c r="AH243">
        <f t="shared" si="14"/>
        <v>0.72854138131245416</v>
      </c>
      <c r="AI243">
        <f t="shared" si="15"/>
        <v>-0.21054138131245415</v>
      </c>
    </row>
    <row r="244" spans="28:35" x14ac:dyDescent="0.35">
      <c r="AB244">
        <v>9</v>
      </c>
      <c r="AC244">
        <v>713</v>
      </c>
      <c r="AF244" s="2">
        <f t="shared" si="12"/>
        <v>8.9999999999999993E-3</v>
      </c>
      <c r="AG244">
        <f t="shared" si="13"/>
        <v>0.71299999999999997</v>
      </c>
      <c r="AH244">
        <f t="shared" si="14"/>
        <v>0.62017669382084306</v>
      </c>
      <c r="AI244">
        <f t="shared" si="15"/>
        <v>9.2823306179156906E-2</v>
      </c>
    </row>
    <row r="245" spans="28:35" x14ac:dyDescent="0.35">
      <c r="AB245">
        <v>5</v>
      </c>
      <c r="AC245">
        <v>521</v>
      </c>
      <c r="AF245" s="2">
        <f t="shared" si="12"/>
        <v>5.0000000000000001E-3</v>
      </c>
      <c r="AG245">
        <f t="shared" si="13"/>
        <v>0.52100000000000002</v>
      </c>
      <c r="AH245">
        <f t="shared" si="14"/>
        <v>0.72854138131245416</v>
      </c>
      <c r="AI245">
        <f t="shared" si="15"/>
        <v>-0.20754138131245414</v>
      </c>
    </row>
    <row r="246" spans="28:35" x14ac:dyDescent="0.35">
      <c r="AB246">
        <v>4</v>
      </c>
      <c r="AC246">
        <v>786</v>
      </c>
      <c r="AF246" s="2">
        <f t="shared" si="12"/>
        <v>4.0000000000000001E-3</v>
      </c>
      <c r="AG246">
        <f t="shared" si="13"/>
        <v>0.78600000000000003</v>
      </c>
      <c r="AH246">
        <f t="shared" si="14"/>
        <v>0.75847089591385031</v>
      </c>
      <c r="AI246">
        <f t="shared" si="15"/>
        <v>2.7529104086149725E-2</v>
      </c>
    </row>
    <row r="247" spans="28:35" x14ac:dyDescent="0.35">
      <c r="AB247">
        <v>0</v>
      </c>
      <c r="AC247">
        <v>993</v>
      </c>
      <c r="AF247" s="2">
        <f t="shared" si="12"/>
        <v>0</v>
      </c>
      <c r="AG247">
        <f t="shared" si="13"/>
        <v>0.99299999999999999</v>
      </c>
      <c r="AH247">
        <f t="shared" si="14"/>
        <v>0.89100000000000001</v>
      </c>
      <c r="AI247">
        <f t="shared" si="15"/>
        <v>0.10199999999999998</v>
      </c>
    </row>
    <row r="248" spans="28:35" x14ac:dyDescent="0.35">
      <c r="AB248">
        <v>1</v>
      </c>
      <c r="AC248">
        <v>795</v>
      </c>
      <c r="AF248" s="2">
        <f t="shared" si="12"/>
        <v>1E-3</v>
      </c>
      <c r="AG248">
        <f t="shared" si="13"/>
        <v>0.79500000000000004</v>
      </c>
      <c r="AH248">
        <f t="shared" si="14"/>
        <v>0.85584084273568095</v>
      </c>
      <c r="AI248">
        <f t="shared" si="15"/>
        <v>-6.0840842735680911E-2</v>
      </c>
    </row>
    <row r="249" spans="28:35" x14ac:dyDescent="0.35">
      <c r="AB249">
        <v>0</v>
      </c>
      <c r="AC249">
        <v>996</v>
      </c>
      <c r="AF249" s="2">
        <f t="shared" si="12"/>
        <v>0</v>
      </c>
      <c r="AG249">
        <f t="shared" si="13"/>
        <v>0.996</v>
      </c>
      <c r="AH249">
        <f t="shared" si="14"/>
        <v>0.89100000000000001</v>
      </c>
      <c r="AI249">
        <f t="shared" si="15"/>
        <v>0.10499999999999998</v>
      </c>
    </row>
    <row r="250" spans="28:35" x14ac:dyDescent="0.35">
      <c r="AB250">
        <v>2</v>
      </c>
      <c r="AC250">
        <v>785</v>
      </c>
      <c r="AF250" s="2">
        <f t="shared" si="12"/>
        <v>2E-3</v>
      </c>
      <c r="AG250">
        <f t="shared" si="13"/>
        <v>0.78500000000000003</v>
      </c>
      <c r="AH250">
        <f t="shared" si="14"/>
        <v>0.82206907754716119</v>
      </c>
      <c r="AI250">
        <f t="shared" si="15"/>
        <v>-3.7069077547161156E-2</v>
      </c>
    </row>
    <row r="251" spans="28:35" x14ac:dyDescent="0.35">
      <c r="AB251">
        <v>4</v>
      </c>
      <c r="AC251">
        <v>793</v>
      </c>
      <c r="AF251" s="2">
        <f t="shared" si="12"/>
        <v>4.0000000000000001E-3</v>
      </c>
      <c r="AG251">
        <f t="shared" si="13"/>
        <v>0.79300000000000004</v>
      </c>
      <c r="AH251">
        <f t="shared" si="14"/>
        <v>0.75847089591385031</v>
      </c>
      <c r="AI251">
        <f t="shared" si="15"/>
        <v>3.4529104086149731E-2</v>
      </c>
    </row>
    <row r="252" spans="28:35" x14ac:dyDescent="0.35">
      <c r="AB252">
        <v>3</v>
      </c>
      <c r="AC252">
        <v>763</v>
      </c>
      <c r="AF252" s="2">
        <f t="shared" si="12"/>
        <v>3.0000000000000001E-3</v>
      </c>
      <c r="AG252">
        <f t="shared" si="13"/>
        <v>0.76300000000000001</v>
      </c>
      <c r="AH252">
        <f t="shared" si="14"/>
        <v>0.78962995748025411</v>
      </c>
      <c r="AI252">
        <f t="shared" si="15"/>
        <v>-2.6629957480254096E-2</v>
      </c>
    </row>
    <row r="253" spans="28:35" x14ac:dyDescent="0.35">
      <c r="AB253">
        <v>5</v>
      </c>
      <c r="AC253">
        <v>544</v>
      </c>
      <c r="AF253" s="2">
        <f t="shared" si="12"/>
        <v>5.0000000000000001E-3</v>
      </c>
      <c r="AG253">
        <f t="shared" si="13"/>
        <v>0.54400000000000004</v>
      </c>
      <c r="AH253">
        <f t="shared" si="14"/>
        <v>0.72854138131245416</v>
      </c>
      <c r="AI253">
        <f t="shared" si="15"/>
        <v>-0.18454138131245412</v>
      </c>
    </row>
    <row r="254" spans="28:35" x14ac:dyDescent="0.35">
      <c r="AB254">
        <v>2</v>
      </c>
      <c r="AC254">
        <v>776</v>
      </c>
      <c r="AF254" s="2">
        <f t="shared" si="12"/>
        <v>2E-3</v>
      </c>
      <c r="AG254">
        <f t="shared" si="13"/>
        <v>0.77600000000000002</v>
      </c>
      <c r="AH254">
        <f t="shared" si="14"/>
        <v>0.82206907754716119</v>
      </c>
      <c r="AI254">
        <f t="shared" si="15"/>
        <v>-4.6069077547161164E-2</v>
      </c>
    </row>
    <row r="255" spans="28:35" x14ac:dyDescent="0.35">
      <c r="AB255">
        <v>6</v>
      </c>
      <c r="AC255">
        <v>721</v>
      </c>
      <c r="AF255" s="2">
        <f t="shared" si="12"/>
        <v>6.0000000000000001E-3</v>
      </c>
      <c r="AG255">
        <f t="shared" si="13"/>
        <v>0.72099999999999997</v>
      </c>
      <c r="AH255">
        <f t="shared" si="14"/>
        <v>0.69979289534261269</v>
      </c>
      <c r="AI255">
        <f t="shared" si="15"/>
        <v>2.1207104657387288E-2</v>
      </c>
    </row>
    <row r="256" spans="28:35" x14ac:dyDescent="0.35">
      <c r="AB256">
        <v>2</v>
      </c>
      <c r="AC256">
        <v>784</v>
      </c>
      <c r="AF256" s="2">
        <f t="shared" si="12"/>
        <v>2E-3</v>
      </c>
      <c r="AG256">
        <f t="shared" si="13"/>
        <v>0.78400000000000003</v>
      </c>
      <c r="AH256">
        <f t="shared" si="14"/>
        <v>0.82206907754716119</v>
      </c>
      <c r="AI256">
        <f t="shared" si="15"/>
        <v>-3.8069077547161156E-2</v>
      </c>
    </row>
    <row r="257" spans="28:35" x14ac:dyDescent="0.35">
      <c r="AB257">
        <v>1</v>
      </c>
      <c r="AC257">
        <v>781</v>
      </c>
      <c r="AF257" s="2">
        <f t="shared" si="12"/>
        <v>1E-3</v>
      </c>
      <c r="AG257">
        <f t="shared" si="13"/>
        <v>0.78100000000000003</v>
      </c>
      <c r="AH257">
        <f t="shared" si="14"/>
        <v>0.85584084273568095</v>
      </c>
      <c r="AI257">
        <f t="shared" si="15"/>
        <v>-7.4840842735680924E-2</v>
      </c>
    </row>
    <row r="258" spans="28:35" x14ac:dyDescent="0.35">
      <c r="AB258">
        <v>0</v>
      </c>
      <c r="AC258">
        <v>996</v>
      </c>
      <c r="AF258" s="2">
        <f t="shared" si="12"/>
        <v>0</v>
      </c>
      <c r="AG258">
        <f t="shared" si="13"/>
        <v>0.996</v>
      </c>
      <c r="AH258">
        <f t="shared" si="14"/>
        <v>0.89100000000000001</v>
      </c>
      <c r="AI258">
        <f t="shared" si="15"/>
        <v>0.10499999999999998</v>
      </c>
    </row>
    <row r="259" spans="28:35" x14ac:dyDescent="0.35">
      <c r="AB259">
        <v>1</v>
      </c>
      <c r="AC259">
        <v>796</v>
      </c>
      <c r="AF259" s="2">
        <f t="shared" si="12"/>
        <v>1E-3</v>
      </c>
      <c r="AG259">
        <f t="shared" si="13"/>
        <v>0.79600000000000004</v>
      </c>
      <c r="AH259">
        <f t="shared" si="14"/>
        <v>0.85584084273568095</v>
      </c>
      <c r="AI259">
        <f t="shared" si="15"/>
        <v>-5.984084273568091E-2</v>
      </c>
    </row>
    <row r="260" spans="28:35" x14ac:dyDescent="0.35">
      <c r="AB260">
        <v>1</v>
      </c>
      <c r="AC260">
        <v>792</v>
      </c>
      <c r="AF260" s="2">
        <f t="shared" ref="AF260:AF323" si="16">AB260/1000</f>
        <v>1E-3</v>
      </c>
      <c r="AG260">
        <f t="shared" ref="AG260:AG323" si="17">AC260/1000</f>
        <v>0.79200000000000004</v>
      </c>
      <c r="AH260">
        <f t="shared" ref="AH260:AH323" si="18">0.891*EXP(-40.26*AF260)</f>
        <v>0.85584084273568095</v>
      </c>
      <c r="AI260">
        <f t="shared" ref="AI260:AI323" si="19">AG260-AH260</f>
        <v>-6.3840842735680914E-2</v>
      </c>
    </row>
    <row r="261" spans="28:35" x14ac:dyDescent="0.35">
      <c r="AB261">
        <v>0</v>
      </c>
      <c r="AC261">
        <v>999</v>
      </c>
      <c r="AF261" s="2">
        <f t="shared" si="16"/>
        <v>0</v>
      </c>
      <c r="AG261">
        <f t="shared" si="17"/>
        <v>0.999</v>
      </c>
      <c r="AH261">
        <f t="shared" si="18"/>
        <v>0.89100000000000001</v>
      </c>
      <c r="AI261">
        <f t="shared" si="19"/>
        <v>0.10799999999999998</v>
      </c>
    </row>
    <row r="262" spans="28:35" x14ac:dyDescent="0.35">
      <c r="AB262">
        <v>2</v>
      </c>
      <c r="AC262">
        <v>790</v>
      </c>
      <c r="AF262" s="2">
        <f t="shared" si="16"/>
        <v>2E-3</v>
      </c>
      <c r="AG262">
        <f t="shared" si="17"/>
        <v>0.79</v>
      </c>
      <c r="AH262">
        <f t="shared" si="18"/>
        <v>0.82206907754716119</v>
      </c>
      <c r="AI262">
        <f t="shared" si="19"/>
        <v>-3.2069077547161151E-2</v>
      </c>
    </row>
    <row r="263" spans="28:35" x14ac:dyDescent="0.35">
      <c r="AB263">
        <v>2</v>
      </c>
      <c r="AC263">
        <v>795</v>
      </c>
      <c r="AF263" s="2">
        <f t="shared" si="16"/>
        <v>2E-3</v>
      </c>
      <c r="AG263">
        <f t="shared" si="17"/>
        <v>0.79500000000000004</v>
      </c>
      <c r="AH263">
        <f t="shared" si="18"/>
        <v>0.82206907754716119</v>
      </c>
      <c r="AI263">
        <f t="shared" si="19"/>
        <v>-2.7069077547161147E-2</v>
      </c>
    </row>
    <row r="264" spans="28:35" x14ac:dyDescent="0.35">
      <c r="AB264">
        <v>2</v>
      </c>
      <c r="AC264">
        <v>784</v>
      </c>
      <c r="AF264" s="2">
        <f t="shared" si="16"/>
        <v>2E-3</v>
      </c>
      <c r="AG264">
        <f t="shared" si="17"/>
        <v>0.78400000000000003</v>
      </c>
      <c r="AH264">
        <f t="shared" si="18"/>
        <v>0.82206907754716119</v>
      </c>
      <c r="AI264">
        <f t="shared" si="19"/>
        <v>-3.8069077547161156E-2</v>
      </c>
    </row>
    <row r="265" spans="28:35" x14ac:dyDescent="0.35">
      <c r="AB265">
        <v>5</v>
      </c>
      <c r="AC265">
        <v>539</v>
      </c>
      <c r="AF265" s="2">
        <f t="shared" si="16"/>
        <v>5.0000000000000001E-3</v>
      </c>
      <c r="AG265">
        <f t="shared" si="17"/>
        <v>0.53900000000000003</v>
      </c>
      <c r="AH265">
        <f t="shared" si="18"/>
        <v>0.72854138131245416</v>
      </c>
      <c r="AI265">
        <f t="shared" si="19"/>
        <v>-0.18954138131245413</v>
      </c>
    </row>
    <row r="266" spans="28:35" x14ac:dyDescent="0.35">
      <c r="AB266">
        <v>4</v>
      </c>
      <c r="AC266">
        <v>788</v>
      </c>
      <c r="AF266" s="2">
        <f t="shared" si="16"/>
        <v>4.0000000000000001E-3</v>
      </c>
      <c r="AG266">
        <f t="shared" si="17"/>
        <v>0.78800000000000003</v>
      </c>
      <c r="AH266">
        <f t="shared" si="18"/>
        <v>0.75847089591385031</v>
      </c>
      <c r="AI266">
        <f t="shared" si="19"/>
        <v>2.9529104086149727E-2</v>
      </c>
    </row>
    <row r="267" spans="28:35" x14ac:dyDescent="0.35">
      <c r="AB267">
        <v>5</v>
      </c>
      <c r="AC267">
        <v>528</v>
      </c>
      <c r="AF267" s="2">
        <f t="shared" si="16"/>
        <v>5.0000000000000001E-3</v>
      </c>
      <c r="AG267">
        <f t="shared" si="17"/>
        <v>0.52800000000000002</v>
      </c>
      <c r="AH267">
        <f t="shared" si="18"/>
        <v>0.72854138131245416</v>
      </c>
      <c r="AI267">
        <f t="shared" si="19"/>
        <v>-0.20054138131245414</v>
      </c>
    </row>
    <row r="268" spans="28:35" x14ac:dyDescent="0.35">
      <c r="AB268">
        <v>8</v>
      </c>
      <c r="AC268">
        <v>681</v>
      </c>
      <c r="AF268" s="2">
        <f t="shared" si="16"/>
        <v>8.0000000000000002E-3</v>
      </c>
      <c r="AG268">
        <f t="shared" si="17"/>
        <v>0.68100000000000005</v>
      </c>
      <c r="AH268">
        <f t="shared" si="18"/>
        <v>0.64565443316314119</v>
      </c>
      <c r="AI268">
        <f t="shared" si="19"/>
        <v>3.5345566836858855E-2</v>
      </c>
    </row>
    <row r="269" spans="28:35" x14ac:dyDescent="0.35">
      <c r="AB269">
        <v>5</v>
      </c>
      <c r="AC269">
        <v>519</v>
      </c>
      <c r="AF269" s="2">
        <f t="shared" si="16"/>
        <v>5.0000000000000001E-3</v>
      </c>
      <c r="AG269">
        <f t="shared" si="17"/>
        <v>0.51900000000000002</v>
      </c>
      <c r="AH269">
        <f t="shared" si="18"/>
        <v>0.72854138131245416</v>
      </c>
      <c r="AI269">
        <f t="shared" si="19"/>
        <v>-0.20954138131245414</v>
      </c>
    </row>
    <row r="270" spans="28:35" x14ac:dyDescent="0.35">
      <c r="AB270">
        <v>5</v>
      </c>
      <c r="AC270">
        <v>531</v>
      </c>
      <c r="AF270" s="2">
        <f t="shared" si="16"/>
        <v>5.0000000000000001E-3</v>
      </c>
      <c r="AG270">
        <f t="shared" si="17"/>
        <v>0.53100000000000003</v>
      </c>
      <c r="AH270">
        <f t="shared" si="18"/>
        <v>0.72854138131245416</v>
      </c>
      <c r="AI270">
        <f t="shared" si="19"/>
        <v>-0.19754138131245413</v>
      </c>
    </row>
    <row r="271" spans="28:35" x14ac:dyDescent="0.35">
      <c r="AB271">
        <v>1</v>
      </c>
      <c r="AC271">
        <v>785</v>
      </c>
      <c r="AF271" s="2">
        <f t="shared" si="16"/>
        <v>1E-3</v>
      </c>
      <c r="AG271">
        <f t="shared" si="17"/>
        <v>0.78500000000000003</v>
      </c>
      <c r="AH271">
        <f t="shared" si="18"/>
        <v>0.85584084273568095</v>
      </c>
      <c r="AI271">
        <f t="shared" si="19"/>
        <v>-7.084084273568092E-2</v>
      </c>
    </row>
    <row r="272" spans="28:35" x14ac:dyDescent="0.35">
      <c r="AB272">
        <v>2</v>
      </c>
      <c r="AC272">
        <v>783</v>
      </c>
      <c r="AF272" s="2">
        <f t="shared" si="16"/>
        <v>2E-3</v>
      </c>
      <c r="AG272">
        <f t="shared" si="17"/>
        <v>0.78300000000000003</v>
      </c>
      <c r="AH272">
        <f t="shared" si="18"/>
        <v>0.82206907754716119</v>
      </c>
      <c r="AI272">
        <f t="shared" si="19"/>
        <v>-3.9069077547161157E-2</v>
      </c>
    </row>
    <row r="273" spans="28:35" x14ac:dyDescent="0.35">
      <c r="AB273">
        <v>0</v>
      </c>
      <c r="AC273">
        <v>997</v>
      </c>
      <c r="AF273" s="2">
        <f t="shared" si="16"/>
        <v>0</v>
      </c>
      <c r="AG273">
        <f t="shared" si="17"/>
        <v>0.997</v>
      </c>
      <c r="AH273">
        <f t="shared" si="18"/>
        <v>0.89100000000000001</v>
      </c>
      <c r="AI273">
        <f t="shared" si="19"/>
        <v>0.10599999999999998</v>
      </c>
    </row>
    <row r="274" spans="28:35" x14ac:dyDescent="0.35">
      <c r="AB274">
        <v>1</v>
      </c>
      <c r="AC274">
        <v>798</v>
      </c>
      <c r="AF274" s="2">
        <f t="shared" si="16"/>
        <v>1E-3</v>
      </c>
      <c r="AG274">
        <f t="shared" si="17"/>
        <v>0.79800000000000004</v>
      </c>
      <c r="AH274">
        <f t="shared" si="18"/>
        <v>0.85584084273568095</v>
      </c>
      <c r="AI274">
        <f t="shared" si="19"/>
        <v>-5.7840842735680909E-2</v>
      </c>
    </row>
    <row r="275" spans="28:35" x14ac:dyDescent="0.35">
      <c r="AB275">
        <v>1</v>
      </c>
      <c r="AC275">
        <v>790</v>
      </c>
      <c r="AF275" s="2">
        <f t="shared" si="16"/>
        <v>1E-3</v>
      </c>
      <c r="AG275">
        <f t="shared" si="17"/>
        <v>0.79</v>
      </c>
      <c r="AH275">
        <f t="shared" si="18"/>
        <v>0.85584084273568095</v>
      </c>
      <c r="AI275">
        <f t="shared" si="19"/>
        <v>-6.5840842735680916E-2</v>
      </c>
    </row>
    <row r="276" spans="28:35" x14ac:dyDescent="0.35">
      <c r="AB276">
        <v>0</v>
      </c>
      <c r="AC276">
        <v>998</v>
      </c>
      <c r="AF276" s="2">
        <f t="shared" si="16"/>
        <v>0</v>
      </c>
      <c r="AG276">
        <f t="shared" si="17"/>
        <v>0.998</v>
      </c>
      <c r="AH276">
        <f t="shared" si="18"/>
        <v>0.89100000000000001</v>
      </c>
      <c r="AI276">
        <f t="shared" si="19"/>
        <v>0.10699999999999998</v>
      </c>
    </row>
    <row r="277" spans="28:35" x14ac:dyDescent="0.35">
      <c r="AB277">
        <v>1</v>
      </c>
      <c r="AC277">
        <v>803</v>
      </c>
      <c r="AF277" s="2">
        <f t="shared" si="16"/>
        <v>1E-3</v>
      </c>
      <c r="AG277">
        <f t="shared" si="17"/>
        <v>0.80300000000000005</v>
      </c>
      <c r="AH277">
        <f t="shared" si="18"/>
        <v>0.85584084273568095</v>
      </c>
      <c r="AI277">
        <f t="shared" si="19"/>
        <v>-5.2840842735680904E-2</v>
      </c>
    </row>
    <row r="278" spans="28:35" x14ac:dyDescent="0.35">
      <c r="AB278">
        <v>1</v>
      </c>
      <c r="AC278">
        <v>797</v>
      </c>
      <c r="AF278" s="2">
        <f t="shared" si="16"/>
        <v>1E-3</v>
      </c>
      <c r="AG278">
        <f t="shared" si="17"/>
        <v>0.79700000000000004</v>
      </c>
      <c r="AH278">
        <f t="shared" si="18"/>
        <v>0.85584084273568095</v>
      </c>
      <c r="AI278">
        <f t="shared" si="19"/>
        <v>-5.8840842735680909E-2</v>
      </c>
    </row>
    <row r="279" spans="28:35" x14ac:dyDescent="0.35">
      <c r="AB279">
        <v>1</v>
      </c>
      <c r="AC279">
        <v>807</v>
      </c>
      <c r="AF279" s="2">
        <f t="shared" si="16"/>
        <v>1E-3</v>
      </c>
      <c r="AG279">
        <f t="shared" si="17"/>
        <v>0.80700000000000005</v>
      </c>
      <c r="AH279">
        <f t="shared" si="18"/>
        <v>0.85584084273568095</v>
      </c>
      <c r="AI279">
        <f t="shared" si="19"/>
        <v>-4.8840842735680901E-2</v>
      </c>
    </row>
    <row r="280" spans="28:35" x14ac:dyDescent="0.35">
      <c r="AB280">
        <v>1</v>
      </c>
      <c r="AC280">
        <v>796</v>
      </c>
      <c r="AF280" s="2">
        <f t="shared" si="16"/>
        <v>1E-3</v>
      </c>
      <c r="AG280">
        <f t="shared" si="17"/>
        <v>0.79600000000000004</v>
      </c>
      <c r="AH280">
        <f t="shared" si="18"/>
        <v>0.85584084273568095</v>
      </c>
      <c r="AI280">
        <f t="shared" si="19"/>
        <v>-5.984084273568091E-2</v>
      </c>
    </row>
    <row r="281" spans="28:35" x14ac:dyDescent="0.35">
      <c r="AB281">
        <v>0</v>
      </c>
      <c r="AC281">
        <v>996</v>
      </c>
      <c r="AF281" s="2">
        <f t="shared" si="16"/>
        <v>0</v>
      </c>
      <c r="AG281">
        <f t="shared" si="17"/>
        <v>0.996</v>
      </c>
      <c r="AH281">
        <f t="shared" si="18"/>
        <v>0.89100000000000001</v>
      </c>
      <c r="AI281">
        <f t="shared" si="19"/>
        <v>0.10499999999999998</v>
      </c>
    </row>
    <row r="282" spans="28:35" x14ac:dyDescent="0.35">
      <c r="AB282">
        <v>0</v>
      </c>
      <c r="AC282">
        <v>998</v>
      </c>
      <c r="AF282" s="2">
        <f t="shared" si="16"/>
        <v>0</v>
      </c>
      <c r="AG282">
        <f t="shared" si="17"/>
        <v>0.998</v>
      </c>
      <c r="AH282">
        <f t="shared" si="18"/>
        <v>0.89100000000000001</v>
      </c>
      <c r="AI282">
        <f t="shared" si="19"/>
        <v>0.10699999999999998</v>
      </c>
    </row>
    <row r="283" spans="28:35" x14ac:dyDescent="0.35">
      <c r="AB283" cm="1">
        <f t="array" ref="AB283:AB367">F3:F87</f>
        <v>0</v>
      </c>
      <c r="AC283" cm="1">
        <f t="array" ref="AC283:AC367">S4:S88</f>
        <v>997</v>
      </c>
      <c r="AF283" s="2">
        <f t="shared" si="16"/>
        <v>0</v>
      </c>
      <c r="AG283">
        <f t="shared" si="17"/>
        <v>0.997</v>
      </c>
      <c r="AH283">
        <f t="shared" si="18"/>
        <v>0.89100000000000001</v>
      </c>
      <c r="AI283">
        <f t="shared" si="19"/>
        <v>0.10599999999999998</v>
      </c>
    </row>
    <row r="284" spans="28:35" x14ac:dyDescent="0.35">
      <c r="AB284">
        <v>0</v>
      </c>
      <c r="AC284">
        <v>998</v>
      </c>
      <c r="AF284" s="2">
        <f t="shared" si="16"/>
        <v>0</v>
      </c>
      <c r="AG284">
        <f t="shared" si="17"/>
        <v>0.998</v>
      </c>
      <c r="AH284">
        <f t="shared" si="18"/>
        <v>0.89100000000000001</v>
      </c>
      <c r="AI284">
        <f t="shared" si="19"/>
        <v>0.10699999999999998</v>
      </c>
    </row>
    <row r="285" spans="28:35" x14ac:dyDescent="0.35">
      <c r="AB285">
        <v>0</v>
      </c>
      <c r="AC285">
        <v>996</v>
      </c>
      <c r="AF285" s="2">
        <f t="shared" si="16"/>
        <v>0</v>
      </c>
      <c r="AG285">
        <f t="shared" si="17"/>
        <v>0.996</v>
      </c>
      <c r="AH285">
        <f t="shared" si="18"/>
        <v>0.89100000000000001</v>
      </c>
      <c r="AI285">
        <f t="shared" si="19"/>
        <v>0.10499999999999998</v>
      </c>
    </row>
    <row r="286" spans="28:35" x14ac:dyDescent="0.35">
      <c r="AB286">
        <v>2</v>
      </c>
      <c r="AC286">
        <v>787</v>
      </c>
      <c r="AF286" s="2">
        <f t="shared" si="16"/>
        <v>2E-3</v>
      </c>
      <c r="AG286">
        <f t="shared" si="17"/>
        <v>0.78700000000000003</v>
      </c>
      <c r="AH286">
        <f t="shared" si="18"/>
        <v>0.82206907754716119</v>
      </c>
      <c r="AI286">
        <f t="shared" si="19"/>
        <v>-3.5069077547161154E-2</v>
      </c>
    </row>
    <row r="287" spans="28:35" x14ac:dyDescent="0.35">
      <c r="AB287">
        <v>2</v>
      </c>
      <c r="AC287">
        <v>794</v>
      </c>
      <c r="AF287" s="2">
        <f t="shared" si="16"/>
        <v>2E-3</v>
      </c>
      <c r="AG287">
        <f t="shared" si="17"/>
        <v>0.79400000000000004</v>
      </c>
      <c r="AH287">
        <f t="shared" si="18"/>
        <v>0.82206907754716119</v>
      </c>
      <c r="AI287">
        <f t="shared" si="19"/>
        <v>-2.8069077547161148E-2</v>
      </c>
    </row>
    <row r="288" spans="28:35" x14ac:dyDescent="0.35">
      <c r="AB288">
        <v>5</v>
      </c>
      <c r="AC288">
        <v>533</v>
      </c>
      <c r="AF288" s="2">
        <f t="shared" si="16"/>
        <v>5.0000000000000001E-3</v>
      </c>
      <c r="AG288">
        <f t="shared" si="17"/>
        <v>0.53300000000000003</v>
      </c>
      <c r="AH288">
        <f t="shared" si="18"/>
        <v>0.72854138131245416</v>
      </c>
      <c r="AI288">
        <f t="shared" si="19"/>
        <v>-0.19554138131245413</v>
      </c>
    </row>
    <row r="289" spans="28:35" x14ac:dyDescent="0.35">
      <c r="AB289">
        <v>6</v>
      </c>
      <c r="AC289">
        <v>748</v>
      </c>
      <c r="AF289" s="2">
        <f t="shared" si="16"/>
        <v>6.0000000000000001E-3</v>
      </c>
      <c r="AG289">
        <f t="shared" si="17"/>
        <v>0.748</v>
      </c>
      <c r="AH289">
        <f t="shared" si="18"/>
        <v>0.69979289534261269</v>
      </c>
      <c r="AI289">
        <f t="shared" si="19"/>
        <v>4.8207104657387312E-2</v>
      </c>
    </row>
    <row r="290" spans="28:35" x14ac:dyDescent="0.35">
      <c r="AB290">
        <v>8</v>
      </c>
      <c r="AC290">
        <v>685</v>
      </c>
      <c r="AF290" s="2">
        <f t="shared" si="16"/>
        <v>8.0000000000000002E-3</v>
      </c>
      <c r="AG290">
        <f t="shared" si="17"/>
        <v>0.68500000000000005</v>
      </c>
      <c r="AH290">
        <f t="shared" si="18"/>
        <v>0.64565443316314119</v>
      </c>
      <c r="AI290">
        <f t="shared" si="19"/>
        <v>3.9345566836858858E-2</v>
      </c>
    </row>
    <row r="291" spans="28:35" x14ac:dyDescent="0.35">
      <c r="AB291">
        <v>10</v>
      </c>
      <c r="AC291">
        <v>841</v>
      </c>
      <c r="AF291" s="2">
        <f t="shared" si="16"/>
        <v>0.01</v>
      </c>
      <c r="AG291">
        <f t="shared" si="17"/>
        <v>0.84099999999999997</v>
      </c>
      <c r="AH291">
        <f t="shared" si="18"/>
        <v>0.59570431457312989</v>
      </c>
      <c r="AI291">
        <f t="shared" si="19"/>
        <v>0.24529568542687008</v>
      </c>
    </row>
    <row r="292" spans="28:35" x14ac:dyDescent="0.35">
      <c r="AB292">
        <v>10</v>
      </c>
      <c r="AC292">
        <v>847</v>
      </c>
      <c r="AF292" s="2">
        <f t="shared" si="16"/>
        <v>0.01</v>
      </c>
      <c r="AG292">
        <f t="shared" si="17"/>
        <v>0.84699999999999998</v>
      </c>
      <c r="AH292">
        <f t="shared" si="18"/>
        <v>0.59570431457312989</v>
      </c>
      <c r="AI292">
        <f t="shared" si="19"/>
        <v>0.25129568542687009</v>
      </c>
    </row>
    <row r="293" spans="28:35" x14ac:dyDescent="0.35">
      <c r="AB293">
        <v>9</v>
      </c>
      <c r="AC293">
        <v>686</v>
      </c>
      <c r="AF293" s="2">
        <f t="shared" si="16"/>
        <v>8.9999999999999993E-3</v>
      </c>
      <c r="AG293">
        <f t="shared" si="17"/>
        <v>0.68600000000000005</v>
      </c>
      <c r="AH293">
        <f t="shared" si="18"/>
        <v>0.62017669382084306</v>
      </c>
      <c r="AI293">
        <f t="shared" si="19"/>
        <v>6.5823306179156993E-2</v>
      </c>
    </row>
    <row r="294" spans="28:35" x14ac:dyDescent="0.35">
      <c r="AB294">
        <v>15</v>
      </c>
      <c r="AC294">
        <v>366</v>
      </c>
      <c r="AF294" s="2">
        <f t="shared" si="16"/>
        <v>1.4999999999999999E-2</v>
      </c>
      <c r="AG294">
        <f t="shared" si="17"/>
        <v>0.36599999999999999</v>
      </c>
      <c r="AH294">
        <f t="shared" si="18"/>
        <v>0.48708781615364399</v>
      </c>
      <c r="AI294">
        <f t="shared" si="19"/>
        <v>-0.121087816153644</v>
      </c>
    </row>
    <row r="295" spans="28:35" x14ac:dyDescent="0.35">
      <c r="AB295">
        <v>17</v>
      </c>
      <c r="AC295">
        <v>446</v>
      </c>
      <c r="AF295" s="2">
        <f t="shared" si="16"/>
        <v>1.7000000000000001E-2</v>
      </c>
      <c r="AG295">
        <f t="shared" si="17"/>
        <v>0.44600000000000001</v>
      </c>
      <c r="AH295">
        <f t="shared" si="18"/>
        <v>0.44940497386070405</v>
      </c>
      <c r="AI295">
        <f t="shared" si="19"/>
        <v>-3.4049738607040414E-3</v>
      </c>
    </row>
    <row r="296" spans="28:35" x14ac:dyDescent="0.35">
      <c r="AB296">
        <v>34</v>
      </c>
      <c r="AC296">
        <v>197</v>
      </c>
      <c r="AF296" s="2">
        <f t="shared" si="16"/>
        <v>3.4000000000000002E-2</v>
      </c>
      <c r="AG296">
        <f t="shared" si="17"/>
        <v>0.19700000000000001</v>
      </c>
      <c r="AH296">
        <f t="shared" si="18"/>
        <v>0.22667208813775547</v>
      </c>
      <c r="AI296">
        <f t="shared" si="19"/>
        <v>-2.9672088137755459E-2</v>
      </c>
    </row>
    <row r="297" spans="28:35" x14ac:dyDescent="0.35">
      <c r="AB297">
        <v>27</v>
      </c>
      <c r="AC297">
        <v>279</v>
      </c>
      <c r="AF297" s="2">
        <f t="shared" si="16"/>
        <v>2.7E-2</v>
      </c>
      <c r="AG297">
        <f t="shared" si="17"/>
        <v>0.27900000000000003</v>
      </c>
      <c r="AH297">
        <f t="shared" si="18"/>
        <v>0.30046294267053431</v>
      </c>
      <c r="AI297">
        <f t="shared" si="19"/>
        <v>-2.146294267053428E-2</v>
      </c>
    </row>
    <row r="298" spans="28:35" x14ac:dyDescent="0.35">
      <c r="AB298">
        <v>7</v>
      </c>
      <c r="AC298">
        <v>722</v>
      </c>
      <c r="AF298" s="2">
        <f t="shared" si="16"/>
        <v>7.0000000000000001E-3</v>
      </c>
      <c r="AG298">
        <f t="shared" si="17"/>
        <v>0.72199999999999998</v>
      </c>
      <c r="AH298">
        <f t="shared" si="18"/>
        <v>0.67217883422049818</v>
      </c>
      <c r="AI298">
        <f t="shared" si="19"/>
        <v>4.9821165779501797E-2</v>
      </c>
    </row>
    <row r="299" spans="28:35" x14ac:dyDescent="0.35">
      <c r="AB299">
        <v>8</v>
      </c>
      <c r="AC299">
        <v>670</v>
      </c>
      <c r="AF299" s="2">
        <f t="shared" si="16"/>
        <v>8.0000000000000002E-3</v>
      </c>
      <c r="AG299">
        <f t="shared" si="17"/>
        <v>0.67</v>
      </c>
      <c r="AH299">
        <f t="shared" si="18"/>
        <v>0.64565443316314119</v>
      </c>
      <c r="AI299">
        <f t="shared" si="19"/>
        <v>2.4345566836858845E-2</v>
      </c>
    </row>
    <row r="300" spans="28:35" x14ac:dyDescent="0.35">
      <c r="AB300">
        <v>1</v>
      </c>
      <c r="AC300">
        <v>770</v>
      </c>
      <c r="AF300" s="2">
        <f t="shared" si="16"/>
        <v>1E-3</v>
      </c>
      <c r="AG300">
        <f t="shared" si="17"/>
        <v>0.77</v>
      </c>
      <c r="AH300">
        <f t="shared" si="18"/>
        <v>0.85584084273568095</v>
      </c>
      <c r="AI300">
        <f t="shared" si="19"/>
        <v>-8.5840842735680933E-2</v>
      </c>
    </row>
    <row r="301" spans="28:35" x14ac:dyDescent="0.35">
      <c r="AB301">
        <v>4</v>
      </c>
      <c r="AC301">
        <v>779</v>
      </c>
      <c r="AF301" s="2">
        <f t="shared" si="16"/>
        <v>4.0000000000000001E-3</v>
      </c>
      <c r="AG301">
        <f t="shared" si="17"/>
        <v>0.77900000000000003</v>
      </c>
      <c r="AH301">
        <f t="shared" si="18"/>
        <v>0.75847089591385031</v>
      </c>
      <c r="AI301">
        <f t="shared" si="19"/>
        <v>2.0529104086149719E-2</v>
      </c>
    </row>
    <row r="302" spans="28:35" x14ac:dyDescent="0.35">
      <c r="AB302">
        <v>2</v>
      </c>
      <c r="AC302">
        <v>777</v>
      </c>
      <c r="AF302" s="2">
        <f t="shared" si="16"/>
        <v>2E-3</v>
      </c>
      <c r="AG302">
        <f t="shared" si="17"/>
        <v>0.77700000000000002</v>
      </c>
      <c r="AH302">
        <f t="shared" si="18"/>
        <v>0.82206907754716119</v>
      </c>
      <c r="AI302">
        <f t="shared" si="19"/>
        <v>-4.5069077547161163E-2</v>
      </c>
    </row>
    <row r="303" spans="28:35" x14ac:dyDescent="0.35">
      <c r="AB303">
        <v>2</v>
      </c>
      <c r="AC303">
        <v>781</v>
      </c>
      <c r="AF303" s="2">
        <f t="shared" si="16"/>
        <v>2E-3</v>
      </c>
      <c r="AG303">
        <f t="shared" si="17"/>
        <v>0.78100000000000003</v>
      </c>
      <c r="AH303">
        <f t="shared" si="18"/>
        <v>0.82206907754716119</v>
      </c>
      <c r="AI303">
        <f t="shared" si="19"/>
        <v>-4.1069077547161159E-2</v>
      </c>
    </row>
    <row r="304" spans="28:35" x14ac:dyDescent="0.35">
      <c r="AB304">
        <v>5</v>
      </c>
      <c r="AC304">
        <v>537</v>
      </c>
      <c r="AF304" s="2">
        <f t="shared" si="16"/>
        <v>5.0000000000000001E-3</v>
      </c>
      <c r="AG304">
        <f t="shared" si="17"/>
        <v>0.53700000000000003</v>
      </c>
      <c r="AH304">
        <f t="shared" si="18"/>
        <v>0.72854138131245416</v>
      </c>
      <c r="AI304">
        <f t="shared" si="19"/>
        <v>-0.19154138131245413</v>
      </c>
    </row>
    <row r="305" spans="28:35" x14ac:dyDescent="0.35">
      <c r="AB305">
        <v>9</v>
      </c>
      <c r="AC305">
        <v>700</v>
      </c>
      <c r="AF305" s="2">
        <f t="shared" si="16"/>
        <v>8.9999999999999993E-3</v>
      </c>
      <c r="AG305">
        <f t="shared" si="17"/>
        <v>0.7</v>
      </c>
      <c r="AH305">
        <f t="shared" si="18"/>
        <v>0.62017669382084306</v>
      </c>
      <c r="AI305">
        <f t="shared" si="19"/>
        <v>7.9823306179156894E-2</v>
      </c>
    </row>
    <row r="306" spans="28:35" x14ac:dyDescent="0.35">
      <c r="AB306">
        <v>11</v>
      </c>
      <c r="AC306">
        <v>692</v>
      </c>
      <c r="AF306" s="2">
        <f t="shared" si="16"/>
        <v>1.0999999999999999E-2</v>
      </c>
      <c r="AG306">
        <f t="shared" si="17"/>
        <v>0.69199999999999995</v>
      </c>
      <c r="AH306">
        <f t="shared" si="18"/>
        <v>0.57219762357525106</v>
      </c>
      <c r="AI306">
        <f t="shared" si="19"/>
        <v>0.11980237642474889</v>
      </c>
    </row>
    <row r="307" spans="28:35" x14ac:dyDescent="0.35">
      <c r="AB307">
        <v>10</v>
      </c>
      <c r="AC307">
        <v>855</v>
      </c>
      <c r="AF307" s="2">
        <f t="shared" si="16"/>
        <v>0.01</v>
      </c>
      <c r="AG307">
        <f t="shared" si="17"/>
        <v>0.85499999999999998</v>
      </c>
      <c r="AH307">
        <f t="shared" si="18"/>
        <v>0.59570431457312989</v>
      </c>
      <c r="AI307">
        <f t="shared" si="19"/>
        <v>0.25929568542687009</v>
      </c>
    </row>
    <row r="308" spans="28:35" x14ac:dyDescent="0.35">
      <c r="AB308">
        <v>5</v>
      </c>
      <c r="AC308">
        <v>514</v>
      </c>
      <c r="AF308" s="2">
        <f t="shared" si="16"/>
        <v>5.0000000000000001E-3</v>
      </c>
      <c r="AG308">
        <f t="shared" si="17"/>
        <v>0.51400000000000001</v>
      </c>
      <c r="AH308">
        <f t="shared" si="18"/>
        <v>0.72854138131245416</v>
      </c>
      <c r="AI308">
        <f t="shared" si="19"/>
        <v>-0.21454138131245415</v>
      </c>
    </row>
    <row r="309" spans="28:35" x14ac:dyDescent="0.35">
      <c r="AB309">
        <v>9</v>
      </c>
      <c r="AC309">
        <v>703</v>
      </c>
      <c r="AF309" s="2">
        <f t="shared" si="16"/>
        <v>8.9999999999999993E-3</v>
      </c>
      <c r="AG309">
        <f t="shared" si="17"/>
        <v>0.70299999999999996</v>
      </c>
      <c r="AH309">
        <f t="shared" si="18"/>
        <v>0.62017669382084306</v>
      </c>
      <c r="AI309">
        <f t="shared" si="19"/>
        <v>8.2823306179156897E-2</v>
      </c>
    </row>
    <row r="310" spans="28:35" x14ac:dyDescent="0.35">
      <c r="AB310">
        <v>4</v>
      </c>
      <c r="AC310">
        <v>771</v>
      </c>
      <c r="AF310" s="2">
        <f t="shared" si="16"/>
        <v>4.0000000000000001E-3</v>
      </c>
      <c r="AG310">
        <f t="shared" si="17"/>
        <v>0.77100000000000002</v>
      </c>
      <c r="AH310">
        <f t="shared" si="18"/>
        <v>0.75847089591385031</v>
      </c>
      <c r="AI310">
        <f t="shared" si="19"/>
        <v>1.2529104086149712E-2</v>
      </c>
    </row>
    <row r="311" spans="28:35" x14ac:dyDescent="0.35">
      <c r="AB311">
        <v>13</v>
      </c>
      <c r="AC311">
        <v>477</v>
      </c>
      <c r="AF311" s="2">
        <f t="shared" si="16"/>
        <v>1.2999999999999999E-2</v>
      </c>
      <c r="AG311">
        <f t="shared" si="17"/>
        <v>0.47699999999999998</v>
      </c>
      <c r="AH311">
        <f t="shared" si="18"/>
        <v>0.52793038449740115</v>
      </c>
      <c r="AI311">
        <f t="shared" si="19"/>
        <v>-5.0930384497401171E-2</v>
      </c>
    </row>
    <row r="312" spans="28:35" x14ac:dyDescent="0.35">
      <c r="AB312">
        <v>4</v>
      </c>
      <c r="AC312">
        <v>780</v>
      </c>
      <c r="AF312" s="2">
        <f t="shared" si="16"/>
        <v>4.0000000000000001E-3</v>
      </c>
      <c r="AG312">
        <f t="shared" si="17"/>
        <v>0.78</v>
      </c>
      <c r="AH312">
        <f t="shared" si="18"/>
        <v>0.75847089591385031</v>
      </c>
      <c r="AI312">
        <f t="shared" si="19"/>
        <v>2.152910408614972E-2</v>
      </c>
    </row>
    <row r="313" spans="28:35" x14ac:dyDescent="0.35">
      <c r="AB313">
        <v>8</v>
      </c>
      <c r="AC313">
        <v>679</v>
      </c>
      <c r="AF313" s="2">
        <f t="shared" si="16"/>
        <v>8.0000000000000002E-3</v>
      </c>
      <c r="AG313">
        <f t="shared" si="17"/>
        <v>0.67900000000000005</v>
      </c>
      <c r="AH313">
        <f t="shared" si="18"/>
        <v>0.64565443316314119</v>
      </c>
      <c r="AI313">
        <f t="shared" si="19"/>
        <v>3.3345566836858853E-2</v>
      </c>
    </row>
    <row r="314" spans="28:35" x14ac:dyDescent="0.35">
      <c r="AB314">
        <v>3</v>
      </c>
      <c r="AC314">
        <v>763</v>
      </c>
      <c r="AF314" s="2">
        <f t="shared" si="16"/>
        <v>3.0000000000000001E-3</v>
      </c>
      <c r="AG314">
        <f t="shared" si="17"/>
        <v>0.76300000000000001</v>
      </c>
      <c r="AH314">
        <f t="shared" si="18"/>
        <v>0.78962995748025411</v>
      </c>
      <c r="AI314">
        <f t="shared" si="19"/>
        <v>-2.6629957480254096E-2</v>
      </c>
    </row>
    <row r="315" spans="28:35" x14ac:dyDescent="0.35">
      <c r="AB315">
        <v>0</v>
      </c>
      <c r="AC315">
        <v>995</v>
      </c>
      <c r="AF315" s="2">
        <f t="shared" si="16"/>
        <v>0</v>
      </c>
      <c r="AG315">
        <f t="shared" si="17"/>
        <v>0.995</v>
      </c>
      <c r="AH315">
        <f t="shared" si="18"/>
        <v>0.89100000000000001</v>
      </c>
      <c r="AI315">
        <f t="shared" si="19"/>
        <v>0.10399999999999998</v>
      </c>
    </row>
    <row r="316" spans="28:35" x14ac:dyDescent="0.35">
      <c r="AB316">
        <v>4</v>
      </c>
      <c r="AC316">
        <v>792</v>
      </c>
      <c r="AF316" s="2">
        <f t="shared" si="16"/>
        <v>4.0000000000000001E-3</v>
      </c>
      <c r="AG316">
        <f t="shared" si="17"/>
        <v>0.79200000000000004</v>
      </c>
      <c r="AH316">
        <f t="shared" si="18"/>
        <v>0.75847089591385031</v>
      </c>
      <c r="AI316">
        <f t="shared" si="19"/>
        <v>3.352910408614973E-2</v>
      </c>
    </row>
    <row r="317" spans="28:35" x14ac:dyDescent="0.35">
      <c r="AB317">
        <v>1</v>
      </c>
      <c r="AC317">
        <v>791</v>
      </c>
      <c r="AF317" s="2">
        <f t="shared" si="16"/>
        <v>1E-3</v>
      </c>
      <c r="AG317">
        <f t="shared" si="17"/>
        <v>0.79100000000000004</v>
      </c>
      <c r="AH317">
        <f t="shared" si="18"/>
        <v>0.85584084273568095</v>
      </c>
      <c r="AI317">
        <f t="shared" si="19"/>
        <v>-6.4840842735680915E-2</v>
      </c>
    </row>
    <row r="318" spans="28:35" x14ac:dyDescent="0.35">
      <c r="AB318">
        <v>1</v>
      </c>
      <c r="AC318">
        <v>778</v>
      </c>
      <c r="AF318" s="2">
        <f t="shared" si="16"/>
        <v>1E-3</v>
      </c>
      <c r="AG318">
        <f t="shared" si="17"/>
        <v>0.77800000000000002</v>
      </c>
      <c r="AH318">
        <f t="shared" si="18"/>
        <v>0.85584084273568095</v>
      </c>
      <c r="AI318">
        <f t="shared" si="19"/>
        <v>-7.7840842735680926E-2</v>
      </c>
    </row>
    <row r="319" spans="28:35" x14ac:dyDescent="0.35">
      <c r="AB319">
        <v>10</v>
      </c>
      <c r="AC319">
        <v>864</v>
      </c>
      <c r="AF319" s="2">
        <f t="shared" si="16"/>
        <v>0.01</v>
      </c>
      <c r="AG319">
        <f t="shared" si="17"/>
        <v>0.86399999999999999</v>
      </c>
      <c r="AH319">
        <f t="shared" si="18"/>
        <v>0.59570431457312989</v>
      </c>
      <c r="AI319">
        <f t="shared" si="19"/>
        <v>0.2682956854268701</v>
      </c>
    </row>
    <row r="320" spans="28:35" x14ac:dyDescent="0.35">
      <c r="AB320">
        <v>4</v>
      </c>
      <c r="AC320">
        <v>783</v>
      </c>
      <c r="AF320" s="2">
        <f t="shared" si="16"/>
        <v>4.0000000000000001E-3</v>
      </c>
      <c r="AG320">
        <f t="shared" si="17"/>
        <v>0.78300000000000003</v>
      </c>
      <c r="AH320">
        <f t="shared" si="18"/>
        <v>0.75847089591385031</v>
      </c>
      <c r="AI320">
        <f t="shared" si="19"/>
        <v>2.4529104086149722E-2</v>
      </c>
    </row>
    <row r="321" spans="28:35" x14ac:dyDescent="0.35">
      <c r="AB321">
        <v>8</v>
      </c>
      <c r="AC321">
        <v>681</v>
      </c>
      <c r="AF321" s="2">
        <f t="shared" si="16"/>
        <v>8.0000000000000002E-3</v>
      </c>
      <c r="AG321">
        <f t="shared" si="17"/>
        <v>0.68100000000000005</v>
      </c>
      <c r="AH321">
        <f t="shared" si="18"/>
        <v>0.64565443316314119</v>
      </c>
      <c r="AI321">
        <f t="shared" si="19"/>
        <v>3.5345566836858855E-2</v>
      </c>
    </row>
    <row r="322" spans="28:35" x14ac:dyDescent="0.35">
      <c r="AB322">
        <v>7</v>
      </c>
      <c r="AC322">
        <v>761</v>
      </c>
      <c r="AF322" s="2">
        <f t="shared" si="16"/>
        <v>7.0000000000000001E-3</v>
      </c>
      <c r="AG322">
        <f t="shared" si="17"/>
        <v>0.76100000000000001</v>
      </c>
      <c r="AH322">
        <f t="shared" si="18"/>
        <v>0.67217883422049818</v>
      </c>
      <c r="AI322">
        <f t="shared" si="19"/>
        <v>8.8821165779501832E-2</v>
      </c>
    </row>
    <row r="323" spans="28:35" x14ac:dyDescent="0.35">
      <c r="AB323">
        <v>9</v>
      </c>
      <c r="AC323">
        <v>697</v>
      </c>
      <c r="AF323" s="2">
        <f t="shared" si="16"/>
        <v>8.9999999999999993E-3</v>
      </c>
      <c r="AG323">
        <f t="shared" si="17"/>
        <v>0.69699999999999995</v>
      </c>
      <c r="AH323">
        <f t="shared" si="18"/>
        <v>0.62017669382084306</v>
      </c>
      <c r="AI323">
        <f t="shared" si="19"/>
        <v>7.6823306179156892E-2</v>
      </c>
    </row>
    <row r="324" spans="28:35" x14ac:dyDescent="0.35">
      <c r="AB324">
        <v>13</v>
      </c>
      <c r="AC324">
        <v>475</v>
      </c>
      <c r="AF324" s="2">
        <f t="shared" ref="AF324:AF387" si="20">AB324/1000</f>
        <v>1.2999999999999999E-2</v>
      </c>
      <c r="AG324">
        <f t="shared" ref="AG324:AG387" si="21">AC324/1000</f>
        <v>0.47499999999999998</v>
      </c>
      <c r="AH324">
        <f t="shared" ref="AH324:AH387" si="22">0.891*EXP(-40.26*AF324)</f>
        <v>0.52793038449740115</v>
      </c>
      <c r="AI324">
        <f t="shared" ref="AI324:AI387" si="23">AG324-AH324</f>
        <v>-5.2930384497401173E-2</v>
      </c>
    </row>
    <row r="325" spans="28:35" x14ac:dyDescent="0.35">
      <c r="AB325">
        <v>4</v>
      </c>
      <c r="AC325">
        <v>767</v>
      </c>
      <c r="AF325" s="2">
        <f t="shared" si="20"/>
        <v>4.0000000000000001E-3</v>
      </c>
      <c r="AG325">
        <f t="shared" si="21"/>
        <v>0.76700000000000002</v>
      </c>
      <c r="AH325">
        <f t="shared" si="22"/>
        <v>0.75847089591385031</v>
      </c>
      <c r="AI325">
        <f t="shared" si="23"/>
        <v>8.5291040861497081E-3</v>
      </c>
    </row>
    <row r="326" spans="28:35" x14ac:dyDescent="0.35">
      <c r="AB326">
        <v>12</v>
      </c>
      <c r="AC326">
        <v>578</v>
      </c>
      <c r="AF326" s="2">
        <f t="shared" si="20"/>
        <v>1.2E-2</v>
      </c>
      <c r="AG326">
        <f t="shared" si="21"/>
        <v>0.57799999999999996</v>
      </c>
      <c r="AH326">
        <f t="shared" si="22"/>
        <v>0.54961851444668564</v>
      </c>
      <c r="AI326">
        <f t="shared" si="23"/>
        <v>2.8381485553314323E-2</v>
      </c>
    </row>
    <row r="327" spans="28:35" x14ac:dyDescent="0.35">
      <c r="AB327">
        <v>7</v>
      </c>
      <c r="AC327">
        <v>770</v>
      </c>
      <c r="AF327" s="2">
        <f t="shared" si="20"/>
        <v>7.0000000000000001E-3</v>
      </c>
      <c r="AG327">
        <f t="shared" si="21"/>
        <v>0.77</v>
      </c>
      <c r="AH327">
        <f t="shared" si="22"/>
        <v>0.67217883422049818</v>
      </c>
      <c r="AI327">
        <f t="shared" si="23"/>
        <v>9.782116577950184E-2</v>
      </c>
    </row>
    <row r="328" spans="28:35" x14ac:dyDescent="0.35">
      <c r="AB328">
        <v>4</v>
      </c>
      <c r="AC328">
        <v>774</v>
      </c>
      <c r="AF328" s="2">
        <f t="shared" si="20"/>
        <v>4.0000000000000001E-3</v>
      </c>
      <c r="AG328">
        <f t="shared" si="21"/>
        <v>0.77400000000000002</v>
      </c>
      <c r="AH328">
        <f t="shared" si="22"/>
        <v>0.75847089591385031</v>
      </c>
      <c r="AI328">
        <f t="shared" si="23"/>
        <v>1.5529104086149714E-2</v>
      </c>
    </row>
    <row r="329" spans="28:35" x14ac:dyDescent="0.35">
      <c r="AB329">
        <v>4</v>
      </c>
      <c r="AC329">
        <v>780</v>
      </c>
      <c r="AF329" s="2">
        <f t="shared" si="20"/>
        <v>4.0000000000000001E-3</v>
      </c>
      <c r="AG329">
        <f t="shared" si="21"/>
        <v>0.78</v>
      </c>
      <c r="AH329">
        <f t="shared" si="22"/>
        <v>0.75847089591385031</v>
      </c>
      <c r="AI329">
        <f t="shared" si="23"/>
        <v>2.152910408614972E-2</v>
      </c>
    </row>
    <row r="330" spans="28:35" x14ac:dyDescent="0.35">
      <c r="AB330">
        <v>2</v>
      </c>
      <c r="AC330">
        <v>777</v>
      </c>
      <c r="AF330" s="2">
        <f t="shared" si="20"/>
        <v>2E-3</v>
      </c>
      <c r="AG330">
        <f t="shared" si="21"/>
        <v>0.77700000000000002</v>
      </c>
      <c r="AH330">
        <f t="shared" si="22"/>
        <v>0.82206907754716119</v>
      </c>
      <c r="AI330">
        <f t="shared" si="23"/>
        <v>-4.5069077547161163E-2</v>
      </c>
    </row>
    <row r="331" spans="28:35" x14ac:dyDescent="0.35">
      <c r="AB331">
        <v>1</v>
      </c>
      <c r="AC331">
        <v>795</v>
      </c>
      <c r="AF331" s="2">
        <f t="shared" si="20"/>
        <v>1E-3</v>
      </c>
      <c r="AG331">
        <f t="shared" si="21"/>
        <v>0.79500000000000004</v>
      </c>
      <c r="AH331">
        <f t="shared" si="22"/>
        <v>0.85584084273568095</v>
      </c>
      <c r="AI331">
        <f t="shared" si="23"/>
        <v>-6.0840842735680911E-2</v>
      </c>
    </row>
    <row r="332" spans="28:35" x14ac:dyDescent="0.35">
      <c r="AB332">
        <v>3</v>
      </c>
      <c r="AC332">
        <v>773</v>
      </c>
      <c r="AF332" s="2">
        <f t="shared" si="20"/>
        <v>3.0000000000000001E-3</v>
      </c>
      <c r="AG332">
        <f t="shared" si="21"/>
        <v>0.77300000000000002</v>
      </c>
      <c r="AH332">
        <f t="shared" si="22"/>
        <v>0.78962995748025411</v>
      </c>
      <c r="AI332">
        <f t="shared" si="23"/>
        <v>-1.6629957480254087E-2</v>
      </c>
    </row>
    <row r="333" spans="28:35" x14ac:dyDescent="0.35">
      <c r="AB333">
        <v>0</v>
      </c>
      <c r="AC333">
        <v>995</v>
      </c>
      <c r="AF333" s="2">
        <f t="shared" si="20"/>
        <v>0</v>
      </c>
      <c r="AG333">
        <f t="shared" si="21"/>
        <v>0.995</v>
      </c>
      <c r="AH333">
        <f t="shared" si="22"/>
        <v>0.89100000000000001</v>
      </c>
      <c r="AI333">
        <f t="shared" si="23"/>
        <v>0.10399999999999998</v>
      </c>
    </row>
    <row r="334" spans="28:35" x14ac:dyDescent="0.35">
      <c r="AB334">
        <v>0</v>
      </c>
      <c r="AC334">
        <v>996</v>
      </c>
      <c r="AF334" s="2">
        <f t="shared" si="20"/>
        <v>0</v>
      </c>
      <c r="AG334">
        <f t="shared" si="21"/>
        <v>0.996</v>
      </c>
      <c r="AH334">
        <f t="shared" si="22"/>
        <v>0.89100000000000001</v>
      </c>
      <c r="AI334">
        <f t="shared" si="23"/>
        <v>0.10499999999999998</v>
      </c>
    </row>
    <row r="335" spans="28:35" x14ac:dyDescent="0.35">
      <c r="AB335">
        <v>0</v>
      </c>
      <c r="AC335">
        <v>997</v>
      </c>
      <c r="AF335" s="2">
        <f t="shared" si="20"/>
        <v>0</v>
      </c>
      <c r="AG335">
        <f t="shared" si="21"/>
        <v>0.997</v>
      </c>
      <c r="AH335">
        <f t="shared" si="22"/>
        <v>0.89100000000000001</v>
      </c>
      <c r="AI335">
        <f t="shared" si="23"/>
        <v>0.10599999999999998</v>
      </c>
    </row>
    <row r="336" spans="28:35" x14ac:dyDescent="0.35">
      <c r="AB336">
        <v>0</v>
      </c>
      <c r="AC336">
        <v>996</v>
      </c>
      <c r="AF336" s="2">
        <f t="shared" si="20"/>
        <v>0</v>
      </c>
      <c r="AG336">
        <f t="shared" si="21"/>
        <v>0.996</v>
      </c>
      <c r="AH336">
        <f t="shared" si="22"/>
        <v>0.89100000000000001</v>
      </c>
      <c r="AI336">
        <f t="shared" si="23"/>
        <v>0.10499999999999998</v>
      </c>
    </row>
    <row r="337" spans="28:35" x14ac:dyDescent="0.35">
      <c r="AB337">
        <v>0</v>
      </c>
      <c r="AC337">
        <v>995</v>
      </c>
      <c r="AF337" s="2">
        <f t="shared" si="20"/>
        <v>0</v>
      </c>
      <c r="AG337">
        <f t="shared" si="21"/>
        <v>0.995</v>
      </c>
      <c r="AH337">
        <f t="shared" si="22"/>
        <v>0.89100000000000001</v>
      </c>
      <c r="AI337">
        <f t="shared" si="23"/>
        <v>0.10399999999999998</v>
      </c>
    </row>
    <row r="338" spans="28:35" x14ac:dyDescent="0.35">
      <c r="AB338">
        <v>4</v>
      </c>
      <c r="AC338">
        <v>793</v>
      </c>
      <c r="AF338" s="2">
        <f t="shared" si="20"/>
        <v>4.0000000000000001E-3</v>
      </c>
      <c r="AG338">
        <f t="shared" si="21"/>
        <v>0.79300000000000004</v>
      </c>
      <c r="AH338">
        <f t="shared" si="22"/>
        <v>0.75847089591385031</v>
      </c>
      <c r="AI338">
        <f t="shared" si="23"/>
        <v>3.4529104086149731E-2</v>
      </c>
    </row>
    <row r="339" spans="28:35" x14ac:dyDescent="0.35">
      <c r="AB339">
        <v>2</v>
      </c>
      <c r="AC339">
        <v>778</v>
      </c>
      <c r="AF339" s="2">
        <f t="shared" si="20"/>
        <v>2E-3</v>
      </c>
      <c r="AG339">
        <f t="shared" si="21"/>
        <v>0.77800000000000002</v>
      </c>
      <c r="AH339">
        <f t="shared" si="22"/>
        <v>0.82206907754716119</v>
      </c>
      <c r="AI339">
        <f t="shared" si="23"/>
        <v>-4.4069077547161162E-2</v>
      </c>
    </row>
    <row r="340" spans="28:35" x14ac:dyDescent="0.35">
      <c r="AB340">
        <v>4</v>
      </c>
      <c r="AC340">
        <v>778</v>
      </c>
      <c r="AF340" s="2">
        <f t="shared" si="20"/>
        <v>4.0000000000000001E-3</v>
      </c>
      <c r="AG340">
        <f t="shared" si="21"/>
        <v>0.77800000000000002</v>
      </c>
      <c r="AH340">
        <f t="shared" si="22"/>
        <v>0.75847089591385031</v>
      </c>
      <c r="AI340">
        <f t="shared" si="23"/>
        <v>1.9529104086149718E-2</v>
      </c>
    </row>
    <row r="341" spans="28:35" x14ac:dyDescent="0.35">
      <c r="AB341">
        <v>5</v>
      </c>
      <c r="AC341">
        <v>532</v>
      </c>
      <c r="AF341" s="2">
        <f t="shared" si="20"/>
        <v>5.0000000000000001E-3</v>
      </c>
      <c r="AG341">
        <f t="shared" si="21"/>
        <v>0.53200000000000003</v>
      </c>
      <c r="AH341">
        <f t="shared" si="22"/>
        <v>0.72854138131245416</v>
      </c>
      <c r="AI341">
        <f t="shared" si="23"/>
        <v>-0.19654138131245413</v>
      </c>
    </row>
    <row r="342" spans="28:35" x14ac:dyDescent="0.35">
      <c r="AB342">
        <v>6</v>
      </c>
      <c r="AC342">
        <v>749</v>
      </c>
      <c r="AF342" s="2">
        <f t="shared" si="20"/>
        <v>6.0000000000000001E-3</v>
      </c>
      <c r="AG342">
        <f t="shared" si="21"/>
        <v>0.749</v>
      </c>
      <c r="AH342">
        <f t="shared" si="22"/>
        <v>0.69979289534261269</v>
      </c>
      <c r="AI342">
        <f t="shared" si="23"/>
        <v>4.9207104657387313E-2</v>
      </c>
    </row>
    <row r="343" spans="28:35" x14ac:dyDescent="0.35">
      <c r="AB343">
        <v>3</v>
      </c>
      <c r="AC343">
        <v>759</v>
      </c>
      <c r="AF343" s="2">
        <f t="shared" si="20"/>
        <v>3.0000000000000001E-3</v>
      </c>
      <c r="AG343">
        <f t="shared" si="21"/>
        <v>0.75900000000000001</v>
      </c>
      <c r="AH343">
        <f t="shared" si="22"/>
        <v>0.78962995748025411</v>
      </c>
      <c r="AI343">
        <f t="shared" si="23"/>
        <v>-3.06299574802541E-2</v>
      </c>
    </row>
    <row r="344" spans="28:35" x14ac:dyDescent="0.35">
      <c r="AB344">
        <v>4</v>
      </c>
      <c r="AC344">
        <v>786</v>
      </c>
      <c r="AF344" s="2">
        <f t="shared" si="20"/>
        <v>4.0000000000000001E-3</v>
      </c>
      <c r="AG344">
        <f t="shared" si="21"/>
        <v>0.78600000000000003</v>
      </c>
      <c r="AH344">
        <f t="shared" si="22"/>
        <v>0.75847089591385031</v>
      </c>
      <c r="AI344">
        <f t="shared" si="23"/>
        <v>2.7529104086149725E-2</v>
      </c>
    </row>
    <row r="345" spans="28:35" x14ac:dyDescent="0.35">
      <c r="AB345">
        <v>0</v>
      </c>
      <c r="AC345">
        <v>992</v>
      </c>
      <c r="AF345" s="2">
        <f t="shared" si="20"/>
        <v>0</v>
      </c>
      <c r="AG345">
        <f t="shared" si="21"/>
        <v>0.99199999999999999</v>
      </c>
      <c r="AH345">
        <f t="shared" si="22"/>
        <v>0.89100000000000001</v>
      </c>
      <c r="AI345">
        <f t="shared" si="23"/>
        <v>0.10099999999999998</v>
      </c>
    </row>
    <row r="346" spans="28:35" x14ac:dyDescent="0.35">
      <c r="AB346">
        <v>2</v>
      </c>
      <c r="AC346">
        <v>789</v>
      </c>
      <c r="AF346" s="2">
        <f t="shared" si="20"/>
        <v>2E-3</v>
      </c>
      <c r="AG346">
        <f t="shared" si="21"/>
        <v>0.78900000000000003</v>
      </c>
      <c r="AH346">
        <f t="shared" si="22"/>
        <v>0.82206907754716119</v>
      </c>
      <c r="AI346">
        <f t="shared" si="23"/>
        <v>-3.3069077547161152E-2</v>
      </c>
    </row>
    <row r="347" spans="28:35" x14ac:dyDescent="0.35">
      <c r="AB347">
        <v>0</v>
      </c>
      <c r="AC347">
        <v>995</v>
      </c>
      <c r="AF347" s="2">
        <f t="shared" si="20"/>
        <v>0</v>
      </c>
      <c r="AG347">
        <f t="shared" si="21"/>
        <v>0.995</v>
      </c>
      <c r="AH347">
        <f t="shared" si="22"/>
        <v>0.89100000000000001</v>
      </c>
      <c r="AI347">
        <f t="shared" si="23"/>
        <v>0.10399999999999998</v>
      </c>
    </row>
    <row r="348" spans="28:35" x14ac:dyDescent="0.35">
      <c r="AB348">
        <v>0</v>
      </c>
      <c r="AC348">
        <v>995</v>
      </c>
      <c r="AF348" s="2">
        <f t="shared" si="20"/>
        <v>0</v>
      </c>
      <c r="AG348">
        <f t="shared" si="21"/>
        <v>0.995</v>
      </c>
      <c r="AH348">
        <f t="shared" si="22"/>
        <v>0.89100000000000001</v>
      </c>
      <c r="AI348">
        <f t="shared" si="23"/>
        <v>0.10399999999999998</v>
      </c>
    </row>
    <row r="349" spans="28:35" x14ac:dyDescent="0.35">
      <c r="AB349">
        <v>5</v>
      </c>
      <c r="AC349">
        <v>545</v>
      </c>
      <c r="AF349" s="2">
        <f t="shared" si="20"/>
        <v>5.0000000000000001E-3</v>
      </c>
      <c r="AG349">
        <f t="shared" si="21"/>
        <v>0.54500000000000004</v>
      </c>
      <c r="AH349">
        <f t="shared" si="22"/>
        <v>0.72854138131245416</v>
      </c>
      <c r="AI349">
        <f t="shared" si="23"/>
        <v>-0.18354138131245412</v>
      </c>
    </row>
    <row r="350" spans="28:35" x14ac:dyDescent="0.35">
      <c r="AB350">
        <v>2</v>
      </c>
      <c r="AC350">
        <v>776</v>
      </c>
      <c r="AF350" s="2">
        <f t="shared" si="20"/>
        <v>2E-3</v>
      </c>
      <c r="AG350">
        <f t="shared" si="21"/>
        <v>0.77600000000000002</v>
      </c>
      <c r="AH350">
        <f t="shared" si="22"/>
        <v>0.82206907754716119</v>
      </c>
      <c r="AI350">
        <f t="shared" si="23"/>
        <v>-4.6069077547161164E-2</v>
      </c>
    </row>
    <row r="351" spans="28:35" x14ac:dyDescent="0.35">
      <c r="AB351">
        <v>2</v>
      </c>
      <c r="AC351">
        <v>776</v>
      </c>
      <c r="AF351" s="2">
        <f t="shared" si="20"/>
        <v>2E-3</v>
      </c>
      <c r="AG351">
        <f t="shared" si="21"/>
        <v>0.77600000000000002</v>
      </c>
      <c r="AH351">
        <f t="shared" si="22"/>
        <v>0.82206907754716119</v>
      </c>
      <c r="AI351">
        <f t="shared" si="23"/>
        <v>-4.6069077547161164E-2</v>
      </c>
    </row>
    <row r="352" spans="28:35" x14ac:dyDescent="0.35">
      <c r="AB352">
        <v>7</v>
      </c>
      <c r="AC352">
        <v>778</v>
      </c>
      <c r="AF352" s="2">
        <f t="shared" si="20"/>
        <v>7.0000000000000001E-3</v>
      </c>
      <c r="AG352">
        <f t="shared" si="21"/>
        <v>0.77800000000000002</v>
      </c>
      <c r="AH352">
        <f t="shared" si="22"/>
        <v>0.67217883422049818</v>
      </c>
      <c r="AI352">
        <f t="shared" si="23"/>
        <v>0.10582116577950185</v>
      </c>
    </row>
    <row r="353" spans="28:35" x14ac:dyDescent="0.35">
      <c r="AB353">
        <v>1</v>
      </c>
      <c r="AC353">
        <v>779</v>
      </c>
      <c r="AF353" s="2">
        <f t="shared" si="20"/>
        <v>1E-3</v>
      </c>
      <c r="AG353">
        <f t="shared" si="21"/>
        <v>0.77900000000000003</v>
      </c>
      <c r="AH353">
        <f t="shared" si="22"/>
        <v>0.85584084273568095</v>
      </c>
      <c r="AI353">
        <f t="shared" si="23"/>
        <v>-7.6840842735680925E-2</v>
      </c>
    </row>
    <row r="354" spans="28:35" x14ac:dyDescent="0.35">
      <c r="AB354">
        <v>1</v>
      </c>
      <c r="AC354">
        <v>792</v>
      </c>
      <c r="AF354" s="2">
        <f t="shared" si="20"/>
        <v>1E-3</v>
      </c>
      <c r="AG354">
        <f t="shared" si="21"/>
        <v>0.79200000000000004</v>
      </c>
      <c r="AH354">
        <f t="shared" si="22"/>
        <v>0.85584084273568095</v>
      </c>
      <c r="AI354">
        <f t="shared" si="23"/>
        <v>-6.3840842735680914E-2</v>
      </c>
    </row>
    <row r="355" spans="28:35" x14ac:dyDescent="0.35">
      <c r="AB355">
        <v>1</v>
      </c>
      <c r="AC355">
        <v>796</v>
      </c>
      <c r="AF355" s="2">
        <f t="shared" si="20"/>
        <v>1E-3</v>
      </c>
      <c r="AG355">
        <f t="shared" si="21"/>
        <v>0.79600000000000004</v>
      </c>
      <c r="AH355">
        <f t="shared" si="22"/>
        <v>0.85584084273568095</v>
      </c>
      <c r="AI355">
        <f t="shared" si="23"/>
        <v>-5.984084273568091E-2</v>
      </c>
    </row>
    <row r="356" spans="28:35" x14ac:dyDescent="0.35">
      <c r="AB356">
        <v>0</v>
      </c>
      <c r="AC356">
        <v>997</v>
      </c>
      <c r="AF356" s="2">
        <f t="shared" si="20"/>
        <v>0</v>
      </c>
      <c r="AG356">
        <f t="shared" si="21"/>
        <v>0.997</v>
      </c>
      <c r="AH356">
        <f t="shared" si="22"/>
        <v>0.89100000000000001</v>
      </c>
      <c r="AI356">
        <f t="shared" si="23"/>
        <v>0.10599999999999998</v>
      </c>
    </row>
    <row r="357" spans="28:35" x14ac:dyDescent="0.35">
      <c r="AB357">
        <v>2</v>
      </c>
      <c r="AC357">
        <v>790</v>
      </c>
      <c r="AF357" s="2">
        <f t="shared" si="20"/>
        <v>2E-3</v>
      </c>
      <c r="AG357">
        <f t="shared" si="21"/>
        <v>0.79</v>
      </c>
      <c r="AH357">
        <f t="shared" si="22"/>
        <v>0.82206907754716119</v>
      </c>
      <c r="AI357">
        <f t="shared" si="23"/>
        <v>-3.2069077547161151E-2</v>
      </c>
    </row>
    <row r="358" spans="28:35" x14ac:dyDescent="0.35">
      <c r="AB358">
        <v>0</v>
      </c>
      <c r="AC358">
        <v>995</v>
      </c>
      <c r="AF358" s="2">
        <f t="shared" si="20"/>
        <v>0</v>
      </c>
      <c r="AG358">
        <f t="shared" si="21"/>
        <v>0.995</v>
      </c>
      <c r="AH358">
        <f t="shared" si="22"/>
        <v>0.89100000000000001</v>
      </c>
      <c r="AI358">
        <f t="shared" si="23"/>
        <v>0.10399999999999998</v>
      </c>
    </row>
    <row r="359" spans="28:35" x14ac:dyDescent="0.35">
      <c r="AB359">
        <v>2</v>
      </c>
      <c r="AC359">
        <v>787</v>
      </c>
      <c r="AF359" s="2">
        <f t="shared" si="20"/>
        <v>2E-3</v>
      </c>
      <c r="AG359">
        <f t="shared" si="21"/>
        <v>0.78700000000000003</v>
      </c>
      <c r="AH359">
        <f t="shared" si="22"/>
        <v>0.82206907754716119</v>
      </c>
      <c r="AI359">
        <f t="shared" si="23"/>
        <v>-3.5069077547161154E-2</v>
      </c>
    </row>
    <row r="360" spans="28:35" x14ac:dyDescent="0.35">
      <c r="AB360">
        <v>4</v>
      </c>
      <c r="AC360">
        <v>786</v>
      </c>
      <c r="AF360" s="2">
        <f t="shared" si="20"/>
        <v>4.0000000000000001E-3</v>
      </c>
      <c r="AG360">
        <f t="shared" si="21"/>
        <v>0.78600000000000003</v>
      </c>
      <c r="AH360">
        <f t="shared" si="22"/>
        <v>0.75847089591385031</v>
      </c>
      <c r="AI360">
        <f t="shared" si="23"/>
        <v>2.7529104086149725E-2</v>
      </c>
    </row>
    <row r="361" spans="28:35" x14ac:dyDescent="0.35">
      <c r="AB361">
        <v>2</v>
      </c>
      <c r="AC361">
        <v>783</v>
      </c>
      <c r="AF361" s="2">
        <f t="shared" si="20"/>
        <v>2E-3</v>
      </c>
      <c r="AG361">
        <f t="shared" si="21"/>
        <v>0.78300000000000003</v>
      </c>
      <c r="AH361">
        <f t="shared" si="22"/>
        <v>0.82206907754716119</v>
      </c>
      <c r="AI361">
        <f t="shared" si="23"/>
        <v>-3.9069077547161157E-2</v>
      </c>
    </row>
    <row r="362" spans="28:35" x14ac:dyDescent="0.35">
      <c r="AB362">
        <v>4</v>
      </c>
      <c r="AC362">
        <v>785</v>
      </c>
      <c r="AF362" s="2">
        <f t="shared" si="20"/>
        <v>4.0000000000000001E-3</v>
      </c>
      <c r="AG362">
        <f t="shared" si="21"/>
        <v>0.78500000000000003</v>
      </c>
      <c r="AH362">
        <f t="shared" si="22"/>
        <v>0.75847089591385031</v>
      </c>
      <c r="AI362">
        <f t="shared" si="23"/>
        <v>2.6529104086149724E-2</v>
      </c>
    </row>
    <row r="363" spans="28:35" x14ac:dyDescent="0.35">
      <c r="AB363">
        <v>3</v>
      </c>
      <c r="AC363">
        <v>761</v>
      </c>
      <c r="AF363" s="2">
        <f t="shared" si="20"/>
        <v>3.0000000000000001E-3</v>
      </c>
      <c r="AG363">
        <f t="shared" si="21"/>
        <v>0.76100000000000001</v>
      </c>
      <c r="AH363">
        <f t="shared" si="22"/>
        <v>0.78962995748025411</v>
      </c>
      <c r="AI363">
        <f t="shared" si="23"/>
        <v>-2.8629957480254098E-2</v>
      </c>
    </row>
    <row r="364" spans="28:35" x14ac:dyDescent="0.35">
      <c r="AB364">
        <v>1</v>
      </c>
      <c r="AC364">
        <v>796</v>
      </c>
      <c r="AF364" s="2">
        <f t="shared" si="20"/>
        <v>1E-3</v>
      </c>
      <c r="AG364">
        <f t="shared" si="21"/>
        <v>0.79600000000000004</v>
      </c>
      <c r="AH364">
        <f t="shared" si="22"/>
        <v>0.85584084273568095</v>
      </c>
      <c r="AI364">
        <f t="shared" si="23"/>
        <v>-5.984084273568091E-2</v>
      </c>
    </row>
    <row r="365" spans="28:35" x14ac:dyDescent="0.35">
      <c r="AB365">
        <v>2</v>
      </c>
      <c r="AC365">
        <v>788</v>
      </c>
      <c r="AF365" s="2">
        <f t="shared" si="20"/>
        <v>2E-3</v>
      </c>
      <c r="AG365">
        <f t="shared" si="21"/>
        <v>0.78800000000000003</v>
      </c>
      <c r="AH365">
        <f t="shared" si="22"/>
        <v>0.82206907754716119</v>
      </c>
      <c r="AI365">
        <f t="shared" si="23"/>
        <v>-3.4069077547161153E-2</v>
      </c>
    </row>
    <row r="366" spans="28:35" x14ac:dyDescent="0.35">
      <c r="AB366">
        <v>0</v>
      </c>
      <c r="AC366">
        <v>996</v>
      </c>
      <c r="AF366" s="2">
        <f t="shared" si="20"/>
        <v>0</v>
      </c>
      <c r="AG366">
        <f t="shared" si="21"/>
        <v>0.996</v>
      </c>
      <c r="AH366">
        <f t="shared" si="22"/>
        <v>0.89100000000000001</v>
      </c>
      <c r="AI366">
        <f t="shared" si="23"/>
        <v>0.10499999999999998</v>
      </c>
    </row>
    <row r="367" spans="28:35" x14ac:dyDescent="0.35">
      <c r="AB367">
        <v>0</v>
      </c>
      <c r="AC367">
        <v>995</v>
      </c>
      <c r="AF367" s="2">
        <f t="shared" si="20"/>
        <v>0</v>
      </c>
      <c r="AG367">
        <f t="shared" si="21"/>
        <v>0.995</v>
      </c>
      <c r="AH367">
        <f t="shared" si="22"/>
        <v>0.89100000000000001</v>
      </c>
      <c r="AI367">
        <f t="shared" si="23"/>
        <v>0.10399999999999998</v>
      </c>
    </row>
    <row r="368" spans="28:35" x14ac:dyDescent="0.35">
      <c r="AB368" cm="1">
        <f t="array" ref="AB368:AB490">G3:G125</f>
        <v>0</v>
      </c>
      <c r="AC368" cm="1">
        <f t="array" ref="AC368:AC490">T4:T126</f>
        <v>997</v>
      </c>
      <c r="AF368" s="2">
        <f t="shared" si="20"/>
        <v>0</v>
      </c>
      <c r="AG368">
        <f t="shared" si="21"/>
        <v>0.997</v>
      </c>
      <c r="AH368">
        <f t="shared" si="22"/>
        <v>0.89100000000000001</v>
      </c>
      <c r="AI368">
        <f t="shared" si="23"/>
        <v>0.10599999999999998</v>
      </c>
    </row>
    <row r="369" spans="28:35" x14ac:dyDescent="0.35">
      <c r="AB369">
        <v>0</v>
      </c>
      <c r="AC369">
        <v>997</v>
      </c>
      <c r="AF369" s="2">
        <f t="shared" si="20"/>
        <v>0</v>
      </c>
      <c r="AG369">
        <f t="shared" si="21"/>
        <v>0.997</v>
      </c>
      <c r="AH369">
        <f t="shared" si="22"/>
        <v>0.89100000000000001</v>
      </c>
      <c r="AI369">
        <f t="shared" si="23"/>
        <v>0.10599999999999998</v>
      </c>
    </row>
    <row r="370" spans="28:35" x14ac:dyDescent="0.35">
      <c r="AB370">
        <v>0</v>
      </c>
      <c r="AC370">
        <v>997</v>
      </c>
      <c r="AF370" s="2">
        <f t="shared" si="20"/>
        <v>0</v>
      </c>
      <c r="AG370">
        <f t="shared" si="21"/>
        <v>0.997</v>
      </c>
      <c r="AH370">
        <f t="shared" si="22"/>
        <v>0.89100000000000001</v>
      </c>
      <c r="AI370">
        <f t="shared" si="23"/>
        <v>0.10599999999999998</v>
      </c>
    </row>
    <row r="371" spans="28:35" x14ac:dyDescent="0.35">
      <c r="AB371">
        <v>2</v>
      </c>
      <c r="AC371">
        <v>793</v>
      </c>
      <c r="AF371" s="2">
        <f t="shared" si="20"/>
        <v>2E-3</v>
      </c>
      <c r="AG371">
        <f t="shared" si="21"/>
        <v>0.79300000000000004</v>
      </c>
      <c r="AH371">
        <f t="shared" si="22"/>
        <v>0.82206907754716119</v>
      </c>
      <c r="AI371">
        <f t="shared" si="23"/>
        <v>-2.9069077547161148E-2</v>
      </c>
    </row>
    <row r="372" spans="28:35" x14ac:dyDescent="0.35">
      <c r="AB372">
        <v>0</v>
      </c>
      <c r="AC372">
        <v>995</v>
      </c>
      <c r="AF372" s="2">
        <f t="shared" si="20"/>
        <v>0</v>
      </c>
      <c r="AG372">
        <f t="shared" si="21"/>
        <v>0.995</v>
      </c>
      <c r="AH372">
        <f t="shared" si="22"/>
        <v>0.89100000000000001</v>
      </c>
      <c r="AI372">
        <f t="shared" si="23"/>
        <v>0.10399999999999998</v>
      </c>
    </row>
    <row r="373" spans="28:35" x14ac:dyDescent="0.35">
      <c r="AB373">
        <v>2</v>
      </c>
      <c r="AC373">
        <v>802</v>
      </c>
      <c r="AF373" s="2">
        <f t="shared" si="20"/>
        <v>2E-3</v>
      </c>
      <c r="AG373">
        <f t="shared" si="21"/>
        <v>0.80200000000000005</v>
      </c>
      <c r="AH373">
        <f t="shared" si="22"/>
        <v>0.82206907754716119</v>
      </c>
      <c r="AI373">
        <f t="shared" si="23"/>
        <v>-2.006907754716114E-2</v>
      </c>
    </row>
    <row r="374" spans="28:35" x14ac:dyDescent="0.35">
      <c r="AB374">
        <v>2</v>
      </c>
      <c r="AC374">
        <v>794</v>
      </c>
      <c r="AF374" s="2">
        <f t="shared" si="20"/>
        <v>2E-3</v>
      </c>
      <c r="AG374">
        <f t="shared" si="21"/>
        <v>0.79400000000000004</v>
      </c>
      <c r="AH374">
        <f t="shared" si="22"/>
        <v>0.82206907754716119</v>
      </c>
      <c r="AI374">
        <f t="shared" si="23"/>
        <v>-2.8069077547161148E-2</v>
      </c>
    </row>
    <row r="375" spans="28:35" x14ac:dyDescent="0.35">
      <c r="AB375">
        <v>3</v>
      </c>
      <c r="AC375">
        <v>782</v>
      </c>
      <c r="AF375" s="2">
        <f t="shared" si="20"/>
        <v>3.0000000000000001E-3</v>
      </c>
      <c r="AG375">
        <f t="shared" si="21"/>
        <v>0.78200000000000003</v>
      </c>
      <c r="AH375">
        <f t="shared" si="22"/>
        <v>0.78962995748025411</v>
      </c>
      <c r="AI375">
        <f t="shared" si="23"/>
        <v>-7.6299574802540793E-3</v>
      </c>
    </row>
    <row r="376" spans="28:35" x14ac:dyDescent="0.35">
      <c r="AB376">
        <v>8</v>
      </c>
      <c r="AC376">
        <v>702</v>
      </c>
      <c r="AF376" s="2">
        <f t="shared" si="20"/>
        <v>8.0000000000000002E-3</v>
      </c>
      <c r="AG376">
        <f t="shared" si="21"/>
        <v>0.70199999999999996</v>
      </c>
      <c r="AH376">
        <f t="shared" si="22"/>
        <v>0.64565443316314119</v>
      </c>
      <c r="AI376">
        <f t="shared" si="23"/>
        <v>5.6345566836858763E-2</v>
      </c>
    </row>
    <row r="377" spans="28:35" x14ac:dyDescent="0.35">
      <c r="AB377">
        <v>4</v>
      </c>
      <c r="AC377">
        <v>787</v>
      </c>
      <c r="AF377" s="2">
        <f t="shared" si="20"/>
        <v>4.0000000000000001E-3</v>
      </c>
      <c r="AG377">
        <f t="shared" si="21"/>
        <v>0.78700000000000003</v>
      </c>
      <c r="AH377">
        <f t="shared" si="22"/>
        <v>0.75847089591385031</v>
      </c>
      <c r="AI377">
        <f t="shared" si="23"/>
        <v>2.8529104086149726E-2</v>
      </c>
    </row>
    <row r="378" spans="28:35" x14ac:dyDescent="0.35">
      <c r="AB378">
        <v>10</v>
      </c>
      <c r="AC378">
        <v>829</v>
      </c>
      <c r="AF378" s="2">
        <f t="shared" si="20"/>
        <v>0.01</v>
      </c>
      <c r="AG378">
        <f t="shared" si="21"/>
        <v>0.82899999999999996</v>
      </c>
      <c r="AH378">
        <f t="shared" si="22"/>
        <v>0.59570431457312989</v>
      </c>
      <c r="AI378">
        <f t="shared" si="23"/>
        <v>0.23329568542687007</v>
      </c>
    </row>
    <row r="379" spans="28:35" x14ac:dyDescent="0.35">
      <c r="AB379">
        <v>12</v>
      </c>
      <c r="AC379">
        <v>580</v>
      </c>
      <c r="AF379" s="2">
        <f t="shared" si="20"/>
        <v>1.2E-2</v>
      </c>
      <c r="AG379">
        <f t="shared" si="21"/>
        <v>0.57999999999999996</v>
      </c>
      <c r="AH379">
        <f t="shared" si="22"/>
        <v>0.54961851444668564</v>
      </c>
      <c r="AI379">
        <f t="shared" si="23"/>
        <v>3.0381485553314325E-2</v>
      </c>
    </row>
    <row r="380" spans="28:35" x14ac:dyDescent="0.35">
      <c r="AB380">
        <v>14</v>
      </c>
      <c r="AC380">
        <v>473</v>
      </c>
      <c r="AF380" s="2">
        <f t="shared" si="20"/>
        <v>1.4E-2</v>
      </c>
      <c r="AG380">
        <f t="shared" si="21"/>
        <v>0.47299999999999998</v>
      </c>
      <c r="AH380">
        <f t="shared" si="22"/>
        <v>0.50709807539172602</v>
      </c>
      <c r="AI380">
        <f t="shared" si="23"/>
        <v>-3.4098075391726046E-2</v>
      </c>
    </row>
    <row r="381" spans="28:35" x14ac:dyDescent="0.35">
      <c r="AB381">
        <v>20</v>
      </c>
      <c r="AC381">
        <v>554</v>
      </c>
      <c r="AF381" s="2">
        <f t="shared" si="20"/>
        <v>0.02</v>
      </c>
      <c r="AG381">
        <f t="shared" si="21"/>
        <v>0.55400000000000005</v>
      </c>
      <c r="AH381">
        <f t="shared" si="22"/>
        <v>0.39827567946244946</v>
      </c>
      <c r="AI381">
        <f t="shared" si="23"/>
        <v>0.15572432053755059</v>
      </c>
    </row>
    <row r="382" spans="28:35" x14ac:dyDescent="0.35">
      <c r="AB382">
        <v>29</v>
      </c>
      <c r="AC382">
        <v>392</v>
      </c>
      <c r="AF382" s="2">
        <f t="shared" si="20"/>
        <v>2.9000000000000001E-2</v>
      </c>
      <c r="AG382">
        <f t="shared" si="21"/>
        <v>0.39200000000000002</v>
      </c>
      <c r="AH382">
        <f t="shared" si="22"/>
        <v>0.27721806298346996</v>
      </c>
      <c r="AI382">
        <f t="shared" si="23"/>
        <v>0.11478193701653006</v>
      </c>
    </row>
    <row r="383" spans="28:35" x14ac:dyDescent="0.35">
      <c r="AB383">
        <v>18</v>
      </c>
      <c r="AC383">
        <v>545</v>
      </c>
      <c r="AF383" s="2">
        <f t="shared" si="20"/>
        <v>1.7999999999999999E-2</v>
      </c>
      <c r="AG383">
        <f t="shared" si="21"/>
        <v>0.54500000000000004</v>
      </c>
      <c r="AH383">
        <f t="shared" si="22"/>
        <v>0.43167130365718487</v>
      </c>
      <c r="AI383">
        <f t="shared" si="23"/>
        <v>0.11332869634281517</v>
      </c>
    </row>
    <row r="384" spans="28:35" x14ac:dyDescent="0.35">
      <c r="AB384">
        <v>9</v>
      </c>
      <c r="AC384">
        <v>687</v>
      </c>
      <c r="AF384" s="2">
        <f t="shared" si="20"/>
        <v>8.9999999999999993E-3</v>
      </c>
      <c r="AG384">
        <f t="shared" si="21"/>
        <v>0.68700000000000006</v>
      </c>
      <c r="AH384">
        <f t="shared" si="22"/>
        <v>0.62017669382084306</v>
      </c>
      <c r="AI384">
        <f t="shared" si="23"/>
        <v>6.6823306179156994E-2</v>
      </c>
    </row>
    <row r="385" spans="28:35" x14ac:dyDescent="0.35">
      <c r="AB385">
        <v>9</v>
      </c>
      <c r="AC385">
        <v>701</v>
      </c>
      <c r="AF385" s="2">
        <f t="shared" si="20"/>
        <v>8.9999999999999993E-3</v>
      </c>
      <c r="AG385">
        <f t="shared" si="21"/>
        <v>0.70099999999999996</v>
      </c>
      <c r="AH385">
        <f t="shared" si="22"/>
        <v>0.62017669382084306</v>
      </c>
      <c r="AI385">
        <f t="shared" si="23"/>
        <v>8.0823306179156895E-2</v>
      </c>
    </row>
    <row r="386" spans="28:35" x14ac:dyDescent="0.35">
      <c r="AB386">
        <v>3</v>
      </c>
      <c r="AC386">
        <v>772</v>
      </c>
      <c r="AF386" s="2">
        <f t="shared" si="20"/>
        <v>3.0000000000000001E-3</v>
      </c>
      <c r="AG386">
        <f t="shared" si="21"/>
        <v>0.77200000000000002</v>
      </c>
      <c r="AH386">
        <f t="shared" si="22"/>
        <v>0.78962995748025411</v>
      </c>
      <c r="AI386">
        <f t="shared" si="23"/>
        <v>-1.7629957480254088E-2</v>
      </c>
    </row>
    <row r="387" spans="28:35" x14ac:dyDescent="0.35">
      <c r="AB387">
        <v>3</v>
      </c>
      <c r="AC387">
        <v>783</v>
      </c>
      <c r="AF387" s="2">
        <f t="shared" si="20"/>
        <v>3.0000000000000001E-3</v>
      </c>
      <c r="AG387">
        <f t="shared" si="21"/>
        <v>0.78300000000000003</v>
      </c>
      <c r="AH387">
        <f t="shared" si="22"/>
        <v>0.78962995748025411</v>
      </c>
      <c r="AI387">
        <f t="shared" si="23"/>
        <v>-6.6299574802540784E-3</v>
      </c>
    </row>
    <row r="388" spans="28:35" x14ac:dyDescent="0.35">
      <c r="AB388">
        <v>2</v>
      </c>
      <c r="AC388">
        <v>797</v>
      </c>
      <c r="AF388" s="2">
        <f t="shared" ref="AF388:AF451" si="24">AB388/1000</f>
        <v>2E-3</v>
      </c>
      <c r="AG388">
        <f t="shared" ref="AG388:AG451" si="25">AC388/1000</f>
        <v>0.79700000000000004</v>
      </c>
      <c r="AH388">
        <f t="shared" ref="AH388:AH451" si="26">0.891*EXP(-40.26*AF388)</f>
        <v>0.82206907754716119</v>
      </c>
      <c r="AI388">
        <f t="shared" ref="AI388:AI451" si="27">AG388-AH388</f>
        <v>-2.5069077547161145E-2</v>
      </c>
    </row>
    <row r="389" spans="28:35" x14ac:dyDescent="0.35">
      <c r="AB389">
        <v>4</v>
      </c>
      <c r="AC389">
        <v>800</v>
      </c>
      <c r="AF389" s="2">
        <f t="shared" si="24"/>
        <v>4.0000000000000001E-3</v>
      </c>
      <c r="AG389">
        <f t="shared" si="25"/>
        <v>0.8</v>
      </c>
      <c r="AH389">
        <f t="shared" si="26"/>
        <v>0.75847089591385031</v>
      </c>
      <c r="AI389">
        <f t="shared" si="27"/>
        <v>4.1529104086149737E-2</v>
      </c>
    </row>
    <row r="390" spans="28:35" x14ac:dyDescent="0.35">
      <c r="AB390">
        <v>1</v>
      </c>
      <c r="AC390">
        <v>795</v>
      </c>
      <c r="AF390" s="2">
        <f t="shared" si="24"/>
        <v>1E-3</v>
      </c>
      <c r="AG390">
        <f t="shared" si="25"/>
        <v>0.79500000000000004</v>
      </c>
      <c r="AH390">
        <f t="shared" si="26"/>
        <v>0.85584084273568095</v>
      </c>
      <c r="AI390">
        <f t="shared" si="27"/>
        <v>-6.0840842735680911E-2</v>
      </c>
    </row>
    <row r="391" spans="28:35" x14ac:dyDescent="0.35">
      <c r="AB391">
        <v>5</v>
      </c>
      <c r="AC391">
        <v>551</v>
      </c>
      <c r="AF391" s="2">
        <f t="shared" si="24"/>
        <v>5.0000000000000001E-3</v>
      </c>
      <c r="AG391">
        <f t="shared" si="25"/>
        <v>0.55100000000000005</v>
      </c>
      <c r="AH391">
        <f t="shared" si="26"/>
        <v>0.72854138131245416</v>
      </c>
      <c r="AI391">
        <f t="shared" si="27"/>
        <v>-0.17754138131245412</v>
      </c>
    </row>
    <row r="392" spans="28:35" x14ac:dyDescent="0.35">
      <c r="AB392">
        <v>5</v>
      </c>
      <c r="AC392">
        <v>550</v>
      </c>
      <c r="AF392" s="2">
        <f t="shared" si="24"/>
        <v>5.0000000000000001E-3</v>
      </c>
      <c r="AG392">
        <f t="shared" si="25"/>
        <v>0.55000000000000004</v>
      </c>
      <c r="AH392">
        <f t="shared" si="26"/>
        <v>0.72854138131245416</v>
      </c>
      <c r="AI392">
        <f t="shared" si="27"/>
        <v>-0.17854138131245412</v>
      </c>
    </row>
    <row r="393" spans="28:35" x14ac:dyDescent="0.35">
      <c r="AB393">
        <v>5</v>
      </c>
      <c r="AC393">
        <v>546</v>
      </c>
      <c r="AF393" s="2">
        <f t="shared" si="24"/>
        <v>5.0000000000000001E-3</v>
      </c>
      <c r="AG393">
        <f t="shared" si="25"/>
        <v>0.54600000000000004</v>
      </c>
      <c r="AH393">
        <f t="shared" si="26"/>
        <v>0.72854138131245416</v>
      </c>
      <c r="AI393">
        <f t="shared" si="27"/>
        <v>-0.18254138131245412</v>
      </c>
    </row>
    <row r="394" spans="28:35" x14ac:dyDescent="0.35">
      <c r="AB394">
        <v>5</v>
      </c>
      <c r="AC394">
        <v>548</v>
      </c>
      <c r="AF394" s="2">
        <f t="shared" si="24"/>
        <v>5.0000000000000001E-3</v>
      </c>
      <c r="AG394">
        <f t="shared" si="25"/>
        <v>0.54800000000000004</v>
      </c>
      <c r="AH394">
        <f t="shared" si="26"/>
        <v>0.72854138131245416</v>
      </c>
      <c r="AI394">
        <f t="shared" si="27"/>
        <v>-0.18054138131245412</v>
      </c>
    </row>
    <row r="395" spans="28:35" x14ac:dyDescent="0.35">
      <c r="AB395">
        <v>2</v>
      </c>
      <c r="AC395">
        <v>792</v>
      </c>
      <c r="AF395" s="2">
        <f t="shared" si="24"/>
        <v>2E-3</v>
      </c>
      <c r="AG395">
        <f t="shared" si="25"/>
        <v>0.79200000000000004</v>
      </c>
      <c r="AH395">
        <f t="shared" si="26"/>
        <v>0.82206907754716119</v>
      </c>
      <c r="AI395">
        <f t="shared" si="27"/>
        <v>-3.0069077547161149E-2</v>
      </c>
    </row>
    <row r="396" spans="28:35" x14ac:dyDescent="0.35">
      <c r="AB396">
        <v>4</v>
      </c>
      <c r="AC396">
        <v>805</v>
      </c>
      <c r="AF396" s="2">
        <f t="shared" si="24"/>
        <v>4.0000000000000001E-3</v>
      </c>
      <c r="AG396">
        <f t="shared" si="25"/>
        <v>0.80500000000000005</v>
      </c>
      <c r="AH396">
        <f t="shared" si="26"/>
        <v>0.75847089591385031</v>
      </c>
      <c r="AI396">
        <f t="shared" si="27"/>
        <v>4.6529104086149742E-2</v>
      </c>
    </row>
    <row r="397" spans="28:35" x14ac:dyDescent="0.35">
      <c r="AB397">
        <v>1</v>
      </c>
      <c r="AC397">
        <v>797</v>
      </c>
      <c r="AF397" s="2">
        <f t="shared" si="24"/>
        <v>1E-3</v>
      </c>
      <c r="AG397">
        <f t="shared" si="25"/>
        <v>0.79700000000000004</v>
      </c>
      <c r="AH397">
        <f t="shared" si="26"/>
        <v>0.85584084273568095</v>
      </c>
      <c r="AI397">
        <f t="shared" si="27"/>
        <v>-5.8840842735680909E-2</v>
      </c>
    </row>
    <row r="398" spans="28:35" x14ac:dyDescent="0.35">
      <c r="AB398">
        <v>2</v>
      </c>
      <c r="AC398">
        <v>794</v>
      </c>
      <c r="AF398" s="2">
        <f t="shared" si="24"/>
        <v>2E-3</v>
      </c>
      <c r="AG398">
        <f t="shared" si="25"/>
        <v>0.79400000000000004</v>
      </c>
      <c r="AH398">
        <f t="shared" si="26"/>
        <v>0.82206907754716119</v>
      </c>
      <c r="AI398">
        <f t="shared" si="27"/>
        <v>-2.8069077547161148E-2</v>
      </c>
    </row>
    <row r="399" spans="28:35" x14ac:dyDescent="0.35">
      <c r="AB399">
        <v>1</v>
      </c>
      <c r="AC399">
        <v>794</v>
      </c>
      <c r="AF399" s="2">
        <f t="shared" si="24"/>
        <v>1E-3</v>
      </c>
      <c r="AG399">
        <f t="shared" si="25"/>
        <v>0.79400000000000004</v>
      </c>
      <c r="AH399">
        <f t="shared" si="26"/>
        <v>0.85584084273568095</v>
      </c>
      <c r="AI399">
        <f t="shared" si="27"/>
        <v>-6.1840842735680912E-2</v>
      </c>
    </row>
    <row r="400" spans="28:35" x14ac:dyDescent="0.35">
      <c r="AB400">
        <v>1</v>
      </c>
      <c r="AC400">
        <v>794</v>
      </c>
      <c r="AF400" s="2">
        <f t="shared" si="24"/>
        <v>1E-3</v>
      </c>
      <c r="AG400">
        <f t="shared" si="25"/>
        <v>0.79400000000000004</v>
      </c>
      <c r="AH400">
        <f t="shared" si="26"/>
        <v>0.85584084273568095</v>
      </c>
      <c r="AI400">
        <f t="shared" si="27"/>
        <v>-6.1840842735680912E-2</v>
      </c>
    </row>
    <row r="401" spans="28:35" x14ac:dyDescent="0.35">
      <c r="AB401">
        <v>2</v>
      </c>
      <c r="AC401">
        <v>795</v>
      </c>
      <c r="AF401" s="2">
        <f t="shared" si="24"/>
        <v>2E-3</v>
      </c>
      <c r="AG401">
        <f t="shared" si="25"/>
        <v>0.79500000000000004</v>
      </c>
      <c r="AH401">
        <f t="shared" si="26"/>
        <v>0.82206907754716119</v>
      </c>
      <c r="AI401">
        <f t="shared" si="27"/>
        <v>-2.7069077547161147E-2</v>
      </c>
    </row>
    <row r="402" spans="28:35" x14ac:dyDescent="0.35">
      <c r="AB402">
        <v>1</v>
      </c>
      <c r="AC402">
        <v>798</v>
      </c>
      <c r="AF402" s="2">
        <f t="shared" si="24"/>
        <v>1E-3</v>
      </c>
      <c r="AG402">
        <f t="shared" si="25"/>
        <v>0.79800000000000004</v>
      </c>
      <c r="AH402">
        <f t="shared" si="26"/>
        <v>0.85584084273568095</v>
      </c>
      <c r="AI402">
        <f t="shared" si="27"/>
        <v>-5.7840842735680909E-2</v>
      </c>
    </row>
    <row r="403" spans="28:35" x14ac:dyDescent="0.35">
      <c r="AB403">
        <v>4</v>
      </c>
      <c r="AC403">
        <v>814</v>
      </c>
      <c r="AF403" s="2">
        <f t="shared" si="24"/>
        <v>4.0000000000000001E-3</v>
      </c>
      <c r="AG403">
        <f t="shared" si="25"/>
        <v>0.81399999999999995</v>
      </c>
      <c r="AH403">
        <f t="shared" si="26"/>
        <v>0.75847089591385031</v>
      </c>
      <c r="AI403">
        <f t="shared" si="27"/>
        <v>5.5529104086149639E-2</v>
      </c>
    </row>
    <row r="404" spans="28:35" x14ac:dyDescent="0.35">
      <c r="AB404">
        <v>2</v>
      </c>
      <c r="AC404">
        <v>780</v>
      </c>
      <c r="AF404" s="2">
        <f t="shared" si="24"/>
        <v>2E-3</v>
      </c>
      <c r="AG404">
        <f t="shared" si="25"/>
        <v>0.78</v>
      </c>
      <c r="AH404">
        <f t="shared" si="26"/>
        <v>0.82206907754716119</v>
      </c>
      <c r="AI404">
        <f t="shared" si="27"/>
        <v>-4.206907754716116E-2</v>
      </c>
    </row>
    <row r="405" spans="28:35" x14ac:dyDescent="0.35">
      <c r="AB405">
        <v>2</v>
      </c>
      <c r="AC405">
        <v>793</v>
      </c>
      <c r="AF405" s="2">
        <f t="shared" si="24"/>
        <v>2E-3</v>
      </c>
      <c r="AG405">
        <f t="shared" si="25"/>
        <v>0.79300000000000004</v>
      </c>
      <c r="AH405">
        <f t="shared" si="26"/>
        <v>0.82206907754716119</v>
      </c>
      <c r="AI405">
        <f t="shared" si="27"/>
        <v>-2.9069077547161148E-2</v>
      </c>
    </row>
    <row r="406" spans="28:35" x14ac:dyDescent="0.35">
      <c r="AB406">
        <v>1</v>
      </c>
      <c r="AC406">
        <v>805</v>
      </c>
      <c r="AF406" s="2">
        <f t="shared" si="24"/>
        <v>1E-3</v>
      </c>
      <c r="AG406">
        <f t="shared" si="25"/>
        <v>0.80500000000000005</v>
      </c>
      <c r="AH406">
        <f t="shared" si="26"/>
        <v>0.85584084273568095</v>
      </c>
      <c r="AI406">
        <f t="shared" si="27"/>
        <v>-5.0840842735680902E-2</v>
      </c>
    </row>
    <row r="407" spans="28:35" x14ac:dyDescent="0.35">
      <c r="AB407">
        <v>2</v>
      </c>
      <c r="AC407">
        <v>791</v>
      </c>
      <c r="AF407" s="2">
        <f t="shared" si="24"/>
        <v>2E-3</v>
      </c>
      <c r="AG407">
        <f t="shared" si="25"/>
        <v>0.79100000000000004</v>
      </c>
      <c r="AH407">
        <f t="shared" si="26"/>
        <v>0.82206907754716119</v>
      </c>
      <c r="AI407">
        <f t="shared" si="27"/>
        <v>-3.106907754716115E-2</v>
      </c>
    </row>
    <row r="408" spans="28:35" x14ac:dyDescent="0.35">
      <c r="AB408">
        <v>2</v>
      </c>
      <c r="AC408">
        <v>793</v>
      </c>
      <c r="AF408" s="2">
        <f t="shared" si="24"/>
        <v>2E-3</v>
      </c>
      <c r="AG408">
        <f t="shared" si="25"/>
        <v>0.79300000000000004</v>
      </c>
      <c r="AH408">
        <f t="shared" si="26"/>
        <v>0.82206907754716119</v>
      </c>
      <c r="AI408">
        <f t="shared" si="27"/>
        <v>-2.9069077547161148E-2</v>
      </c>
    </row>
    <row r="409" spans="28:35" x14ac:dyDescent="0.35">
      <c r="AB409">
        <v>3</v>
      </c>
      <c r="AC409">
        <v>783</v>
      </c>
      <c r="AF409" s="2">
        <f t="shared" si="24"/>
        <v>3.0000000000000001E-3</v>
      </c>
      <c r="AG409">
        <f t="shared" si="25"/>
        <v>0.78300000000000003</v>
      </c>
      <c r="AH409">
        <f t="shared" si="26"/>
        <v>0.78962995748025411</v>
      </c>
      <c r="AI409">
        <f t="shared" si="27"/>
        <v>-6.6299574802540784E-3</v>
      </c>
    </row>
    <row r="410" spans="28:35" x14ac:dyDescent="0.35">
      <c r="AB410">
        <v>4</v>
      </c>
      <c r="AC410">
        <v>796</v>
      </c>
      <c r="AF410" s="2">
        <f t="shared" si="24"/>
        <v>4.0000000000000001E-3</v>
      </c>
      <c r="AG410">
        <f t="shared" si="25"/>
        <v>0.79600000000000004</v>
      </c>
      <c r="AH410">
        <f t="shared" si="26"/>
        <v>0.75847089591385031</v>
      </c>
      <c r="AI410">
        <f t="shared" si="27"/>
        <v>3.7529104086149734E-2</v>
      </c>
    </row>
    <row r="411" spans="28:35" x14ac:dyDescent="0.35">
      <c r="AB411">
        <v>2</v>
      </c>
      <c r="AC411">
        <v>793</v>
      </c>
      <c r="AF411" s="2">
        <f t="shared" si="24"/>
        <v>2E-3</v>
      </c>
      <c r="AG411">
        <f t="shared" si="25"/>
        <v>0.79300000000000004</v>
      </c>
      <c r="AH411">
        <f t="shared" si="26"/>
        <v>0.82206907754716119</v>
      </c>
      <c r="AI411">
        <f t="shared" si="27"/>
        <v>-2.9069077547161148E-2</v>
      </c>
    </row>
    <row r="412" spans="28:35" x14ac:dyDescent="0.35">
      <c r="AB412">
        <v>3</v>
      </c>
      <c r="AC412">
        <v>782</v>
      </c>
      <c r="AF412" s="2">
        <f t="shared" si="24"/>
        <v>3.0000000000000001E-3</v>
      </c>
      <c r="AG412">
        <f t="shared" si="25"/>
        <v>0.78200000000000003</v>
      </c>
      <c r="AH412">
        <f t="shared" si="26"/>
        <v>0.78962995748025411</v>
      </c>
      <c r="AI412">
        <f t="shared" si="27"/>
        <v>-7.6299574802540793E-3</v>
      </c>
    </row>
    <row r="413" spans="28:35" x14ac:dyDescent="0.35">
      <c r="AB413">
        <v>2</v>
      </c>
      <c r="AC413">
        <v>790</v>
      </c>
      <c r="AF413" s="2">
        <f t="shared" si="24"/>
        <v>2E-3</v>
      </c>
      <c r="AG413">
        <f t="shared" si="25"/>
        <v>0.79</v>
      </c>
      <c r="AH413">
        <f t="shared" si="26"/>
        <v>0.82206907754716119</v>
      </c>
      <c r="AI413">
        <f t="shared" si="27"/>
        <v>-3.2069077547161151E-2</v>
      </c>
    </row>
    <row r="414" spans="28:35" x14ac:dyDescent="0.35">
      <c r="AB414">
        <v>4</v>
      </c>
      <c r="AC414">
        <v>810</v>
      </c>
      <c r="AF414" s="2">
        <f t="shared" si="24"/>
        <v>4.0000000000000001E-3</v>
      </c>
      <c r="AG414">
        <f t="shared" si="25"/>
        <v>0.81</v>
      </c>
      <c r="AH414">
        <f t="shared" si="26"/>
        <v>0.75847089591385031</v>
      </c>
      <c r="AI414">
        <f t="shared" si="27"/>
        <v>5.1529104086149746E-2</v>
      </c>
    </row>
    <row r="415" spans="28:35" x14ac:dyDescent="0.35">
      <c r="AB415">
        <v>2</v>
      </c>
      <c r="AC415">
        <v>788</v>
      </c>
      <c r="AF415" s="2">
        <f t="shared" si="24"/>
        <v>2E-3</v>
      </c>
      <c r="AG415">
        <f t="shared" si="25"/>
        <v>0.78800000000000003</v>
      </c>
      <c r="AH415">
        <f t="shared" si="26"/>
        <v>0.82206907754716119</v>
      </c>
      <c r="AI415">
        <f t="shared" si="27"/>
        <v>-3.4069077547161153E-2</v>
      </c>
    </row>
    <row r="416" spans="28:35" x14ac:dyDescent="0.35">
      <c r="AB416">
        <v>2</v>
      </c>
      <c r="AC416">
        <v>794</v>
      </c>
      <c r="AF416" s="2">
        <f t="shared" si="24"/>
        <v>2E-3</v>
      </c>
      <c r="AG416">
        <f t="shared" si="25"/>
        <v>0.79400000000000004</v>
      </c>
      <c r="AH416">
        <f t="shared" si="26"/>
        <v>0.82206907754716119</v>
      </c>
      <c r="AI416">
        <f t="shared" si="27"/>
        <v>-2.8069077547161148E-2</v>
      </c>
    </row>
    <row r="417" spans="28:35" x14ac:dyDescent="0.35">
      <c r="AB417">
        <v>1</v>
      </c>
      <c r="AC417">
        <v>792</v>
      </c>
      <c r="AF417" s="2">
        <f t="shared" si="24"/>
        <v>1E-3</v>
      </c>
      <c r="AG417">
        <f t="shared" si="25"/>
        <v>0.79200000000000004</v>
      </c>
      <c r="AH417">
        <f t="shared" si="26"/>
        <v>0.85584084273568095</v>
      </c>
      <c r="AI417">
        <f t="shared" si="27"/>
        <v>-6.3840842735680914E-2</v>
      </c>
    </row>
    <row r="418" spans="28:35" x14ac:dyDescent="0.35">
      <c r="AB418">
        <v>1</v>
      </c>
      <c r="AC418">
        <v>802</v>
      </c>
      <c r="AF418" s="2">
        <f t="shared" si="24"/>
        <v>1E-3</v>
      </c>
      <c r="AG418">
        <f t="shared" si="25"/>
        <v>0.80200000000000005</v>
      </c>
      <c r="AH418">
        <f t="shared" si="26"/>
        <v>0.85584084273568095</v>
      </c>
      <c r="AI418">
        <f t="shared" si="27"/>
        <v>-5.3840842735680905E-2</v>
      </c>
    </row>
    <row r="419" spans="28:35" x14ac:dyDescent="0.35">
      <c r="AB419">
        <v>2</v>
      </c>
      <c r="AC419">
        <v>791</v>
      </c>
      <c r="AF419" s="2">
        <f t="shared" si="24"/>
        <v>2E-3</v>
      </c>
      <c r="AG419">
        <f t="shared" si="25"/>
        <v>0.79100000000000004</v>
      </c>
      <c r="AH419">
        <f t="shared" si="26"/>
        <v>0.82206907754716119</v>
      </c>
      <c r="AI419">
        <f t="shared" si="27"/>
        <v>-3.106907754716115E-2</v>
      </c>
    </row>
    <row r="420" spans="28:35" x14ac:dyDescent="0.35">
      <c r="AB420">
        <v>5</v>
      </c>
      <c r="AC420">
        <v>545</v>
      </c>
      <c r="AF420" s="2">
        <f t="shared" si="24"/>
        <v>5.0000000000000001E-3</v>
      </c>
      <c r="AG420">
        <f t="shared" si="25"/>
        <v>0.54500000000000004</v>
      </c>
      <c r="AH420">
        <f t="shared" si="26"/>
        <v>0.72854138131245416</v>
      </c>
      <c r="AI420">
        <f t="shared" si="27"/>
        <v>-0.18354138131245412</v>
      </c>
    </row>
    <row r="421" spans="28:35" x14ac:dyDescent="0.35">
      <c r="AB421">
        <v>2</v>
      </c>
      <c r="AC421">
        <v>785</v>
      </c>
      <c r="AF421" s="2">
        <f t="shared" si="24"/>
        <v>2E-3</v>
      </c>
      <c r="AG421">
        <f t="shared" si="25"/>
        <v>0.78500000000000003</v>
      </c>
      <c r="AH421">
        <f t="shared" si="26"/>
        <v>0.82206907754716119</v>
      </c>
      <c r="AI421">
        <f t="shared" si="27"/>
        <v>-3.7069077547161156E-2</v>
      </c>
    </row>
    <row r="422" spans="28:35" x14ac:dyDescent="0.35">
      <c r="AB422">
        <v>5</v>
      </c>
      <c r="AC422">
        <v>552</v>
      </c>
      <c r="AF422" s="2">
        <f t="shared" si="24"/>
        <v>5.0000000000000001E-3</v>
      </c>
      <c r="AG422">
        <f t="shared" si="25"/>
        <v>0.55200000000000005</v>
      </c>
      <c r="AH422">
        <f t="shared" si="26"/>
        <v>0.72854138131245416</v>
      </c>
      <c r="AI422">
        <f t="shared" si="27"/>
        <v>-0.17654138131245412</v>
      </c>
    </row>
    <row r="423" spans="28:35" x14ac:dyDescent="0.35">
      <c r="AB423">
        <v>5</v>
      </c>
      <c r="AC423">
        <v>541</v>
      </c>
      <c r="AF423" s="2">
        <f t="shared" si="24"/>
        <v>5.0000000000000001E-3</v>
      </c>
      <c r="AG423">
        <f t="shared" si="25"/>
        <v>0.54100000000000004</v>
      </c>
      <c r="AH423">
        <f t="shared" si="26"/>
        <v>0.72854138131245416</v>
      </c>
      <c r="AI423">
        <f t="shared" si="27"/>
        <v>-0.18754138131245413</v>
      </c>
    </row>
    <row r="424" spans="28:35" x14ac:dyDescent="0.35">
      <c r="AB424">
        <v>4</v>
      </c>
      <c r="AC424">
        <v>802</v>
      </c>
      <c r="AF424" s="2">
        <f t="shared" si="24"/>
        <v>4.0000000000000001E-3</v>
      </c>
      <c r="AG424">
        <f t="shared" si="25"/>
        <v>0.80200000000000005</v>
      </c>
      <c r="AH424">
        <f t="shared" si="26"/>
        <v>0.75847089591385031</v>
      </c>
      <c r="AI424">
        <f t="shared" si="27"/>
        <v>4.3529104086149739E-2</v>
      </c>
    </row>
    <row r="425" spans="28:35" x14ac:dyDescent="0.35">
      <c r="AB425">
        <v>4</v>
      </c>
      <c r="AC425">
        <v>798</v>
      </c>
      <c r="AF425" s="2">
        <f t="shared" si="24"/>
        <v>4.0000000000000001E-3</v>
      </c>
      <c r="AG425">
        <f t="shared" si="25"/>
        <v>0.79800000000000004</v>
      </c>
      <c r="AH425">
        <f t="shared" si="26"/>
        <v>0.75847089591385031</v>
      </c>
      <c r="AI425">
        <f t="shared" si="27"/>
        <v>3.9529104086149736E-2</v>
      </c>
    </row>
    <row r="426" spans="28:35" x14ac:dyDescent="0.35">
      <c r="AB426">
        <v>2</v>
      </c>
      <c r="AC426">
        <v>789</v>
      </c>
      <c r="AF426" s="2">
        <f t="shared" si="24"/>
        <v>2E-3</v>
      </c>
      <c r="AG426">
        <f t="shared" si="25"/>
        <v>0.78900000000000003</v>
      </c>
      <c r="AH426">
        <f t="shared" si="26"/>
        <v>0.82206907754716119</v>
      </c>
      <c r="AI426">
        <f t="shared" si="27"/>
        <v>-3.3069077547161152E-2</v>
      </c>
    </row>
    <row r="427" spans="28:35" x14ac:dyDescent="0.35">
      <c r="AB427">
        <v>4</v>
      </c>
      <c r="AC427">
        <v>800</v>
      </c>
      <c r="AF427" s="2">
        <f t="shared" si="24"/>
        <v>4.0000000000000001E-3</v>
      </c>
      <c r="AG427">
        <f t="shared" si="25"/>
        <v>0.8</v>
      </c>
      <c r="AH427">
        <f t="shared" si="26"/>
        <v>0.75847089591385031</v>
      </c>
      <c r="AI427">
        <f t="shared" si="27"/>
        <v>4.1529104086149737E-2</v>
      </c>
    </row>
    <row r="428" spans="28:35" x14ac:dyDescent="0.35">
      <c r="AB428">
        <v>3</v>
      </c>
      <c r="AC428">
        <v>786</v>
      </c>
      <c r="AF428" s="2">
        <f t="shared" si="24"/>
        <v>3.0000000000000001E-3</v>
      </c>
      <c r="AG428">
        <f t="shared" si="25"/>
        <v>0.78600000000000003</v>
      </c>
      <c r="AH428">
        <f t="shared" si="26"/>
        <v>0.78962995748025411</v>
      </c>
      <c r="AI428">
        <f t="shared" si="27"/>
        <v>-3.6299574802540757E-3</v>
      </c>
    </row>
    <row r="429" spans="28:35" x14ac:dyDescent="0.35">
      <c r="AB429">
        <v>1</v>
      </c>
      <c r="AC429">
        <v>796</v>
      </c>
      <c r="AF429" s="2">
        <f t="shared" si="24"/>
        <v>1E-3</v>
      </c>
      <c r="AG429">
        <f t="shared" si="25"/>
        <v>0.79600000000000004</v>
      </c>
      <c r="AH429">
        <f t="shared" si="26"/>
        <v>0.85584084273568095</v>
      </c>
      <c r="AI429">
        <f t="shared" si="27"/>
        <v>-5.984084273568091E-2</v>
      </c>
    </row>
    <row r="430" spans="28:35" x14ac:dyDescent="0.35">
      <c r="AB430">
        <v>2</v>
      </c>
      <c r="AC430">
        <v>793</v>
      </c>
      <c r="AF430" s="2">
        <f t="shared" si="24"/>
        <v>2E-3</v>
      </c>
      <c r="AG430">
        <f t="shared" si="25"/>
        <v>0.79300000000000004</v>
      </c>
      <c r="AH430">
        <f t="shared" si="26"/>
        <v>0.82206907754716119</v>
      </c>
      <c r="AI430">
        <f t="shared" si="27"/>
        <v>-2.9069077547161148E-2</v>
      </c>
    </row>
    <row r="431" spans="28:35" x14ac:dyDescent="0.35">
      <c r="AB431">
        <v>2</v>
      </c>
      <c r="AC431">
        <v>787</v>
      </c>
      <c r="AF431" s="2">
        <f t="shared" si="24"/>
        <v>2E-3</v>
      </c>
      <c r="AG431">
        <f t="shared" si="25"/>
        <v>0.78700000000000003</v>
      </c>
      <c r="AH431">
        <f t="shared" si="26"/>
        <v>0.82206907754716119</v>
      </c>
      <c r="AI431">
        <f t="shared" si="27"/>
        <v>-3.5069077547161154E-2</v>
      </c>
    </row>
    <row r="432" spans="28:35" x14ac:dyDescent="0.35">
      <c r="AB432">
        <v>4</v>
      </c>
      <c r="AC432">
        <v>802</v>
      </c>
      <c r="AF432" s="2">
        <f t="shared" si="24"/>
        <v>4.0000000000000001E-3</v>
      </c>
      <c r="AG432">
        <f t="shared" si="25"/>
        <v>0.80200000000000005</v>
      </c>
      <c r="AH432">
        <f t="shared" si="26"/>
        <v>0.75847089591385031</v>
      </c>
      <c r="AI432">
        <f t="shared" si="27"/>
        <v>4.3529104086149739E-2</v>
      </c>
    </row>
    <row r="433" spans="28:35" x14ac:dyDescent="0.35">
      <c r="AB433">
        <v>4</v>
      </c>
      <c r="AC433">
        <v>804</v>
      </c>
      <c r="AF433" s="2">
        <f t="shared" si="24"/>
        <v>4.0000000000000001E-3</v>
      </c>
      <c r="AG433">
        <f t="shared" si="25"/>
        <v>0.80400000000000005</v>
      </c>
      <c r="AH433">
        <f t="shared" si="26"/>
        <v>0.75847089591385031</v>
      </c>
      <c r="AI433">
        <f t="shared" si="27"/>
        <v>4.5529104086149741E-2</v>
      </c>
    </row>
    <row r="434" spans="28:35" x14ac:dyDescent="0.35">
      <c r="AB434">
        <v>3</v>
      </c>
      <c r="AC434">
        <v>775</v>
      </c>
      <c r="AF434" s="2">
        <f t="shared" si="24"/>
        <v>3.0000000000000001E-3</v>
      </c>
      <c r="AG434">
        <f t="shared" si="25"/>
        <v>0.77500000000000002</v>
      </c>
      <c r="AH434">
        <f t="shared" si="26"/>
        <v>0.78962995748025411</v>
      </c>
      <c r="AI434">
        <f t="shared" si="27"/>
        <v>-1.4629957480254085E-2</v>
      </c>
    </row>
    <row r="435" spans="28:35" x14ac:dyDescent="0.35">
      <c r="AB435">
        <v>2</v>
      </c>
      <c r="AC435">
        <v>782</v>
      </c>
      <c r="AF435" s="2">
        <f t="shared" si="24"/>
        <v>2E-3</v>
      </c>
      <c r="AG435">
        <f t="shared" si="25"/>
        <v>0.78200000000000003</v>
      </c>
      <c r="AH435">
        <f t="shared" si="26"/>
        <v>0.82206907754716119</v>
      </c>
      <c r="AI435">
        <f t="shared" si="27"/>
        <v>-4.0069077547161158E-2</v>
      </c>
    </row>
    <row r="436" spans="28:35" x14ac:dyDescent="0.35">
      <c r="AB436">
        <v>5</v>
      </c>
      <c r="AC436">
        <v>542</v>
      </c>
      <c r="AF436" s="2">
        <f t="shared" si="24"/>
        <v>5.0000000000000001E-3</v>
      </c>
      <c r="AG436">
        <f t="shared" si="25"/>
        <v>0.54200000000000004</v>
      </c>
      <c r="AH436">
        <f t="shared" si="26"/>
        <v>0.72854138131245416</v>
      </c>
      <c r="AI436">
        <f t="shared" si="27"/>
        <v>-0.18654138131245412</v>
      </c>
    </row>
    <row r="437" spans="28:35" x14ac:dyDescent="0.35">
      <c r="AB437">
        <v>4</v>
      </c>
      <c r="AC437">
        <v>803</v>
      </c>
      <c r="AF437" s="2">
        <f t="shared" si="24"/>
        <v>4.0000000000000001E-3</v>
      </c>
      <c r="AG437">
        <f t="shared" si="25"/>
        <v>0.80300000000000005</v>
      </c>
      <c r="AH437">
        <f t="shared" si="26"/>
        <v>0.75847089591385031</v>
      </c>
      <c r="AI437">
        <f t="shared" si="27"/>
        <v>4.452910408614974E-2</v>
      </c>
    </row>
    <row r="438" spans="28:35" x14ac:dyDescent="0.35">
      <c r="AB438">
        <v>5</v>
      </c>
      <c r="AC438">
        <v>549</v>
      </c>
      <c r="AF438" s="2">
        <f t="shared" si="24"/>
        <v>5.0000000000000001E-3</v>
      </c>
      <c r="AG438">
        <f t="shared" si="25"/>
        <v>0.54900000000000004</v>
      </c>
      <c r="AH438">
        <f t="shared" si="26"/>
        <v>0.72854138131245416</v>
      </c>
      <c r="AI438">
        <f t="shared" si="27"/>
        <v>-0.17954138131245412</v>
      </c>
    </row>
    <row r="439" spans="28:35" x14ac:dyDescent="0.35">
      <c r="AB439">
        <v>5</v>
      </c>
      <c r="AC439">
        <v>551</v>
      </c>
      <c r="AF439" s="2">
        <f t="shared" si="24"/>
        <v>5.0000000000000001E-3</v>
      </c>
      <c r="AG439">
        <f t="shared" si="25"/>
        <v>0.55100000000000005</v>
      </c>
      <c r="AH439">
        <f t="shared" si="26"/>
        <v>0.72854138131245416</v>
      </c>
      <c r="AI439">
        <f t="shared" si="27"/>
        <v>-0.17754138131245412</v>
      </c>
    </row>
    <row r="440" spans="28:35" x14ac:dyDescent="0.35">
      <c r="AB440">
        <v>2</v>
      </c>
      <c r="AC440">
        <v>789</v>
      </c>
      <c r="AF440" s="2">
        <f t="shared" si="24"/>
        <v>2E-3</v>
      </c>
      <c r="AG440">
        <f t="shared" si="25"/>
        <v>0.78900000000000003</v>
      </c>
      <c r="AH440">
        <f t="shared" si="26"/>
        <v>0.82206907754716119</v>
      </c>
      <c r="AI440">
        <f t="shared" si="27"/>
        <v>-3.3069077547161152E-2</v>
      </c>
    </row>
    <row r="441" spans="28:35" x14ac:dyDescent="0.35">
      <c r="AB441">
        <v>0</v>
      </c>
      <c r="AC441">
        <v>997</v>
      </c>
      <c r="AF441" s="2">
        <f t="shared" si="24"/>
        <v>0</v>
      </c>
      <c r="AG441">
        <f t="shared" si="25"/>
        <v>0.997</v>
      </c>
      <c r="AH441">
        <f t="shared" si="26"/>
        <v>0.89100000000000001</v>
      </c>
      <c r="AI441">
        <f t="shared" si="27"/>
        <v>0.10599999999999998</v>
      </c>
    </row>
    <row r="442" spans="28:35" x14ac:dyDescent="0.35">
      <c r="AB442">
        <v>1</v>
      </c>
      <c r="AC442">
        <v>810</v>
      </c>
      <c r="AF442" s="2">
        <f t="shared" si="24"/>
        <v>1E-3</v>
      </c>
      <c r="AG442">
        <f t="shared" si="25"/>
        <v>0.81</v>
      </c>
      <c r="AH442">
        <f t="shared" si="26"/>
        <v>0.85584084273568095</v>
      </c>
      <c r="AI442">
        <f t="shared" si="27"/>
        <v>-4.5840842735680898E-2</v>
      </c>
    </row>
    <row r="443" spans="28:35" x14ac:dyDescent="0.35">
      <c r="AB443">
        <v>1</v>
      </c>
      <c r="AC443">
        <v>791</v>
      </c>
      <c r="AF443" s="2">
        <f t="shared" si="24"/>
        <v>1E-3</v>
      </c>
      <c r="AG443">
        <f t="shared" si="25"/>
        <v>0.79100000000000004</v>
      </c>
      <c r="AH443">
        <f t="shared" si="26"/>
        <v>0.85584084273568095</v>
      </c>
      <c r="AI443">
        <f t="shared" si="27"/>
        <v>-6.4840842735680915E-2</v>
      </c>
    </row>
    <row r="444" spans="28:35" x14ac:dyDescent="0.35">
      <c r="AB444">
        <v>4</v>
      </c>
      <c r="AC444">
        <v>803</v>
      </c>
      <c r="AF444" s="2">
        <f t="shared" si="24"/>
        <v>4.0000000000000001E-3</v>
      </c>
      <c r="AG444">
        <f t="shared" si="25"/>
        <v>0.80300000000000005</v>
      </c>
      <c r="AH444">
        <f t="shared" si="26"/>
        <v>0.75847089591385031</v>
      </c>
      <c r="AI444">
        <f t="shared" si="27"/>
        <v>4.452910408614974E-2</v>
      </c>
    </row>
    <row r="445" spans="28:35" x14ac:dyDescent="0.35">
      <c r="AB445">
        <v>2</v>
      </c>
      <c r="AC445">
        <v>790</v>
      </c>
      <c r="AF445" s="2">
        <f t="shared" si="24"/>
        <v>2E-3</v>
      </c>
      <c r="AG445">
        <f t="shared" si="25"/>
        <v>0.79</v>
      </c>
      <c r="AH445">
        <f t="shared" si="26"/>
        <v>0.82206907754716119</v>
      </c>
      <c r="AI445">
        <f t="shared" si="27"/>
        <v>-3.2069077547161151E-2</v>
      </c>
    </row>
    <row r="446" spans="28:35" x14ac:dyDescent="0.35">
      <c r="AB446">
        <v>2</v>
      </c>
      <c r="AC446">
        <v>796</v>
      </c>
      <c r="AF446" s="2">
        <f t="shared" si="24"/>
        <v>2E-3</v>
      </c>
      <c r="AG446">
        <f t="shared" si="25"/>
        <v>0.79600000000000004</v>
      </c>
      <c r="AH446">
        <f t="shared" si="26"/>
        <v>0.82206907754716119</v>
      </c>
      <c r="AI446">
        <f t="shared" si="27"/>
        <v>-2.6069077547161146E-2</v>
      </c>
    </row>
    <row r="447" spans="28:35" x14ac:dyDescent="0.35">
      <c r="AB447">
        <v>1</v>
      </c>
      <c r="AC447">
        <v>786</v>
      </c>
      <c r="AF447" s="2">
        <f t="shared" si="24"/>
        <v>1E-3</v>
      </c>
      <c r="AG447">
        <f t="shared" si="25"/>
        <v>0.78600000000000003</v>
      </c>
      <c r="AH447">
        <f t="shared" si="26"/>
        <v>0.85584084273568095</v>
      </c>
      <c r="AI447">
        <f t="shared" si="27"/>
        <v>-6.9840842735680919E-2</v>
      </c>
    </row>
    <row r="448" spans="28:35" x14ac:dyDescent="0.35">
      <c r="AB448">
        <v>3</v>
      </c>
      <c r="AC448">
        <v>789</v>
      </c>
      <c r="AF448" s="2">
        <f t="shared" si="24"/>
        <v>3.0000000000000001E-3</v>
      </c>
      <c r="AG448">
        <f t="shared" si="25"/>
        <v>0.78900000000000003</v>
      </c>
      <c r="AH448">
        <f t="shared" si="26"/>
        <v>0.78962995748025411</v>
      </c>
      <c r="AI448">
        <f t="shared" si="27"/>
        <v>-6.2995748025407305E-4</v>
      </c>
    </row>
    <row r="449" spans="28:35" x14ac:dyDescent="0.35">
      <c r="AB449">
        <v>3</v>
      </c>
      <c r="AC449">
        <v>786</v>
      </c>
      <c r="AF449" s="2">
        <f t="shared" si="24"/>
        <v>3.0000000000000001E-3</v>
      </c>
      <c r="AG449">
        <f t="shared" si="25"/>
        <v>0.78600000000000003</v>
      </c>
      <c r="AH449">
        <f t="shared" si="26"/>
        <v>0.78962995748025411</v>
      </c>
      <c r="AI449">
        <f t="shared" si="27"/>
        <v>-3.6299574802540757E-3</v>
      </c>
    </row>
    <row r="450" spans="28:35" x14ac:dyDescent="0.35">
      <c r="AB450">
        <v>1</v>
      </c>
      <c r="AC450">
        <v>787</v>
      </c>
      <c r="AF450" s="2">
        <f t="shared" si="24"/>
        <v>1E-3</v>
      </c>
      <c r="AG450">
        <f t="shared" si="25"/>
        <v>0.78700000000000003</v>
      </c>
      <c r="AH450">
        <f t="shared" si="26"/>
        <v>0.85584084273568095</v>
      </c>
      <c r="AI450">
        <f t="shared" si="27"/>
        <v>-6.8840842735680918E-2</v>
      </c>
    </row>
    <row r="451" spans="28:35" x14ac:dyDescent="0.35">
      <c r="AB451">
        <v>2</v>
      </c>
      <c r="AC451">
        <v>797</v>
      </c>
      <c r="AF451" s="2">
        <f t="shared" si="24"/>
        <v>2E-3</v>
      </c>
      <c r="AG451">
        <f t="shared" si="25"/>
        <v>0.79700000000000004</v>
      </c>
      <c r="AH451">
        <f t="shared" si="26"/>
        <v>0.82206907754716119</v>
      </c>
      <c r="AI451">
        <f t="shared" si="27"/>
        <v>-2.5069077547161145E-2</v>
      </c>
    </row>
    <row r="452" spans="28:35" x14ac:dyDescent="0.35">
      <c r="AB452">
        <v>0</v>
      </c>
      <c r="AC452">
        <v>996</v>
      </c>
      <c r="AF452" s="2">
        <f t="shared" ref="AF452:AF515" si="28">AB452/1000</f>
        <v>0</v>
      </c>
      <c r="AG452">
        <f t="shared" ref="AG452:AG515" si="29">AC452/1000</f>
        <v>0.996</v>
      </c>
      <c r="AH452">
        <f t="shared" ref="AH452:AH515" si="30">0.891*EXP(-40.26*AF452)</f>
        <v>0.89100000000000001</v>
      </c>
      <c r="AI452">
        <f t="shared" ref="AI452:AI515" si="31">AG452-AH452</f>
        <v>0.10499999999999998</v>
      </c>
    </row>
    <row r="453" spans="28:35" x14ac:dyDescent="0.35">
      <c r="AB453">
        <v>0</v>
      </c>
      <c r="AC453">
        <v>996</v>
      </c>
      <c r="AF453" s="2">
        <f t="shared" si="28"/>
        <v>0</v>
      </c>
      <c r="AG453">
        <f t="shared" si="29"/>
        <v>0.996</v>
      </c>
      <c r="AH453">
        <f t="shared" si="30"/>
        <v>0.89100000000000001</v>
      </c>
      <c r="AI453">
        <f t="shared" si="31"/>
        <v>0.10499999999999998</v>
      </c>
    </row>
    <row r="454" spans="28:35" x14ac:dyDescent="0.35">
      <c r="AB454">
        <v>0</v>
      </c>
      <c r="AC454">
        <v>996</v>
      </c>
      <c r="AF454" s="2">
        <f t="shared" si="28"/>
        <v>0</v>
      </c>
      <c r="AG454">
        <f t="shared" si="29"/>
        <v>0.996</v>
      </c>
      <c r="AH454">
        <f t="shared" si="30"/>
        <v>0.89100000000000001</v>
      </c>
      <c r="AI454">
        <f t="shared" si="31"/>
        <v>0.10499999999999998</v>
      </c>
    </row>
    <row r="455" spans="28:35" x14ac:dyDescent="0.35">
      <c r="AB455">
        <v>1</v>
      </c>
      <c r="AC455">
        <v>800</v>
      </c>
      <c r="AF455" s="2">
        <f t="shared" si="28"/>
        <v>1E-3</v>
      </c>
      <c r="AG455">
        <f t="shared" si="29"/>
        <v>0.8</v>
      </c>
      <c r="AH455">
        <f t="shared" si="30"/>
        <v>0.85584084273568095</v>
      </c>
      <c r="AI455">
        <f t="shared" si="31"/>
        <v>-5.5840842735680907E-2</v>
      </c>
    </row>
    <row r="456" spans="28:35" x14ac:dyDescent="0.35">
      <c r="AB456">
        <v>1</v>
      </c>
      <c r="AC456">
        <v>803</v>
      </c>
      <c r="AF456" s="2">
        <f t="shared" si="28"/>
        <v>1E-3</v>
      </c>
      <c r="AG456">
        <f t="shared" si="29"/>
        <v>0.80300000000000005</v>
      </c>
      <c r="AH456">
        <f t="shared" si="30"/>
        <v>0.85584084273568095</v>
      </c>
      <c r="AI456">
        <f t="shared" si="31"/>
        <v>-5.2840842735680904E-2</v>
      </c>
    </row>
    <row r="457" spans="28:35" x14ac:dyDescent="0.35">
      <c r="AB457">
        <v>3</v>
      </c>
      <c r="AC457">
        <v>786</v>
      </c>
      <c r="AF457" s="2">
        <f t="shared" si="28"/>
        <v>3.0000000000000001E-3</v>
      </c>
      <c r="AG457">
        <f t="shared" si="29"/>
        <v>0.78600000000000003</v>
      </c>
      <c r="AH457">
        <f t="shared" si="30"/>
        <v>0.78962995748025411</v>
      </c>
      <c r="AI457">
        <f t="shared" si="31"/>
        <v>-3.6299574802540757E-3</v>
      </c>
    </row>
    <row r="458" spans="28:35" x14ac:dyDescent="0.35">
      <c r="AB458">
        <v>2</v>
      </c>
      <c r="AC458">
        <v>799</v>
      </c>
      <c r="AF458" s="2">
        <f t="shared" si="28"/>
        <v>2E-3</v>
      </c>
      <c r="AG458">
        <f t="shared" si="29"/>
        <v>0.79900000000000004</v>
      </c>
      <c r="AH458">
        <f t="shared" si="30"/>
        <v>0.82206907754716119</v>
      </c>
      <c r="AI458">
        <f t="shared" si="31"/>
        <v>-2.3069077547161143E-2</v>
      </c>
    </row>
    <row r="459" spans="28:35" x14ac:dyDescent="0.35">
      <c r="AB459">
        <v>3</v>
      </c>
      <c r="AC459">
        <v>787</v>
      </c>
      <c r="AF459" s="2">
        <f t="shared" si="28"/>
        <v>3.0000000000000001E-3</v>
      </c>
      <c r="AG459">
        <f t="shared" si="29"/>
        <v>0.78700000000000003</v>
      </c>
      <c r="AH459">
        <f t="shared" si="30"/>
        <v>0.78962995748025411</v>
      </c>
      <c r="AI459">
        <f t="shared" si="31"/>
        <v>-2.6299574802540748E-3</v>
      </c>
    </row>
    <row r="460" spans="28:35" x14ac:dyDescent="0.35">
      <c r="AB460">
        <v>2</v>
      </c>
      <c r="AC460">
        <v>796</v>
      </c>
      <c r="AF460" s="2">
        <f t="shared" si="28"/>
        <v>2E-3</v>
      </c>
      <c r="AG460">
        <f t="shared" si="29"/>
        <v>0.79600000000000004</v>
      </c>
      <c r="AH460">
        <f t="shared" si="30"/>
        <v>0.82206907754716119</v>
      </c>
      <c r="AI460">
        <f t="shared" si="31"/>
        <v>-2.6069077547161146E-2</v>
      </c>
    </row>
    <row r="461" spans="28:35" x14ac:dyDescent="0.35">
      <c r="AB461">
        <v>0</v>
      </c>
      <c r="AC461">
        <v>996</v>
      </c>
      <c r="AF461" s="2">
        <f t="shared" si="28"/>
        <v>0</v>
      </c>
      <c r="AG461">
        <f t="shared" si="29"/>
        <v>0.996</v>
      </c>
      <c r="AH461">
        <f t="shared" si="30"/>
        <v>0.89100000000000001</v>
      </c>
      <c r="AI461">
        <f t="shared" si="31"/>
        <v>0.10499999999999998</v>
      </c>
    </row>
    <row r="462" spans="28:35" x14ac:dyDescent="0.35">
      <c r="AB462">
        <v>0</v>
      </c>
      <c r="AC462">
        <v>998</v>
      </c>
      <c r="AF462" s="2">
        <f t="shared" si="28"/>
        <v>0</v>
      </c>
      <c r="AG462">
        <f t="shared" si="29"/>
        <v>0.998</v>
      </c>
      <c r="AH462">
        <f t="shared" si="30"/>
        <v>0.89100000000000001</v>
      </c>
      <c r="AI462">
        <f t="shared" si="31"/>
        <v>0.10699999999999998</v>
      </c>
    </row>
    <row r="463" spans="28:35" x14ac:dyDescent="0.35">
      <c r="AB463">
        <v>0</v>
      </c>
      <c r="AC463">
        <v>999</v>
      </c>
      <c r="AF463" s="2">
        <f t="shared" si="28"/>
        <v>0</v>
      </c>
      <c r="AG463">
        <f t="shared" si="29"/>
        <v>0.999</v>
      </c>
      <c r="AH463">
        <f t="shared" si="30"/>
        <v>0.89100000000000001</v>
      </c>
      <c r="AI463">
        <f t="shared" si="31"/>
        <v>0.10799999999999998</v>
      </c>
    </row>
    <row r="464" spans="28:35" x14ac:dyDescent="0.35">
      <c r="AB464">
        <v>0</v>
      </c>
      <c r="AC464">
        <v>999</v>
      </c>
      <c r="AF464" s="2">
        <f t="shared" si="28"/>
        <v>0</v>
      </c>
      <c r="AG464">
        <f t="shared" si="29"/>
        <v>0.999</v>
      </c>
      <c r="AH464">
        <f t="shared" si="30"/>
        <v>0.89100000000000001</v>
      </c>
      <c r="AI464">
        <f t="shared" si="31"/>
        <v>0.10799999999999998</v>
      </c>
    </row>
    <row r="465" spans="28:35" x14ac:dyDescent="0.35">
      <c r="AB465">
        <v>1</v>
      </c>
      <c r="AC465">
        <v>797</v>
      </c>
      <c r="AF465" s="2">
        <f t="shared" si="28"/>
        <v>1E-3</v>
      </c>
      <c r="AG465">
        <f t="shared" si="29"/>
        <v>0.79700000000000004</v>
      </c>
      <c r="AH465">
        <f t="shared" si="30"/>
        <v>0.85584084273568095</v>
      </c>
      <c r="AI465">
        <f t="shared" si="31"/>
        <v>-5.8840842735680909E-2</v>
      </c>
    </row>
    <row r="466" spans="28:35" x14ac:dyDescent="0.35">
      <c r="AB466">
        <v>3</v>
      </c>
      <c r="AC466">
        <v>788</v>
      </c>
      <c r="AF466" s="2">
        <f t="shared" si="28"/>
        <v>3.0000000000000001E-3</v>
      </c>
      <c r="AG466">
        <f t="shared" si="29"/>
        <v>0.78800000000000003</v>
      </c>
      <c r="AH466">
        <f t="shared" si="30"/>
        <v>0.78962995748025411</v>
      </c>
      <c r="AI466">
        <f t="shared" si="31"/>
        <v>-1.6299574802540739E-3</v>
      </c>
    </row>
    <row r="467" spans="28:35" x14ac:dyDescent="0.35">
      <c r="AB467">
        <v>2</v>
      </c>
      <c r="AC467">
        <v>797</v>
      </c>
      <c r="AF467" s="2">
        <f t="shared" si="28"/>
        <v>2E-3</v>
      </c>
      <c r="AG467">
        <f t="shared" si="29"/>
        <v>0.79700000000000004</v>
      </c>
      <c r="AH467">
        <f t="shared" si="30"/>
        <v>0.82206907754716119</v>
      </c>
      <c r="AI467">
        <f t="shared" si="31"/>
        <v>-2.5069077547161145E-2</v>
      </c>
    </row>
    <row r="468" spans="28:35" x14ac:dyDescent="0.35">
      <c r="AB468">
        <v>3</v>
      </c>
      <c r="AC468">
        <v>786</v>
      </c>
      <c r="AF468" s="2">
        <f t="shared" si="28"/>
        <v>3.0000000000000001E-3</v>
      </c>
      <c r="AG468">
        <f t="shared" si="29"/>
        <v>0.78600000000000003</v>
      </c>
      <c r="AH468">
        <f t="shared" si="30"/>
        <v>0.78962995748025411</v>
      </c>
      <c r="AI468">
        <f t="shared" si="31"/>
        <v>-3.6299574802540757E-3</v>
      </c>
    </row>
    <row r="469" spans="28:35" x14ac:dyDescent="0.35">
      <c r="AB469">
        <v>0</v>
      </c>
      <c r="AC469">
        <v>996</v>
      </c>
      <c r="AF469" s="2">
        <f t="shared" si="28"/>
        <v>0</v>
      </c>
      <c r="AG469">
        <f t="shared" si="29"/>
        <v>0.996</v>
      </c>
      <c r="AH469">
        <f t="shared" si="30"/>
        <v>0.89100000000000001</v>
      </c>
      <c r="AI469">
        <f t="shared" si="31"/>
        <v>0.10499999999999998</v>
      </c>
    </row>
    <row r="470" spans="28:35" x14ac:dyDescent="0.35">
      <c r="AB470">
        <v>0</v>
      </c>
      <c r="AC470">
        <v>995</v>
      </c>
      <c r="AF470" s="2">
        <f t="shared" si="28"/>
        <v>0</v>
      </c>
      <c r="AG470">
        <f t="shared" si="29"/>
        <v>0.995</v>
      </c>
      <c r="AH470">
        <f t="shared" si="30"/>
        <v>0.89100000000000001</v>
      </c>
      <c r="AI470">
        <f t="shared" si="31"/>
        <v>0.10399999999999998</v>
      </c>
    </row>
    <row r="471" spans="28:35" x14ac:dyDescent="0.35">
      <c r="AB471">
        <v>0</v>
      </c>
      <c r="AC471">
        <v>998</v>
      </c>
      <c r="AF471" s="2">
        <f t="shared" si="28"/>
        <v>0</v>
      </c>
      <c r="AG471">
        <f t="shared" si="29"/>
        <v>0.998</v>
      </c>
      <c r="AH471">
        <f t="shared" si="30"/>
        <v>0.89100000000000001</v>
      </c>
      <c r="AI471">
        <f t="shared" si="31"/>
        <v>0.10699999999999998</v>
      </c>
    </row>
    <row r="472" spans="28:35" x14ac:dyDescent="0.35">
      <c r="AB472">
        <v>0</v>
      </c>
      <c r="AC472">
        <v>996</v>
      </c>
      <c r="AF472" s="2">
        <f t="shared" si="28"/>
        <v>0</v>
      </c>
      <c r="AG472">
        <f t="shared" si="29"/>
        <v>0.996</v>
      </c>
      <c r="AH472">
        <f t="shared" si="30"/>
        <v>0.89100000000000001</v>
      </c>
      <c r="AI472">
        <f t="shared" si="31"/>
        <v>0.10499999999999998</v>
      </c>
    </row>
    <row r="473" spans="28:35" x14ac:dyDescent="0.35">
      <c r="AB473">
        <v>2</v>
      </c>
      <c r="AC473">
        <v>796</v>
      </c>
      <c r="AF473" s="2">
        <f t="shared" si="28"/>
        <v>2E-3</v>
      </c>
      <c r="AG473">
        <f t="shared" si="29"/>
        <v>0.79600000000000004</v>
      </c>
      <c r="AH473">
        <f t="shared" si="30"/>
        <v>0.82206907754716119</v>
      </c>
      <c r="AI473">
        <f t="shared" si="31"/>
        <v>-2.6069077547161146E-2</v>
      </c>
    </row>
    <row r="474" spans="28:35" x14ac:dyDescent="0.35">
      <c r="AB474">
        <v>1</v>
      </c>
      <c r="AC474">
        <v>800</v>
      </c>
      <c r="AF474" s="2">
        <f t="shared" si="28"/>
        <v>1E-3</v>
      </c>
      <c r="AG474">
        <f t="shared" si="29"/>
        <v>0.8</v>
      </c>
      <c r="AH474">
        <f t="shared" si="30"/>
        <v>0.85584084273568095</v>
      </c>
      <c r="AI474">
        <f t="shared" si="31"/>
        <v>-5.5840842735680907E-2</v>
      </c>
    </row>
    <row r="475" spans="28:35" x14ac:dyDescent="0.35">
      <c r="AB475">
        <v>1</v>
      </c>
      <c r="AC475">
        <v>800</v>
      </c>
      <c r="AF475" s="2">
        <f t="shared" si="28"/>
        <v>1E-3</v>
      </c>
      <c r="AG475">
        <f t="shared" si="29"/>
        <v>0.8</v>
      </c>
      <c r="AH475">
        <f t="shared" si="30"/>
        <v>0.85584084273568095</v>
      </c>
      <c r="AI475">
        <f t="shared" si="31"/>
        <v>-5.5840842735680907E-2</v>
      </c>
    </row>
    <row r="476" spans="28:35" x14ac:dyDescent="0.35">
      <c r="AB476">
        <v>1</v>
      </c>
      <c r="AC476">
        <v>802</v>
      </c>
      <c r="AF476" s="2">
        <f t="shared" si="28"/>
        <v>1E-3</v>
      </c>
      <c r="AG476">
        <f t="shared" si="29"/>
        <v>0.80200000000000005</v>
      </c>
      <c r="AH476">
        <f t="shared" si="30"/>
        <v>0.85584084273568095</v>
      </c>
      <c r="AI476">
        <f t="shared" si="31"/>
        <v>-5.3840842735680905E-2</v>
      </c>
    </row>
    <row r="477" spans="28:35" x14ac:dyDescent="0.35">
      <c r="AB477">
        <v>1</v>
      </c>
      <c r="AC477">
        <v>803</v>
      </c>
      <c r="AF477" s="2">
        <f t="shared" si="28"/>
        <v>1E-3</v>
      </c>
      <c r="AG477">
        <f t="shared" si="29"/>
        <v>0.80300000000000005</v>
      </c>
      <c r="AH477">
        <f t="shared" si="30"/>
        <v>0.85584084273568095</v>
      </c>
      <c r="AI477">
        <f t="shared" si="31"/>
        <v>-5.2840842735680904E-2</v>
      </c>
    </row>
    <row r="478" spans="28:35" x14ac:dyDescent="0.35">
      <c r="AB478">
        <v>1</v>
      </c>
      <c r="AC478">
        <v>806</v>
      </c>
      <c r="AF478" s="2">
        <f t="shared" si="28"/>
        <v>1E-3</v>
      </c>
      <c r="AG478">
        <f t="shared" si="29"/>
        <v>0.80600000000000005</v>
      </c>
      <c r="AH478">
        <f t="shared" si="30"/>
        <v>0.85584084273568095</v>
      </c>
      <c r="AI478">
        <f t="shared" si="31"/>
        <v>-4.9840842735680901E-2</v>
      </c>
    </row>
    <row r="479" spans="28:35" x14ac:dyDescent="0.35">
      <c r="AB479">
        <v>1</v>
      </c>
      <c r="AC479">
        <v>803</v>
      </c>
      <c r="AF479" s="2">
        <f t="shared" si="28"/>
        <v>1E-3</v>
      </c>
      <c r="AG479">
        <f t="shared" si="29"/>
        <v>0.80300000000000005</v>
      </c>
      <c r="AH479">
        <f t="shared" si="30"/>
        <v>0.85584084273568095</v>
      </c>
      <c r="AI479">
        <f t="shared" si="31"/>
        <v>-5.2840842735680904E-2</v>
      </c>
    </row>
    <row r="480" spans="28:35" x14ac:dyDescent="0.35">
      <c r="AB480">
        <v>4</v>
      </c>
      <c r="AC480">
        <v>803</v>
      </c>
      <c r="AF480" s="2">
        <f t="shared" si="28"/>
        <v>4.0000000000000001E-3</v>
      </c>
      <c r="AG480">
        <f t="shared" si="29"/>
        <v>0.80300000000000005</v>
      </c>
      <c r="AH480">
        <f t="shared" si="30"/>
        <v>0.75847089591385031</v>
      </c>
      <c r="AI480">
        <f t="shared" si="31"/>
        <v>4.452910408614974E-2</v>
      </c>
    </row>
    <row r="481" spans="28:35" x14ac:dyDescent="0.35">
      <c r="AB481">
        <v>3</v>
      </c>
      <c r="AC481">
        <v>778</v>
      </c>
      <c r="AF481" s="2">
        <f t="shared" si="28"/>
        <v>3.0000000000000001E-3</v>
      </c>
      <c r="AG481">
        <f t="shared" si="29"/>
        <v>0.77800000000000002</v>
      </c>
      <c r="AH481">
        <f t="shared" si="30"/>
        <v>0.78962995748025411</v>
      </c>
      <c r="AI481">
        <f t="shared" si="31"/>
        <v>-1.1629957480254083E-2</v>
      </c>
    </row>
    <row r="482" spans="28:35" x14ac:dyDescent="0.35">
      <c r="AB482">
        <v>2</v>
      </c>
      <c r="AC482">
        <v>784</v>
      </c>
      <c r="AF482" s="2">
        <f t="shared" si="28"/>
        <v>2E-3</v>
      </c>
      <c r="AG482">
        <f t="shared" si="29"/>
        <v>0.78400000000000003</v>
      </c>
      <c r="AH482">
        <f t="shared" si="30"/>
        <v>0.82206907754716119</v>
      </c>
      <c r="AI482">
        <f t="shared" si="31"/>
        <v>-3.8069077547161156E-2</v>
      </c>
    </row>
    <row r="483" spans="28:35" x14ac:dyDescent="0.35">
      <c r="AB483">
        <v>4</v>
      </c>
      <c r="AC483">
        <v>797</v>
      </c>
      <c r="AF483" s="2">
        <f t="shared" si="28"/>
        <v>4.0000000000000001E-3</v>
      </c>
      <c r="AG483">
        <f t="shared" si="29"/>
        <v>0.79700000000000004</v>
      </c>
      <c r="AH483">
        <f t="shared" si="30"/>
        <v>0.75847089591385031</v>
      </c>
      <c r="AI483">
        <f t="shared" si="31"/>
        <v>3.8529104086149735E-2</v>
      </c>
    </row>
    <row r="484" spans="28:35" x14ac:dyDescent="0.35">
      <c r="AB484">
        <v>5</v>
      </c>
      <c r="AC484">
        <v>548</v>
      </c>
      <c r="AF484" s="2">
        <f t="shared" si="28"/>
        <v>5.0000000000000001E-3</v>
      </c>
      <c r="AG484">
        <f t="shared" si="29"/>
        <v>0.54800000000000004</v>
      </c>
      <c r="AH484">
        <f t="shared" si="30"/>
        <v>0.72854138131245416</v>
      </c>
      <c r="AI484">
        <f t="shared" si="31"/>
        <v>-0.18054138131245412</v>
      </c>
    </row>
    <row r="485" spans="28:35" x14ac:dyDescent="0.35">
      <c r="AB485">
        <v>2</v>
      </c>
      <c r="AC485">
        <v>793</v>
      </c>
      <c r="AF485" s="2">
        <f t="shared" si="28"/>
        <v>2E-3</v>
      </c>
      <c r="AG485">
        <f t="shared" si="29"/>
        <v>0.79300000000000004</v>
      </c>
      <c r="AH485">
        <f t="shared" si="30"/>
        <v>0.82206907754716119</v>
      </c>
      <c r="AI485">
        <f t="shared" si="31"/>
        <v>-2.9069077547161148E-2</v>
      </c>
    </row>
    <row r="486" spans="28:35" x14ac:dyDescent="0.35">
      <c r="AB486">
        <v>4</v>
      </c>
      <c r="AC486">
        <v>804</v>
      </c>
      <c r="AF486" s="2">
        <f t="shared" si="28"/>
        <v>4.0000000000000001E-3</v>
      </c>
      <c r="AG486">
        <f t="shared" si="29"/>
        <v>0.80400000000000005</v>
      </c>
      <c r="AH486">
        <f t="shared" si="30"/>
        <v>0.75847089591385031</v>
      </c>
      <c r="AI486">
        <f t="shared" si="31"/>
        <v>4.5529104086149741E-2</v>
      </c>
    </row>
    <row r="487" spans="28:35" x14ac:dyDescent="0.35">
      <c r="AB487">
        <v>2</v>
      </c>
      <c r="AC487">
        <v>796</v>
      </c>
      <c r="AF487" s="2">
        <f t="shared" si="28"/>
        <v>2E-3</v>
      </c>
      <c r="AG487">
        <f t="shared" si="29"/>
        <v>0.79600000000000004</v>
      </c>
      <c r="AH487">
        <f t="shared" si="30"/>
        <v>0.82206907754716119</v>
      </c>
      <c r="AI487">
        <f t="shared" si="31"/>
        <v>-2.6069077547161146E-2</v>
      </c>
    </row>
    <row r="488" spans="28:35" x14ac:dyDescent="0.35">
      <c r="AB488">
        <v>1</v>
      </c>
      <c r="AC488">
        <v>794</v>
      </c>
      <c r="AF488" s="2">
        <f t="shared" si="28"/>
        <v>1E-3</v>
      </c>
      <c r="AG488">
        <f t="shared" si="29"/>
        <v>0.79400000000000004</v>
      </c>
      <c r="AH488">
        <f t="shared" si="30"/>
        <v>0.85584084273568095</v>
      </c>
      <c r="AI488">
        <f t="shared" si="31"/>
        <v>-6.1840842735680912E-2</v>
      </c>
    </row>
    <row r="489" spans="28:35" x14ac:dyDescent="0.35">
      <c r="AB489">
        <v>0</v>
      </c>
      <c r="AC489">
        <v>995</v>
      </c>
      <c r="AF489" s="2">
        <f t="shared" si="28"/>
        <v>0</v>
      </c>
      <c r="AG489">
        <f t="shared" si="29"/>
        <v>0.995</v>
      </c>
      <c r="AH489">
        <f t="shared" si="30"/>
        <v>0.89100000000000001</v>
      </c>
      <c r="AI489">
        <f t="shared" si="31"/>
        <v>0.10399999999999998</v>
      </c>
    </row>
    <row r="490" spans="28:35" x14ac:dyDescent="0.35">
      <c r="AB490">
        <v>0</v>
      </c>
      <c r="AC490">
        <v>998</v>
      </c>
      <c r="AF490" s="2">
        <f t="shared" si="28"/>
        <v>0</v>
      </c>
      <c r="AG490">
        <f t="shared" si="29"/>
        <v>0.998</v>
      </c>
      <c r="AH490">
        <f t="shared" si="30"/>
        <v>0.89100000000000001</v>
      </c>
      <c r="AI490">
        <f t="shared" si="31"/>
        <v>0.10699999999999998</v>
      </c>
    </row>
    <row r="491" spans="28:35" x14ac:dyDescent="0.35">
      <c r="AB491" cm="1">
        <f t="array" ref="AB491:AB579">H3:H91</f>
        <v>0</v>
      </c>
      <c r="AC491" cm="1">
        <f t="array" ref="AC491:AC579">U4:U92</f>
        <v>995</v>
      </c>
      <c r="AF491" s="2">
        <f t="shared" si="28"/>
        <v>0</v>
      </c>
      <c r="AG491">
        <f t="shared" si="29"/>
        <v>0.995</v>
      </c>
      <c r="AH491">
        <f t="shared" si="30"/>
        <v>0.89100000000000001</v>
      </c>
      <c r="AI491">
        <f t="shared" si="31"/>
        <v>0.10399999999999998</v>
      </c>
    </row>
    <row r="492" spans="28:35" x14ac:dyDescent="0.35">
      <c r="AB492">
        <v>0</v>
      </c>
      <c r="AC492">
        <v>997</v>
      </c>
      <c r="AF492" s="2">
        <f t="shared" si="28"/>
        <v>0</v>
      </c>
      <c r="AG492">
        <f t="shared" si="29"/>
        <v>0.997</v>
      </c>
      <c r="AH492">
        <f t="shared" si="30"/>
        <v>0.89100000000000001</v>
      </c>
      <c r="AI492">
        <f t="shared" si="31"/>
        <v>0.10599999999999998</v>
      </c>
    </row>
    <row r="493" spans="28:35" x14ac:dyDescent="0.35">
      <c r="AB493">
        <v>0</v>
      </c>
      <c r="AC493">
        <v>997</v>
      </c>
      <c r="AF493" s="2">
        <f t="shared" si="28"/>
        <v>0</v>
      </c>
      <c r="AG493">
        <f t="shared" si="29"/>
        <v>0.997</v>
      </c>
      <c r="AH493">
        <f t="shared" si="30"/>
        <v>0.89100000000000001</v>
      </c>
      <c r="AI493">
        <f t="shared" si="31"/>
        <v>0.10599999999999998</v>
      </c>
    </row>
    <row r="494" spans="28:35" x14ac:dyDescent="0.35">
      <c r="AB494">
        <v>2</v>
      </c>
      <c r="AC494">
        <v>775</v>
      </c>
      <c r="AF494" s="2">
        <f t="shared" si="28"/>
        <v>2E-3</v>
      </c>
      <c r="AG494">
        <f t="shared" si="29"/>
        <v>0.77500000000000002</v>
      </c>
      <c r="AH494">
        <f t="shared" si="30"/>
        <v>0.82206907754716119</v>
      </c>
      <c r="AI494">
        <f t="shared" si="31"/>
        <v>-4.7069077547161164E-2</v>
      </c>
    </row>
    <row r="495" spans="28:35" x14ac:dyDescent="0.35">
      <c r="AB495">
        <v>1</v>
      </c>
      <c r="AC495">
        <v>803</v>
      </c>
      <c r="AF495" s="2">
        <f t="shared" si="28"/>
        <v>1E-3</v>
      </c>
      <c r="AG495">
        <f t="shared" si="29"/>
        <v>0.80300000000000005</v>
      </c>
      <c r="AH495">
        <f t="shared" si="30"/>
        <v>0.85584084273568095</v>
      </c>
      <c r="AI495">
        <f t="shared" si="31"/>
        <v>-5.2840842735680904E-2</v>
      </c>
    </row>
    <row r="496" spans="28:35" x14ac:dyDescent="0.35">
      <c r="AB496">
        <v>2</v>
      </c>
      <c r="AC496">
        <v>772</v>
      </c>
      <c r="AF496" s="2">
        <f t="shared" si="28"/>
        <v>2E-3</v>
      </c>
      <c r="AG496">
        <f t="shared" si="29"/>
        <v>0.77200000000000002</v>
      </c>
      <c r="AH496">
        <f t="shared" si="30"/>
        <v>0.82206907754716119</v>
      </c>
      <c r="AI496">
        <f t="shared" si="31"/>
        <v>-5.0069077547161167E-2</v>
      </c>
    </row>
    <row r="497" spans="28:35" x14ac:dyDescent="0.35">
      <c r="AB497">
        <v>5</v>
      </c>
      <c r="AC497">
        <v>550</v>
      </c>
      <c r="AF497" s="2">
        <f t="shared" si="28"/>
        <v>5.0000000000000001E-3</v>
      </c>
      <c r="AG497">
        <f t="shared" si="29"/>
        <v>0.55000000000000004</v>
      </c>
      <c r="AH497">
        <f t="shared" si="30"/>
        <v>0.72854138131245416</v>
      </c>
      <c r="AI497">
        <f t="shared" si="31"/>
        <v>-0.17854138131245412</v>
      </c>
    </row>
    <row r="498" spans="28:35" x14ac:dyDescent="0.35">
      <c r="AB498">
        <v>4</v>
      </c>
      <c r="AC498">
        <v>767</v>
      </c>
      <c r="AF498" s="2">
        <f t="shared" si="28"/>
        <v>4.0000000000000001E-3</v>
      </c>
      <c r="AG498">
        <f t="shared" si="29"/>
        <v>0.76700000000000002</v>
      </c>
      <c r="AH498">
        <f t="shared" si="30"/>
        <v>0.75847089591385031</v>
      </c>
      <c r="AI498">
        <f t="shared" si="31"/>
        <v>8.5291040861497081E-3</v>
      </c>
    </row>
    <row r="499" spans="28:35" x14ac:dyDescent="0.35">
      <c r="AB499">
        <v>2</v>
      </c>
      <c r="AC499">
        <v>766</v>
      </c>
      <c r="AF499" s="2">
        <f t="shared" si="28"/>
        <v>2E-3</v>
      </c>
      <c r="AG499">
        <f t="shared" si="29"/>
        <v>0.76600000000000001</v>
      </c>
      <c r="AH499">
        <f t="shared" si="30"/>
        <v>0.82206907754716119</v>
      </c>
      <c r="AI499">
        <f t="shared" si="31"/>
        <v>-5.6069077547161172E-2</v>
      </c>
    </row>
    <row r="500" spans="28:35" x14ac:dyDescent="0.35">
      <c r="AB500">
        <v>5</v>
      </c>
      <c r="AC500">
        <v>551</v>
      </c>
      <c r="AF500" s="2">
        <f t="shared" si="28"/>
        <v>5.0000000000000001E-3</v>
      </c>
      <c r="AG500">
        <f t="shared" si="29"/>
        <v>0.55100000000000005</v>
      </c>
      <c r="AH500">
        <f t="shared" si="30"/>
        <v>0.72854138131245416</v>
      </c>
      <c r="AI500">
        <f t="shared" si="31"/>
        <v>-0.17754138131245412</v>
      </c>
    </row>
    <row r="501" spans="28:35" x14ac:dyDescent="0.35">
      <c r="AB501">
        <v>2</v>
      </c>
      <c r="AC501">
        <v>759</v>
      </c>
      <c r="AF501" s="2">
        <f t="shared" si="28"/>
        <v>2E-3</v>
      </c>
      <c r="AG501">
        <f t="shared" si="29"/>
        <v>0.75900000000000001</v>
      </c>
      <c r="AH501">
        <f t="shared" si="30"/>
        <v>0.82206907754716119</v>
      </c>
      <c r="AI501">
        <f t="shared" si="31"/>
        <v>-6.3069077547161179E-2</v>
      </c>
    </row>
    <row r="502" spans="28:35" x14ac:dyDescent="0.35">
      <c r="AB502">
        <v>7</v>
      </c>
      <c r="AC502">
        <v>763</v>
      </c>
      <c r="AF502" s="2">
        <f t="shared" si="28"/>
        <v>7.0000000000000001E-3</v>
      </c>
      <c r="AG502">
        <f t="shared" si="29"/>
        <v>0.76300000000000001</v>
      </c>
      <c r="AH502">
        <f t="shared" si="30"/>
        <v>0.67217883422049818</v>
      </c>
      <c r="AI502">
        <f t="shared" si="31"/>
        <v>9.0821165779501833E-2</v>
      </c>
    </row>
    <row r="503" spans="28:35" x14ac:dyDescent="0.35">
      <c r="AB503">
        <v>6</v>
      </c>
      <c r="AC503">
        <v>712</v>
      </c>
      <c r="AF503" s="2">
        <f t="shared" si="28"/>
        <v>6.0000000000000001E-3</v>
      </c>
      <c r="AG503">
        <f t="shared" si="29"/>
        <v>0.71199999999999997</v>
      </c>
      <c r="AH503">
        <f t="shared" si="30"/>
        <v>0.69979289534261269</v>
      </c>
      <c r="AI503">
        <f t="shared" si="31"/>
        <v>1.220710465738728E-2</v>
      </c>
    </row>
    <row r="504" spans="28:35" x14ac:dyDescent="0.35">
      <c r="AB504">
        <v>7</v>
      </c>
      <c r="AC504">
        <v>757</v>
      </c>
      <c r="AF504" s="2">
        <f t="shared" si="28"/>
        <v>7.0000000000000001E-3</v>
      </c>
      <c r="AG504">
        <f t="shared" si="29"/>
        <v>0.75700000000000001</v>
      </c>
      <c r="AH504">
        <f t="shared" si="30"/>
        <v>0.67217883422049818</v>
      </c>
      <c r="AI504">
        <f t="shared" si="31"/>
        <v>8.4821165779501828E-2</v>
      </c>
    </row>
    <row r="505" spans="28:35" x14ac:dyDescent="0.35">
      <c r="AB505">
        <v>4</v>
      </c>
      <c r="AC505">
        <v>755</v>
      </c>
      <c r="AF505" s="2">
        <f t="shared" si="28"/>
        <v>4.0000000000000001E-3</v>
      </c>
      <c r="AG505">
        <f t="shared" si="29"/>
        <v>0.755</v>
      </c>
      <c r="AH505">
        <f t="shared" si="30"/>
        <v>0.75847089591385031</v>
      </c>
      <c r="AI505">
        <f t="shared" si="31"/>
        <v>-3.4708959138503026E-3</v>
      </c>
    </row>
    <row r="506" spans="28:35" x14ac:dyDescent="0.35">
      <c r="AB506">
        <v>7</v>
      </c>
      <c r="AC506">
        <v>751</v>
      </c>
      <c r="AF506" s="2">
        <f t="shared" si="28"/>
        <v>7.0000000000000001E-3</v>
      </c>
      <c r="AG506">
        <f t="shared" si="29"/>
        <v>0.751</v>
      </c>
      <c r="AH506">
        <f t="shared" si="30"/>
        <v>0.67217883422049818</v>
      </c>
      <c r="AI506">
        <f t="shared" si="31"/>
        <v>7.8821165779501823E-2</v>
      </c>
    </row>
    <row r="507" spans="28:35" x14ac:dyDescent="0.35">
      <c r="AB507">
        <v>3</v>
      </c>
      <c r="AC507">
        <v>735</v>
      </c>
      <c r="AF507" s="2">
        <f t="shared" si="28"/>
        <v>3.0000000000000001E-3</v>
      </c>
      <c r="AG507">
        <f t="shared" si="29"/>
        <v>0.73499999999999999</v>
      </c>
      <c r="AH507">
        <f t="shared" si="30"/>
        <v>0.78962995748025411</v>
      </c>
      <c r="AI507">
        <f t="shared" si="31"/>
        <v>-5.4629957480254121E-2</v>
      </c>
    </row>
    <row r="508" spans="28:35" x14ac:dyDescent="0.35">
      <c r="AB508">
        <v>6</v>
      </c>
      <c r="AC508">
        <v>723</v>
      </c>
      <c r="AF508" s="2">
        <f t="shared" si="28"/>
        <v>6.0000000000000001E-3</v>
      </c>
      <c r="AG508">
        <f t="shared" si="29"/>
        <v>0.72299999999999998</v>
      </c>
      <c r="AH508">
        <f t="shared" si="30"/>
        <v>0.69979289534261269</v>
      </c>
      <c r="AI508">
        <f t="shared" si="31"/>
        <v>2.320710465738729E-2</v>
      </c>
    </row>
    <row r="509" spans="28:35" x14ac:dyDescent="0.35">
      <c r="AB509">
        <v>5</v>
      </c>
      <c r="AC509">
        <v>554</v>
      </c>
      <c r="AF509" s="2">
        <f t="shared" si="28"/>
        <v>5.0000000000000001E-3</v>
      </c>
      <c r="AG509">
        <f t="shared" si="29"/>
        <v>0.55400000000000005</v>
      </c>
      <c r="AH509">
        <f t="shared" si="30"/>
        <v>0.72854138131245416</v>
      </c>
      <c r="AI509">
        <f t="shared" si="31"/>
        <v>-0.17454138131245411</v>
      </c>
    </row>
    <row r="510" spans="28:35" x14ac:dyDescent="0.35">
      <c r="AB510">
        <v>3</v>
      </c>
      <c r="AC510">
        <v>741</v>
      </c>
      <c r="AF510" s="2">
        <f t="shared" si="28"/>
        <v>3.0000000000000001E-3</v>
      </c>
      <c r="AG510">
        <f t="shared" si="29"/>
        <v>0.74099999999999999</v>
      </c>
      <c r="AH510">
        <f t="shared" si="30"/>
        <v>0.78962995748025411</v>
      </c>
      <c r="AI510">
        <f t="shared" si="31"/>
        <v>-4.8629957480254116E-2</v>
      </c>
    </row>
    <row r="511" spans="28:35" x14ac:dyDescent="0.35">
      <c r="AB511">
        <v>4</v>
      </c>
      <c r="AC511">
        <v>773</v>
      </c>
      <c r="AF511" s="2">
        <f t="shared" si="28"/>
        <v>4.0000000000000001E-3</v>
      </c>
      <c r="AG511">
        <f t="shared" si="29"/>
        <v>0.77300000000000002</v>
      </c>
      <c r="AH511">
        <f t="shared" si="30"/>
        <v>0.75847089591385031</v>
      </c>
      <c r="AI511">
        <f t="shared" si="31"/>
        <v>1.4529104086149713E-2</v>
      </c>
    </row>
    <row r="512" spans="28:35" x14ac:dyDescent="0.35">
      <c r="AB512">
        <v>6</v>
      </c>
      <c r="AC512">
        <v>720</v>
      </c>
      <c r="AF512" s="2">
        <f t="shared" si="28"/>
        <v>6.0000000000000001E-3</v>
      </c>
      <c r="AG512">
        <f t="shared" si="29"/>
        <v>0.72</v>
      </c>
      <c r="AH512">
        <f t="shared" si="30"/>
        <v>0.69979289534261269</v>
      </c>
      <c r="AI512">
        <f t="shared" si="31"/>
        <v>2.0207104657387287E-2</v>
      </c>
    </row>
    <row r="513" spans="28:35" x14ac:dyDescent="0.35">
      <c r="AB513">
        <v>5</v>
      </c>
      <c r="AC513">
        <v>540</v>
      </c>
      <c r="AF513" s="2">
        <f t="shared" si="28"/>
        <v>5.0000000000000001E-3</v>
      </c>
      <c r="AG513">
        <f t="shared" si="29"/>
        <v>0.54</v>
      </c>
      <c r="AH513">
        <f t="shared" si="30"/>
        <v>0.72854138131245416</v>
      </c>
      <c r="AI513">
        <f t="shared" si="31"/>
        <v>-0.18854138131245413</v>
      </c>
    </row>
    <row r="514" spans="28:35" x14ac:dyDescent="0.35">
      <c r="AB514">
        <v>8</v>
      </c>
      <c r="AC514">
        <v>681</v>
      </c>
      <c r="AF514" s="2">
        <f t="shared" si="28"/>
        <v>8.0000000000000002E-3</v>
      </c>
      <c r="AG514">
        <f t="shared" si="29"/>
        <v>0.68100000000000005</v>
      </c>
      <c r="AH514">
        <f t="shared" si="30"/>
        <v>0.64565443316314119</v>
      </c>
      <c r="AI514">
        <f t="shared" si="31"/>
        <v>3.5345566836858855E-2</v>
      </c>
    </row>
    <row r="515" spans="28:35" x14ac:dyDescent="0.35">
      <c r="AB515">
        <v>10</v>
      </c>
      <c r="AC515">
        <v>836</v>
      </c>
      <c r="AF515" s="2">
        <f t="shared" si="28"/>
        <v>0.01</v>
      </c>
      <c r="AG515">
        <f t="shared" si="29"/>
        <v>0.83599999999999997</v>
      </c>
      <c r="AH515">
        <f t="shared" si="30"/>
        <v>0.59570431457312989</v>
      </c>
      <c r="AI515">
        <f t="shared" si="31"/>
        <v>0.24029568542687008</v>
      </c>
    </row>
    <row r="516" spans="28:35" x14ac:dyDescent="0.35">
      <c r="AB516">
        <v>10</v>
      </c>
      <c r="AC516">
        <v>831</v>
      </c>
      <c r="AF516" s="2">
        <f t="shared" ref="AF516:AF579" si="32">AB516/1000</f>
        <v>0.01</v>
      </c>
      <c r="AG516">
        <f t="shared" ref="AG516:AG579" si="33">AC516/1000</f>
        <v>0.83099999999999996</v>
      </c>
      <c r="AH516">
        <f t="shared" ref="AH516:AH579" si="34">0.891*EXP(-40.26*AF516)</f>
        <v>0.59570431457312989</v>
      </c>
      <c r="AI516">
        <f t="shared" ref="AI516:AI579" si="35">AG516-AH516</f>
        <v>0.23529568542687007</v>
      </c>
    </row>
    <row r="517" spans="28:35" x14ac:dyDescent="0.35">
      <c r="AB517">
        <v>7</v>
      </c>
      <c r="AC517">
        <v>745</v>
      </c>
      <c r="AF517" s="2">
        <f t="shared" si="32"/>
        <v>7.0000000000000001E-3</v>
      </c>
      <c r="AG517">
        <f t="shared" si="33"/>
        <v>0.745</v>
      </c>
      <c r="AH517">
        <f t="shared" si="34"/>
        <v>0.67217883422049818</v>
      </c>
      <c r="AI517">
        <f t="shared" si="35"/>
        <v>7.2821165779501817E-2</v>
      </c>
    </row>
    <row r="518" spans="28:35" x14ac:dyDescent="0.35">
      <c r="AB518">
        <v>7</v>
      </c>
      <c r="AC518">
        <v>742</v>
      </c>
      <c r="AF518" s="2">
        <f t="shared" si="32"/>
        <v>7.0000000000000001E-3</v>
      </c>
      <c r="AG518">
        <f t="shared" si="33"/>
        <v>0.74199999999999999</v>
      </c>
      <c r="AH518">
        <f t="shared" si="34"/>
        <v>0.67217883422049818</v>
      </c>
      <c r="AI518">
        <f t="shared" si="35"/>
        <v>6.9821165779501815E-2</v>
      </c>
    </row>
    <row r="519" spans="28:35" x14ac:dyDescent="0.35">
      <c r="AB519">
        <v>12</v>
      </c>
      <c r="AC519">
        <v>540</v>
      </c>
      <c r="AF519" s="2">
        <f t="shared" si="32"/>
        <v>1.2E-2</v>
      </c>
      <c r="AG519">
        <f t="shared" si="33"/>
        <v>0.54</v>
      </c>
      <c r="AH519">
        <f t="shared" si="34"/>
        <v>0.54961851444668564</v>
      </c>
      <c r="AI519">
        <f t="shared" si="35"/>
        <v>-9.6185144466855999E-3</v>
      </c>
    </row>
    <row r="520" spans="28:35" x14ac:dyDescent="0.35">
      <c r="AB520">
        <v>18</v>
      </c>
      <c r="AC520">
        <v>546</v>
      </c>
      <c r="AF520" s="2">
        <f t="shared" si="32"/>
        <v>1.7999999999999999E-2</v>
      </c>
      <c r="AG520">
        <f t="shared" si="33"/>
        <v>0.54600000000000004</v>
      </c>
      <c r="AH520">
        <f t="shared" si="34"/>
        <v>0.43167130365718487</v>
      </c>
      <c r="AI520">
        <f t="shared" si="35"/>
        <v>0.11432869634281517</v>
      </c>
    </row>
    <row r="521" spans="28:35" x14ac:dyDescent="0.35">
      <c r="AB521">
        <v>16</v>
      </c>
      <c r="AC521">
        <v>452</v>
      </c>
      <c r="AF521" s="2">
        <f t="shared" si="32"/>
        <v>1.6E-2</v>
      </c>
      <c r="AG521">
        <f t="shared" si="33"/>
        <v>0.45200000000000001</v>
      </c>
      <c r="AH521">
        <f t="shared" si="34"/>
        <v>0.46786716842111914</v>
      </c>
      <c r="AI521">
        <f t="shared" si="35"/>
        <v>-1.5867168421119127E-2</v>
      </c>
    </row>
    <row r="522" spans="28:35" x14ac:dyDescent="0.35">
      <c r="AB522">
        <v>19</v>
      </c>
      <c r="AC522">
        <v>472</v>
      </c>
      <c r="AF522" s="2">
        <f t="shared" si="32"/>
        <v>1.9E-2</v>
      </c>
      <c r="AG522">
        <f t="shared" si="33"/>
        <v>0.47199999999999998</v>
      </c>
      <c r="AH522">
        <f t="shared" si="34"/>
        <v>0.41463740999638066</v>
      </c>
      <c r="AI522">
        <f t="shared" si="35"/>
        <v>5.7362590003619318E-2</v>
      </c>
    </row>
    <row r="523" spans="28:35" x14ac:dyDescent="0.35">
      <c r="AB523">
        <v>13</v>
      </c>
      <c r="AC523">
        <v>430</v>
      </c>
      <c r="AF523" s="2">
        <f t="shared" si="32"/>
        <v>1.2999999999999999E-2</v>
      </c>
      <c r="AG523">
        <f t="shared" si="33"/>
        <v>0.43</v>
      </c>
      <c r="AH523">
        <f t="shared" si="34"/>
        <v>0.52793038449740115</v>
      </c>
      <c r="AI523">
        <f t="shared" si="35"/>
        <v>-9.7930384497401157E-2</v>
      </c>
    </row>
    <row r="524" spans="28:35" x14ac:dyDescent="0.35">
      <c r="AB524">
        <v>10</v>
      </c>
      <c r="AC524">
        <v>817</v>
      </c>
      <c r="AF524" s="2">
        <f t="shared" si="32"/>
        <v>0.01</v>
      </c>
      <c r="AG524">
        <f t="shared" si="33"/>
        <v>0.81699999999999995</v>
      </c>
      <c r="AH524">
        <f t="shared" si="34"/>
        <v>0.59570431457312989</v>
      </c>
      <c r="AI524">
        <f t="shared" si="35"/>
        <v>0.22129568542687006</v>
      </c>
    </row>
    <row r="525" spans="28:35" x14ac:dyDescent="0.35">
      <c r="AB525">
        <v>6</v>
      </c>
      <c r="AC525">
        <v>699</v>
      </c>
      <c r="AF525" s="2">
        <f t="shared" si="32"/>
        <v>6.0000000000000001E-3</v>
      </c>
      <c r="AG525">
        <f t="shared" si="33"/>
        <v>0.69899999999999995</v>
      </c>
      <c r="AH525">
        <f t="shared" si="34"/>
        <v>0.69979289534261269</v>
      </c>
      <c r="AI525">
        <f t="shared" si="35"/>
        <v>-7.9289534261273165E-4</v>
      </c>
    </row>
    <row r="526" spans="28:35" x14ac:dyDescent="0.35">
      <c r="AB526">
        <v>7</v>
      </c>
      <c r="AC526">
        <v>751</v>
      </c>
      <c r="AF526" s="2">
        <f t="shared" si="32"/>
        <v>7.0000000000000001E-3</v>
      </c>
      <c r="AG526">
        <f t="shared" si="33"/>
        <v>0.751</v>
      </c>
      <c r="AH526">
        <f t="shared" si="34"/>
        <v>0.67217883422049818</v>
      </c>
      <c r="AI526">
        <f t="shared" si="35"/>
        <v>7.8821165779501823E-2</v>
      </c>
    </row>
    <row r="527" spans="28:35" x14ac:dyDescent="0.35">
      <c r="AB527">
        <v>5</v>
      </c>
      <c r="AC527">
        <v>547</v>
      </c>
      <c r="AF527" s="2">
        <f t="shared" si="32"/>
        <v>5.0000000000000001E-3</v>
      </c>
      <c r="AG527">
        <f t="shared" si="33"/>
        <v>0.54700000000000004</v>
      </c>
      <c r="AH527">
        <f t="shared" si="34"/>
        <v>0.72854138131245416</v>
      </c>
      <c r="AI527">
        <f t="shared" si="35"/>
        <v>-0.18154138131245412</v>
      </c>
    </row>
    <row r="528" spans="28:35" x14ac:dyDescent="0.35">
      <c r="AB528">
        <v>7</v>
      </c>
      <c r="AC528">
        <v>755</v>
      </c>
      <c r="AF528" s="2">
        <f t="shared" si="32"/>
        <v>7.0000000000000001E-3</v>
      </c>
      <c r="AG528">
        <f t="shared" si="33"/>
        <v>0.755</v>
      </c>
      <c r="AH528">
        <f t="shared" si="34"/>
        <v>0.67217883422049818</v>
      </c>
      <c r="AI528">
        <f t="shared" si="35"/>
        <v>8.2821165779501826E-2</v>
      </c>
    </row>
    <row r="529" spans="28:35" x14ac:dyDescent="0.35">
      <c r="AB529">
        <v>7</v>
      </c>
      <c r="AC529">
        <v>755</v>
      </c>
      <c r="AF529" s="2">
        <f t="shared" si="32"/>
        <v>7.0000000000000001E-3</v>
      </c>
      <c r="AG529">
        <f t="shared" si="33"/>
        <v>0.755</v>
      </c>
      <c r="AH529">
        <f t="shared" si="34"/>
        <v>0.67217883422049818</v>
      </c>
      <c r="AI529">
        <f t="shared" si="35"/>
        <v>8.2821165779501826E-2</v>
      </c>
    </row>
    <row r="530" spans="28:35" x14ac:dyDescent="0.35">
      <c r="AB530">
        <v>9</v>
      </c>
      <c r="AC530">
        <v>694</v>
      </c>
      <c r="AF530" s="2">
        <f t="shared" si="32"/>
        <v>8.9999999999999993E-3</v>
      </c>
      <c r="AG530">
        <f t="shared" si="33"/>
        <v>0.69399999999999995</v>
      </c>
      <c r="AH530">
        <f t="shared" si="34"/>
        <v>0.62017669382084306</v>
      </c>
      <c r="AI530">
        <f t="shared" si="35"/>
        <v>7.3823306179156889E-2</v>
      </c>
    </row>
    <row r="531" spans="28:35" x14ac:dyDescent="0.35">
      <c r="AB531">
        <v>3</v>
      </c>
      <c r="AC531">
        <v>728</v>
      </c>
      <c r="AF531" s="2">
        <f t="shared" si="32"/>
        <v>3.0000000000000001E-3</v>
      </c>
      <c r="AG531">
        <f t="shared" si="33"/>
        <v>0.72799999999999998</v>
      </c>
      <c r="AH531">
        <f t="shared" si="34"/>
        <v>0.78962995748025411</v>
      </c>
      <c r="AI531">
        <f t="shared" si="35"/>
        <v>-6.1629957480254127E-2</v>
      </c>
    </row>
    <row r="532" spans="28:35" x14ac:dyDescent="0.35">
      <c r="AB532">
        <v>8</v>
      </c>
      <c r="AC532">
        <v>692</v>
      </c>
      <c r="AF532" s="2">
        <f t="shared" si="32"/>
        <v>8.0000000000000002E-3</v>
      </c>
      <c r="AG532">
        <f t="shared" si="33"/>
        <v>0.69199999999999995</v>
      </c>
      <c r="AH532">
        <f t="shared" si="34"/>
        <v>0.64565443316314119</v>
      </c>
      <c r="AI532">
        <f t="shared" si="35"/>
        <v>4.6345566836858754E-2</v>
      </c>
    </row>
    <row r="533" spans="28:35" x14ac:dyDescent="0.35">
      <c r="AB533">
        <v>3</v>
      </c>
      <c r="AC533">
        <v>739</v>
      </c>
      <c r="AF533" s="2">
        <f t="shared" si="32"/>
        <v>3.0000000000000001E-3</v>
      </c>
      <c r="AG533">
        <f t="shared" si="33"/>
        <v>0.73899999999999999</v>
      </c>
      <c r="AH533">
        <f t="shared" si="34"/>
        <v>0.78962995748025411</v>
      </c>
      <c r="AI533">
        <f t="shared" si="35"/>
        <v>-5.0629957480254117E-2</v>
      </c>
    </row>
    <row r="534" spans="28:35" x14ac:dyDescent="0.35">
      <c r="AB534">
        <v>5</v>
      </c>
      <c r="AC534">
        <v>544</v>
      </c>
      <c r="AF534" s="2">
        <f t="shared" si="32"/>
        <v>5.0000000000000001E-3</v>
      </c>
      <c r="AG534">
        <f t="shared" si="33"/>
        <v>0.54400000000000004</v>
      </c>
      <c r="AH534">
        <f t="shared" si="34"/>
        <v>0.72854138131245416</v>
      </c>
      <c r="AI534">
        <f t="shared" si="35"/>
        <v>-0.18454138131245412</v>
      </c>
    </row>
    <row r="535" spans="28:35" x14ac:dyDescent="0.35">
      <c r="AB535">
        <v>5</v>
      </c>
      <c r="AC535">
        <v>536</v>
      </c>
      <c r="AF535" s="2">
        <f t="shared" si="32"/>
        <v>5.0000000000000001E-3</v>
      </c>
      <c r="AG535">
        <f t="shared" si="33"/>
        <v>0.53600000000000003</v>
      </c>
      <c r="AH535">
        <f t="shared" si="34"/>
        <v>0.72854138131245416</v>
      </c>
      <c r="AI535">
        <f t="shared" si="35"/>
        <v>-0.19254138131245413</v>
      </c>
    </row>
    <row r="536" spans="28:35" x14ac:dyDescent="0.35">
      <c r="AB536">
        <v>3</v>
      </c>
      <c r="AC536">
        <v>742</v>
      </c>
      <c r="AF536" s="2">
        <f t="shared" si="32"/>
        <v>3.0000000000000001E-3</v>
      </c>
      <c r="AG536">
        <f t="shared" si="33"/>
        <v>0.74199999999999999</v>
      </c>
      <c r="AH536">
        <f t="shared" si="34"/>
        <v>0.78962995748025411</v>
      </c>
      <c r="AI536">
        <f t="shared" si="35"/>
        <v>-4.7629957480254115E-2</v>
      </c>
    </row>
    <row r="537" spans="28:35" x14ac:dyDescent="0.35">
      <c r="AB537">
        <v>3</v>
      </c>
      <c r="AC537">
        <v>733</v>
      </c>
      <c r="AF537" s="2">
        <f t="shared" si="32"/>
        <v>3.0000000000000001E-3</v>
      </c>
      <c r="AG537">
        <f t="shared" si="33"/>
        <v>0.73299999999999998</v>
      </c>
      <c r="AH537">
        <f t="shared" si="34"/>
        <v>0.78962995748025411</v>
      </c>
      <c r="AI537">
        <f t="shared" si="35"/>
        <v>-5.6629957480254123E-2</v>
      </c>
    </row>
    <row r="538" spans="28:35" x14ac:dyDescent="0.35">
      <c r="AB538">
        <v>2</v>
      </c>
      <c r="AC538">
        <v>772</v>
      </c>
      <c r="AF538" s="2">
        <f t="shared" si="32"/>
        <v>2E-3</v>
      </c>
      <c r="AG538">
        <f t="shared" si="33"/>
        <v>0.77200000000000002</v>
      </c>
      <c r="AH538">
        <f t="shared" si="34"/>
        <v>0.82206907754716119</v>
      </c>
      <c r="AI538">
        <f t="shared" si="35"/>
        <v>-5.0069077547161167E-2</v>
      </c>
    </row>
    <row r="539" spans="28:35" x14ac:dyDescent="0.35">
      <c r="AB539">
        <v>1</v>
      </c>
      <c r="AC539">
        <v>807</v>
      </c>
      <c r="AF539" s="2">
        <f t="shared" si="32"/>
        <v>1E-3</v>
      </c>
      <c r="AG539">
        <f t="shared" si="33"/>
        <v>0.80700000000000005</v>
      </c>
      <c r="AH539">
        <f t="shared" si="34"/>
        <v>0.85584084273568095</v>
      </c>
      <c r="AI539">
        <f t="shared" si="35"/>
        <v>-4.8840842735680901E-2</v>
      </c>
    </row>
    <row r="540" spans="28:35" x14ac:dyDescent="0.35">
      <c r="AB540">
        <v>2</v>
      </c>
      <c r="AC540">
        <v>765</v>
      </c>
      <c r="AF540" s="2">
        <f t="shared" si="32"/>
        <v>2E-3</v>
      </c>
      <c r="AG540">
        <f t="shared" si="33"/>
        <v>0.76500000000000001</v>
      </c>
      <c r="AH540">
        <f t="shared" si="34"/>
        <v>0.82206907754716119</v>
      </c>
      <c r="AI540">
        <f t="shared" si="35"/>
        <v>-5.7069077547161173E-2</v>
      </c>
    </row>
    <row r="541" spans="28:35" x14ac:dyDescent="0.35">
      <c r="AB541">
        <v>3</v>
      </c>
      <c r="AC541">
        <v>744</v>
      </c>
      <c r="AF541" s="2">
        <f t="shared" si="32"/>
        <v>3.0000000000000001E-3</v>
      </c>
      <c r="AG541">
        <f t="shared" si="33"/>
        <v>0.74399999999999999</v>
      </c>
      <c r="AH541">
        <f t="shared" si="34"/>
        <v>0.78962995748025411</v>
      </c>
      <c r="AI541">
        <f t="shared" si="35"/>
        <v>-4.5629957480254113E-2</v>
      </c>
    </row>
    <row r="542" spans="28:35" x14ac:dyDescent="0.35">
      <c r="AB542">
        <v>1</v>
      </c>
      <c r="AC542">
        <v>803</v>
      </c>
      <c r="AF542" s="2">
        <f t="shared" si="32"/>
        <v>1E-3</v>
      </c>
      <c r="AG542">
        <f t="shared" si="33"/>
        <v>0.80300000000000005</v>
      </c>
      <c r="AH542">
        <f t="shared" si="34"/>
        <v>0.85584084273568095</v>
      </c>
      <c r="AI542">
        <f t="shared" si="35"/>
        <v>-5.2840842735680904E-2</v>
      </c>
    </row>
    <row r="543" spans="28:35" x14ac:dyDescent="0.35">
      <c r="AB543">
        <v>3</v>
      </c>
      <c r="AC543">
        <v>747</v>
      </c>
      <c r="AF543" s="2">
        <f t="shared" si="32"/>
        <v>3.0000000000000001E-3</v>
      </c>
      <c r="AG543">
        <f t="shared" si="33"/>
        <v>0.747</v>
      </c>
      <c r="AH543">
        <f t="shared" si="34"/>
        <v>0.78962995748025411</v>
      </c>
      <c r="AI543">
        <f t="shared" si="35"/>
        <v>-4.262995748025411E-2</v>
      </c>
    </row>
    <row r="544" spans="28:35" x14ac:dyDescent="0.35">
      <c r="AB544">
        <v>0</v>
      </c>
      <c r="AC544">
        <v>993</v>
      </c>
      <c r="AF544" s="2">
        <f t="shared" si="32"/>
        <v>0</v>
      </c>
      <c r="AG544">
        <f t="shared" si="33"/>
        <v>0.99299999999999999</v>
      </c>
      <c r="AH544">
        <f t="shared" si="34"/>
        <v>0.89100000000000001</v>
      </c>
      <c r="AI544">
        <f t="shared" si="35"/>
        <v>0.10199999999999998</v>
      </c>
    </row>
    <row r="545" spans="28:35" x14ac:dyDescent="0.35">
      <c r="AB545">
        <v>0</v>
      </c>
      <c r="AC545">
        <v>996</v>
      </c>
      <c r="AF545" s="2">
        <f t="shared" si="32"/>
        <v>0</v>
      </c>
      <c r="AG545">
        <f t="shared" si="33"/>
        <v>0.996</v>
      </c>
      <c r="AH545">
        <f t="shared" si="34"/>
        <v>0.89100000000000001</v>
      </c>
      <c r="AI545">
        <f t="shared" si="35"/>
        <v>0.10499999999999998</v>
      </c>
    </row>
    <row r="546" spans="28:35" x14ac:dyDescent="0.35">
      <c r="AB546">
        <v>1</v>
      </c>
      <c r="AC546">
        <v>813</v>
      </c>
      <c r="AF546" s="2">
        <f t="shared" si="32"/>
        <v>1E-3</v>
      </c>
      <c r="AG546">
        <f t="shared" si="33"/>
        <v>0.81299999999999994</v>
      </c>
      <c r="AH546">
        <f t="shared" si="34"/>
        <v>0.85584084273568095</v>
      </c>
      <c r="AI546">
        <f t="shared" si="35"/>
        <v>-4.2840842735681006E-2</v>
      </c>
    </row>
    <row r="547" spans="28:35" x14ac:dyDescent="0.35">
      <c r="AB547">
        <v>0</v>
      </c>
      <c r="AC547">
        <v>997</v>
      </c>
      <c r="AF547" s="2">
        <f t="shared" si="32"/>
        <v>0</v>
      </c>
      <c r="AG547">
        <f t="shared" si="33"/>
        <v>0.997</v>
      </c>
      <c r="AH547">
        <f t="shared" si="34"/>
        <v>0.89100000000000001</v>
      </c>
      <c r="AI547">
        <f t="shared" si="35"/>
        <v>0.10599999999999998</v>
      </c>
    </row>
    <row r="548" spans="28:35" x14ac:dyDescent="0.35">
      <c r="AB548">
        <v>0</v>
      </c>
      <c r="AC548">
        <v>997</v>
      </c>
      <c r="AF548" s="2">
        <f t="shared" si="32"/>
        <v>0</v>
      </c>
      <c r="AG548">
        <f t="shared" si="33"/>
        <v>0.997</v>
      </c>
      <c r="AH548">
        <f t="shared" si="34"/>
        <v>0.89100000000000001</v>
      </c>
      <c r="AI548">
        <f t="shared" si="35"/>
        <v>0.10599999999999998</v>
      </c>
    </row>
    <row r="549" spans="28:35" x14ac:dyDescent="0.35">
      <c r="AB549">
        <v>3</v>
      </c>
      <c r="AC549">
        <v>753</v>
      </c>
      <c r="AF549" s="2">
        <f t="shared" si="32"/>
        <v>3.0000000000000001E-3</v>
      </c>
      <c r="AG549">
        <f t="shared" si="33"/>
        <v>0.753</v>
      </c>
      <c r="AH549">
        <f t="shared" si="34"/>
        <v>0.78962995748025411</v>
      </c>
      <c r="AI549">
        <f t="shared" si="35"/>
        <v>-3.6629957480254105E-2</v>
      </c>
    </row>
    <row r="550" spans="28:35" x14ac:dyDescent="0.35">
      <c r="AB550">
        <v>1</v>
      </c>
      <c r="AC550">
        <v>804</v>
      </c>
      <c r="AF550" s="2">
        <f t="shared" si="32"/>
        <v>1E-3</v>
      </c>
      <c r="AG550">
        <f t="shared" si="33"/>
        <v>0.80400000000000005</v>
      </c>
      <c r="AH550">
        <f t="shared" si="34"/>
        <v>0.85584084273568095</v>
      </c>
      <c r="AI550">
        <f t="shared" si="35"/>
        <v>-5.1840842735680903E-2</v>
      </c>
    </row>
    <row r="551" spans="28:35" x14ac:dyDescent="0.35">
      <c r="AB551">
        <v>3</v>
      </c>
      <c r="AC551">
        <v>749</v>
      </c>
      <c r="AF551" s="2">
        <f t="shared" si="32"/>
        <v>3.0000000000000001E-3</v>
      </c>
      <c r="AG551">
        <f t="shared" si="33"/>
        <v>0.749</v>
      </c>
      <c r="AH551">
        <f t="shared" si="34"/>
        <v>0.78962995748025411</v>
      </c>
      <c r="AI551">
        <f t="shared" si="35"/>
        <v>-4.0629957480254109E-2</v>
      </c>
    </row>
    <row r="552" spans="28:35" x14ac:dyDescent="0.35">
      <c r="AB552">
        <v>2</v>
      </c>
      <c r="AC552">
        <v>774</v>
      </c>
      <c r="AF552" s="2">
        <f t="shared" si="32"/>
        <v>2E-3</v>
      </c>
      <c r="AG552">
        <f t="shared" si="33"/>
        <v>0.77400000000000002</v>
      </c>
      <c r="AH552">
        <f t="shared" si="34"/>
        <v>0.82206907754716119</v>
      </c>
      <c r="AI552">
        <f t="shared" si="35"/>
        <v>-4.8069077547161165E-2</v>
      </c>
    </row>
    <row r="553" spans="28:35" x14ac:dyDescent="0.35">
      <c r="AB553">
        <v>2</v>
      </c>
      <c r="AC553">
        <v>769</v>
      </c>
      <c r="AF553" s="2">
        <f t="shared" si="32"/>
        <v>2E-3</v>
      </c>
      <c r="AG553">
        <f t="shared" si="33"/>
        <v>0.76900000000000002</v>
      </c>
      <c r="AH553">
        <f t="shared" si="34"/>
        <v>0.82206907754716119</v>
      </c>
      <c r="AI553">
        <f t="shared" si="35"/>
        <v>-5.306907754716117E-2</v>
      </c>
    </row>
    <row r="554" spans="28:35" x14ac:dyDescent="0.35">
      <c r="AB554">
        <v>1</v>
      </c>
      <c r="AC554">
        <v>806</v>
      </c>
      <c r="AF554" s="2">
        <f t="shared" si="32"/>
        <v>1E-3</v>
      </c>
      <c r="AG554">
        <f t="shared" si="33"/>
        <v>0.80600000000000005</v>
      </c>
      <c r="AH554">
        <f t="shared" si="34"/>
        <v>0.85584084273568095</v>
      </c>
      <c r="AI554">
        <f t="shared" si="35"/>
        <v>-4.9840842735680901E-2</v>
      </c>
    </row>
    <row r="555" spans="28:35" x14ac:dyDescent="0.35">
      <c r="AB555">
        <v>2</v>
      </c>
      <c r="AC555">
        <v>774</v>
      </c>
      <c r="AF555" s="2">
        <f t="shared" si="32"/>
        <v>2E-3</v>
      </c>
      <c r="AG555">
        <f t="shared" si="33"/>
        <v>0.77400000000000002</v>
      </c>
      <c r="AH555">
        <f t="shared" si="34"/>
        <v>0.82206907754716119</v>
      </c>
      <c r="AI555">
        <f t="shared" si="35"/>
        <v>-4.8069077547161165E-2</v>
      </c>
    </row>
    <row r="556" spans="28:35" x14ac:dyDescent="0.35">
      <c r="AB556">
        <v>1</v>
      </c>
      <c r="AC556">
        <v>816</v>
      </c>
      <c r="AF556" s="2">
        <f t="shared" si="32"/>
        <v>1E-3</v>
      </c>
      <c r="AG556">
        <f t="shared" si="33"/>
        <v>0.81599999999999995</v>
      </c>
      <c r="AH556">
        <f t="shared" si="34"/>
        <v>0.85584084273568095</v>
      </c>
      <c r="AI556">
        <f t="shared" si="35"/>
        <v>-3.9840842735681004E-2</v>
      </c>
    </row>
    <row r="557" spans="28:35" x14ac:dyDescent="0.35">
      <c r="AB557">
        <v>1</v>
      </c>
      <c r="AC557">
        <v>800</v>
      </c>
      <c r="AF557" s="2">
        <f t="shared" si="32"/>
        <v>1E-3</v>
      </c>
      <c r="AG557">
        <f t="shared" si="33"/>
        <v>0.8</v>
      </c>
      <c r="AH557">
        <f t="shared" si="34"/>
        <v>0.85584084273568095</v>
      </c>
      <c r="AI557">
        <f t="shared" si="35"/>
        <v>-5.5840842735680907E-2</v>
      </c>
    </row>
    <row r="558" spans="28:35" x14ac:dyDescent="0.35">
      <c r="AB558">
        <v>2</v>
      </c>
      <c r="AC558">
        <v>782</v>
      </c>
      <c r="AF558" s="2">
        <f t="shared" si="32"/>
        <v>2E-3</v>
      </c>
      <c r="AG558">
        <f t="shared" si="33"/>
        <v>0.78200000000000003</v>
      </c>
      <c r="AH558">
        <f t="shared" si="34"/>
        <v>0.82206907754716119</v>
      </c>
      <c r="AI558">
        <f t="shared" si="35"/>
        <v>-4.0069077547161158E-2</v>
      </c>
    </row>
    <row r="559" spans="28:35" x14ac:dyDescent="0.35">
      <c r="AB559">
        <v>2</v>
      </c>
      <c r="AC559">
        <v>772</v>
      </c>
      <c r="AF559" s="2">
        <f t="shared" si="32"/>
        <v>2E-3</v>
      </c>
      <c r="AG559">
        <f t="shared" si="33"/>
        <v>0.77200000000000002</v>
      </c>
      <c r="AH559">
        <f t="shared" si="34"/>
        <v>0.82206907754716119</v>
      </c>
      <c r="AI559">
        <f t="shared" si="35"/>
        <v>-5.0069077547161167E-2</v>
      </c>
    </row>
    <row r="560" spans="28:35" x14ac:dyDescent="0.35">
      <c r="AB560">
        <v>3</v>
      </c>
      <c r="AC560">
        <v>741</v>
      </c>
      <c r="AF560" s="2">
        <f t="shared" si="32"/>
        <v>3.0000000000000001E-3</v>
      </c>
      <c r="AG560">
        <f t="shared" si="33"/>
        <v>0.74099999999999999</v>
      </c>
      <c r="AH560">
        <f t="shared" si="34"/>
        <v>0.78962995748025411</v>
      </c>
      <c r="AI560">
        <f t="shared" si="35"/>
        <v>-4.8629957480254116E-2</v>
      </c>
    </row>
    <row r="561" spans="28:35" x14ac:dyDescent="0.35">
      <c r="AB561">
        <v>1</v>
      </c>
      <c r="AC561">
        <v>800</v>
      </c>
      <c r="AF561" s="2">
        <f t="shared" si="32"/>
        <v>1E-3</v>
      </c>
      <c r="AG561">
        <f t="shared" si="33"/>
        <v>0.8</v>
      </c>
      <c r="AH561">
        <f t="shared" si="34"/>
        <v>0.85584084273568095</v>
      </c>
      <c r="AI561">
        <f t="shared" si="35"/>
        <v>-5.5840842735680907E-2</v>
      </c>
    </row>
    <row r="562" spans="28:35" x14ac:dyDescent="0.35">
      <c r="AB562">
        <v>0</v>
      </c>
      <c r="AC562">
        <v>993</v>
      </c>
      <c r="AF562" s="2">
        <f t="shared" si="32"/>
        <v>0</v>
      </c>
      <c r="AG562">
        <f t="shared" si="33"/>
        <v>0.99299999999999999</v>
      </c>
      <c r="AH562">
        <f t="shared" si="34"/>
        <v>0.89100000000000001</v>
      </c>
      <c r="AI562">
        <f t="shared" si="35"/>
        <v>0.10199999999999998</v>
      </c>
    </row>
    <row r="563" spans="28:35" x14ac:dyDescent="0.35">
      <c r="AB563">
        <v>3</v>
      </c>
      <c r="AC563">
        <v>741</v>
      </c>
      <c r="AF563" s="2">
        <f t="shared" si="32"/>
        <v>3.0000000000000001E-3</v>
      </c>
      <c r="AG563">
        <f t="shared" si="33"/>
        <v>0.74099999999999999</v>
      </c>
      <c r="AH563">
        <f t="shared" si="34"/>
        <v>0.78962995748025411</v>
      </c>
      <c r="AI563">
        <f t="shared" si="35"/>
        <v>-4.8629957480254116E-2</v>
      </c>
    </row>
    <row r="564" spans="28:35" x14ac:dyDescent="0.35">
      <c r="AB564">
        <v>2</v>
      </c>
      <c r="AC564">
        <v>771</v>
      </c>
      <c r="AF564" s="2">
        <f t="shared" si="32"/>
        <v>2E-3</v>
      </c>
      <c r="AG564">
        <f t="shared" si="33"/>
        <v>0.77100000000000002</v>
      </c>
      <c r="AH564">
        <f t="shared" si="34"/>
        <v>0.82206907754716119</v>
      </c>
      <c r="AI564">
        <f t="shared" si="35"/>
        <v>-5.1069077547161168E-2</v>
      </c>
    </row>
    <row r="565" spans="28:35" x14ac:dyDescent="0.35">
      <c r="AB565">
        <v>2</v>
      </c>
      <c r="AC565">
        <v>774</v>
      </c>
      <c r="AF565" s="2">
        <f t="shared" si="32"/>
        <v>2E-3</v>
      </c>
      <c r="AG565">
        <f t="shared" si="33"/>
        <v>0.77400000000000002</v>
      </c>
      <c r="AH565">
        <f t="shared" si="34"/>
        <v>0.82206907754716119</v>
      </c>
      <c r="AI565">
        <f t="shared" si="35"/>
        <v>-4.8069077547161165E-2</v>
      </c>
    </row>
    <row r="566" spans="28:35" x14ac:dyDescent="0.35">
      <c r="AB566">
        <v>8</v>
      </c>
      <c r="AC566">
        <v>697</v>
      </c>
      <c r="AF566" s="2">
        <f t="shared" si="32"/>
        <v>8.0000000000000002E-3</v>
      </c>
      <c r="AG566">
        <f t="shared" si="33"/>
        <v>0.69699999999999995</v>
      </c>
      <c r="AH566">
        <f t="shared" si="34"/>
        <v>0.64565443316314119</v>
      </c>
      <c r="AI566">
        <f t="shared" si="35"/>
        <v>5.1345566836858758E-2</v>
      </c>
    </row>
    <row r="567" spans="28:35" x14ac:dyDescent="0.35">
      <c r="AB567">
        <v>0</v>
      </c>
      <c r="AC567">
        <v>986</v>
      </c>
      <c r="AF567" s="2">
        <f t="shared" si="32"/>
        <v>0</v>
      </c>
      <c r="AG567">
        <f t="shared" si="33"/>
        <v>0.98599999999999999</v>
      </c>
      <c r="AH567">
        <f t="shared" si="34"/>
        <v>0.89100000000000001</v>
      </c>
      <c r="AI567">
        <f t="shared" si="35"/>
        <v>9.4999999999999973E-2</v>
      </c>
    </row>
    <row r="568" spans="28:35" x14ac:dyDescent="0.35">
      <c r="AB568">
        <v>2</v>
      </c>
      <c r="AC568">
        <v>769</v>
      </c>
      <c r="AF568" s="2">
        <f t="shared" si="32"/>
        <v>2E-3</v>
      </c>
      <c r="AG568">
        <f t="shared" si="33"/>
        <v>0.76900000000000002</v>
      </c>
      <c r="AH568">
        <f t="shared" si="34"/>
        <v>0.82206907754716119</v>
      </c>
      <c r="AI568">
        <f t="shared" si="35"/>
        <v>-5.306907754716117E-2</v>
      </c>
    </row>
    <row r="569" spans="28:35" x14ac:dyDescent="0.35">
      <c r="AB569">
        <v>1</v>
      </c>
      <c r="AC569">
        <v>819</v>
      </c>
      <c r="AF569" s="2">
        <f t="shared" si="32"/>
        <v>1E-3</v>
      </c>
      <c r="AG569">
        <f t="shared" si="33"/>
        <v>0.81899999999999995</v>
      </c>
      <c r="AH569">
        <f t="shared" si="34"/>
        <v>0.85584084273568095</v>
      </c>
      <c r="AI569">
        <f t="shared" si="35"/>
        <v>-3.6840842735681001E-2</v>
      </c>
    </row>
    <row r="570" spans="28:35" x14ac:dyDescent="0.35">
      <c r="AB570">
        <v>0</v>
      </c>
      <c r="AC570">
        <v>995</v>
      </c>
      <c r="AF570" s="2">
        <f t="shared" si="32"/>
        <v>0</v>
      </c>
      <c r="AG570">
        <f t="shared" si="33"/>
        <v>0.995</v>
      </c>
      <c r="AH570">
        <f t="shared" si="34"/>
        <v>0.89100000000000001</v>
      </c>
      <c r="AI570">
        <f t="shared" si="35"/>
        <v>0.10399999999999998</v>
      </c>
    </row>
    <row r="571" spans="28:35" x14ac:dyDescent="0.35">
      <c r="AB571">
        <v>1</v>
      </c>
      <c r="AC571">
        <v>808</v>
      </c>
      <c r="AF571" s="2">
        <f t="shared" si="32"/>
        <v>1E-3</v>
      </c>
      <c r="AG571">
        <f t="shared" si="33"/>
        <v>0.80800000000000005</v>
      </c>
      <c r="AH571">
        <f t="shared" si="34"/>
        <v>0.85584084273568095</v>
      </c>
      <c r="AI571">
        <f t="shared" si="35"/>
        <v>-4.78408427356809E-2</v>
      </c>
    </row>
    <row r="572" spans="28:35" x14ac:dyDescent="0.35">
      <c r="AB572">
        <v>0</v>
      </c>
      <c r="AC572">
        <v>996</v>
      </c>
      <c r="AF572" s="2">
        <f t="shared" si="32"/>
        <v>0</v>
      </c>
      <c r="AG572">
        <f t="shared" si="33"/>
        <v>0.996</v>
      </c>
      <c r="AH572">
        <f t="shared" si="34"/>
        <v>0.89100000000000001</v>
      </c>
      <c r="AI572">
        <f t="shared" si="35"/>
        <v>0.10499999999999998</v>
      </c>
    </row>
    <row r="573" spans="28:35" x14ac:dyDescent="0.35">
      <c r="AB573">
        <v>0</v>
      </c>
      <c r="AC573">
        <v>997</v>
      </c>
      <c r="AF573" s="2">
        <f t="shared" si="32"/>
        <v>0</v>
      </c>
      <c r="AG573">
        <f t="shared" si="33"/>
        <v>0.997</v>
      </c>
      <c r="AH573">
        <f t="shared" si="34"/>
        <v>0.89100000000000001</v>
      </c>
      <c r="AI573">
        <f t="shared" si="35"/>
        <v>0.10599999999999998</v>
      </c>
    </row>
    <row r="574" spans="28:35" x14ac:dyDescent="0.35">
      <c r="AB574">
        <v>2</v>
      </c>
      <c r="AC574">
        <v>782</v>
      </c>
      <c r="AF574" s="2">
        <f t="shared" si="32"/>
        <v>2E-3</v>
      </c>
      <c r="AG574">
        <f t="shared" si="33"/>
        <v>0.78200000000000003</v>
      </c>
      <c r="AH574">
        <f t="shared" si="34"/>
        <v>0.82206907754716119</v>
      </c>
      <c r="AI574">
        <f t="shared" si="35"/>
        <v>-4.0069077547161158E-2</v>
      </c>
    </row>
    <row r="575" spans="28:35" x14ac:dyDescent="0.35">
      <c r="AB575">
        <v>1</v>
      </c>
      <c r="AC575">
        <v>812</v>
      </c>
      <c r="AF575" s="2">
        <f t="shared" si="32"/>
        <v>1E-3</v>
      </c>
      <c r="AG575">
        <f t="shared" si="33"/>
        <v>0.81200000000000006</v>
      </c>
      <c r="AH575">
        <f t="shared" si="34"/>
        <v>0.85584084273568095</v>
      </c>
      <c r="AI575">
        <f t="shared" si="35"/>
        <v>-4.3840842735680896E-2</v>
      </c>
    </row>
    <row r="576" spans="28:35" x14ac:dyDescent="0.35">
      <c r="AB576">
        <v>0</v>
      </c>
      <c r="AC576">
        <v>996</v>
      </c>
      <c r="AF576" s="2">
        <f t="shared" si="32"/>
        <v>0</v>
      </c>
      <c r="AG576">
        <f t="shared" si="33"/>
        <v>0.996</v>
      </c>
      <c r="AH576">
        <f t="shared" si="34"/>
        <v>0.89100000000000001</v>
      </c>
      <c r="AI576">
        <f t="shared" si="35"/>
        <v>0.10499999999999998</v>
      </c>
    </row>
    <row r="577" spans="28:35" x14ac:dyDescent="0.35">
      <c r="AB577">
        <v>1</v>
      </c>
      <c r="AC577">
        <v>998</v>
      </c>
      <c r="AF577" s="2">
        <f t="shared" si="32"/>
        <v>1E-3</v>
      </c>
      <c r="AG577">
        <f t="shared" si="33"/>
        <v>0.998</v>
      </c>
      <c r="AH577">
        <f t="shared" si="34"/>
        <v>0.85584084273568095</v>
      </c>
      <c r="AI577">
        <f t="shared" si="35"/>
        <v>0.14215915726431905</v>
      </c>
    </row>
    <row r="578" spans="28:35" x14ac:dyDescent="0.35">
      <c r="AB578">
        <v>0</v>
      </c>
      <c r="AC578">
        <v>999</v>
      </c>
      <c r="AF578" s="2">
        <f t="shared" si="32"/>
        <v>0</v>
      </c>
      <c r="AG578">
        <f t="shared" si="33"/>
        <v>0.999</v>
      </c>
      <c r="AH578">
        <f t="shared" si="34"/>
        <v>0.89100000000000001</v>
      </c>
      <c r="AI578">
        <f t="shared" si="35"/>
        <v>0.10799999999999998</v>
      </c>
    </row>
    <row r="579" spans="28:35" x14ac:dyDescent="0.35">
      <c r="AB579">
        <v>0</v>
      </c>
      <c r="AC579">
        <v>999</v>
      </c>
      <c r="AF579" s="2">
        <f t="shared" si="32"/>
        <v>0</v>
      </c>
      <c r="AG579">
        <f t="shared" si="33"/>
        <v>0.999</v>
      </c>
      <c r="AH579">
        <f t="shared" si="34"/>
        <v>0.89100000000000001</v>
      </c>
      <c r="AI579">
        <f t="shared" si="35"/>
        <v>0.10799999999999998</v>
      </c>
    </row>
    <row r="580" spans="28:35" x14ac:dyDescent="0.35">
      <c r="AB580" cm="1">
        <f t="array" ref="AB580:AB694">I3:I117</f>
        <v>0</v>
      </c>
      <c r="AC580" cm="1">
        <f t="array" ref="AC580:AC694">V4:V118</f>
        <v>999</v>
      </c>
      <c r="AF580" s="2">
        <f t="shared" ref="AF580:AF643" si="36">AB580/1000</f>
        <v>0</v>
      </c>
      <c r="AG580">
        <f t="shared" ref="AG580:AG643" si="37">AC580/1000</f>
        <v>0.999</v>
      </c>
      <c r="AH580">
        <f t="shared" ref="AH580:AH643" si="38">0.891*EXP(-40.26*AF580)</f>
        <v>0.89100000000000001</v>
      </c>
      <c r="AI580">
        <f t="shared" ref="AI580:AI643" si="39">AG580-AH580</f>
        <v>0.10799999999999998</v>
      </c>
    </row>
    <row r="581" spans="28:35" x14ac:dyDescent="0.35">
      <c r="AB581">
        <v>0</v>
      </c>
      <c r="AC581">
        <v>998</v>
      </c>
      <c r="AF581" s="2">
        <f t="shared" si="36"/>
        <v>0</v>
      </c>
      <c r="AG581">
        <f t="shared" si="37"/>
        <v>0.998</v>
      </c>
      <c r="AH581">
        <f t="shared" si="38"/>
        <v>0.89100000000000001</v>
      </c>
      <c r="AI581">
        <f t="shared" si="39"/>
        <v>0.10699999999999998</v>
      </c>
    </row>
    <row r="582" spans="28:35" x14ac:dyDescent="0.35">
      <c r="AB582">
        <v>0</v>
      </c>
      <c r="AC582">
        <v>999</v>
      </c>
      <c r="AF582" s="2">
        <f t="shared" si="36"/>
        <v>0</v>
      </c>
      <c r="AG582">
        <f t="shared" si="37"/>
        <v>0.999</v>
      </c>
      <c r="AH582">
        <f t="shared" si="38"/>
        <v>0.89100000000000001</v>
      </c>
      <c r="AI582">
        <f t="shared" si="39"/>
        <v>0.10799999999999998</v>
      </c>
    </row>
    <row r="583" spans="28:35" x14ac:dyDescent="0.35">
      <c r="AB583">
        <v>2</v>
      </c>
      <c r="AC583">
        <v>784</v>
      </c>
      <c r="AF583" s="2">
        <f t="shared" si="36"/>
        <v>2E-3</v>
      </c>
      <c r="AG583">
        <f t="shared" si="37"/>
        <v>0.78400000000000003</v>
      </c>
      <c r="AH583">
        <f t="shared" si="38"/>
        <v>0.82206907754716119</v>
      </c>
      <c r="AI583">
        <f t="shared" si="39"/>
        <v>-3.8069077547161156E-2</v>
      </c>
    </row>
    <row r="584" spans="28:35" x14ac:dyDescent="0.35">
      <c r="AB584">
        <v>3</v>
      </c>
      <c r="AC584">
        <v>762</v>
      </c>
      <c r="AF584" s="2">
        <f t="shared" si="36"/>
        <v>3.0000000000000001E-3</v>
      </c>
      <c r="AG584">
        <f t="shared" si="37"/>
        <v>0.76200000000000001</v>
      </c>
      <c r="AH584">
        <f t="shared" si="38"/>
        <v>0.78962995748025411</v>
      </c>
      <c r="AI584">
        <f t="shared" si="39"/>
        <v>-2.7629957480254097E-2</v>
      </c>
    </row>
    <row r="585" spans="28:35" x14ac:dyDescent="0.35">
      <c r="AB585">
        <v>7</v>
      </c>
      <c r="AC585">
        <v>769</v>
      </c>
      <c r="AF585" s="2">
        <f t="shared" si="36"/>
        <v>7.0000000000000001E-3</v>
      </c>
      <c r="AG585">
        <f t="shared" si="37"/>
        <v>0.76900000000000002</v>
      </c>
      <c r="AH585">
        <f t="shared" si="38"/>
        <v>0.67217883422049818</v>
      </c>
      <c r="AI585">
        <f t="shared" si="39"/>
        <v>9.6821165779501839E-2</v>
      </c>
    </row>
    <row r="586" spans="28:35" x14ac:dyDescent="0.35">
      <c r="AB586">
        <v>11</v>
      </c>
      <c r="AC586">
        <v>672</v>
      </c>
      <c r="AF586" s="2">
        <f t="shared" si="36"/>
        <v>1.0999999999999999E-2</v>
      </c>
      <c r="AG586">
        <f t="shared" si="37"/>
        <v>0.67200000000000004</v>
      </c>
      <c r="AH586">
        <f t="shared" si="38"/>
        <v>0.57219762357525106</v>
      </c>
      <c r="AI586">
        <f t="shared" si="39"/>
        <v>9.9802376424748984E-2</v>
      </c>
    </row>
    <row r="587" spans="28:35" x14ac:dyDescent="0.35">
      <c r="AB587">
        <v>8</v>
      </c>
      <c r="AC587">
        <v>691</v>
      </c>
      <c r="AF587" s="2">
        <f t="shared" si="36"/>
        <v>8.0000000000000002E-3</v>
      </c>
      <c r="AG587">
        <f t="shared" si="37"/>
        <v>0.69099999999999995</v>
      </c>
      <c r="AH587">
        <f t="shared" si="38"/>
        <v>0.64565443316314119</v>
      </c>
      <c r="AI587">
        <f t="shared" si="39"/>
        <v>4.5345566836858753E-2</v>
      </c>
    </row>
    <row r="588" spans="28:35" x14ac:dyDescent="0.35">
      <c r="AB588">
        <v>13</v>
      </c>
      <c r="AC588">
        <v>460</v>
      </c>
      <c r="AF588" s="2">
        <f t="shared" si="36"/>
        <v>1.2999999999999999E-2</v>
      </c>
      <c r="AG588">
        <f t="shared" si="37"/>
        <v>0.46</v>
      </c>
      <c r="AH588">
        <f t="shared" si="38"/>
        <v>0.52793038449740115</v>
      </c>
      <c r="AI588">
        <f t="shared" si="39"/>
        <v>-6.7930384497401131E-2</v>
      </c>
    </row>
    <row r="589" spans="28:35" x14ac:dyDescent="0.35">
      <c r="AB589">
        <v>14</v>
      </c>
      <c r="AC589">
        <v>458</v>
      </c>
      <c r="AF589" s="2">
        <f t="shared" si="36"/>
        <v>1.4E-2</v>
      </c>
      <c r="AG589">
        <f t="shared" si="37"/>
        <v>0.45800000000000002</v>
      </c>
      <c r="AH589">
        <f t="shared" si="38"/>
        <v>0.50709807539172602</v>
      </c>
      <c r="AI589">
        <f t="shared" si="39"/>
        <v>-4.9098075391726004E-2</v>
      </c>
    </row>
    <row r="590" spans="28:35" x14ac:dyDescent="0.35">
      <c r="AB590">
        <v>14</v>
      </c>
      <c r="AC590">
        <v>460</v>
      </c>
      <c r="AF590" s="2">
        <f t="shared" si="36"/>
        <v>1.4E-2</v>
      </c>
      <c r="AG590">
        <f t="shared" si="37"/>
        <v>0.46</v>
      </c>
      <c r="AH590">
        <f t="shared" si="38"/>
        <v>0.50709807539172602</v>
      </c>
      <c r="AI590">
        <f t="shared" si="39"/>
        <v>-4.7098075391726002E-2</v>
      </c>
    </row>
    <row r="591" spans="28:35" x14ac:dyDescent="0.35">
      <c r="AB591">
        <v>7</v>
      </c>
      <c r="AC591">
        <v>741</v>
      </c>
      <c r="AF591" s="2">
        <f t="shared" si="36"/>
        <v>7.0000000000000001E-3</v>
      </c>
      <c r="AG591">
        <f t="shared" si="37"/>
        <v>0.74099999999999999</v>
      </c>
      <c r="AH591">
        <f t="shared" si="38"/>
        <v>0.67217883422049818</v>
      </c>
      <c r="AI591">
        <f t="shared" si="39"/>
        <v>6.8821165779501814E-2</v>
      </c>
    </row>
    <row r="592" spans="28:35" x14ac:dyDescent="0.35">
      <c r="AB592">
        <v>8</v>
      </c>
      <c r="AC592">
        <v>677</v>
      </c>
      <c r="AF592" s="2">
        <f t="shared" si="36"/>
        <v>8.0000000000000002E-3</v>
      </c>
      <c r="AG592">
        <f t="shared" si="37"/>
        <v>0.67700000000000005</v>
      </c>
      <c r="AH592">
        <f t="shared" si="38"/>
        <v>0.64565443316314119</v>
      </c>
      <c r="AI592">
        <f t="shared" si="39"/>
        <v>3.1345566836858851E-2</v>
      </c>
    </row>
    <row r="593" spans="28:35" x14ac:dyDescent="0.35">
      <c r="AB593">
        <v>5</v>
      </c>
      <c r="AC593">
        <v>518</v>
      </c>
      <c r="AF593" s="2">
        <f t="shared" si="36"/>
        <v>5.0000000000000001E-3</v>
      </c>
      <c r="AG593">
        <f t="shared" si="37"/>
        <v>0.51800000000000002</v>
      </c>
      <c r="AH593">
        <f t="shared" si="38"/>
        <v>0.72854138131245416</v>
      </c>
      <c r="AI593">
        <f t="shared" si="39"/>
        <v>-0.21054138131245415</v>
      </c>
    </row>
    <row r="594" spans="28:35" x14ac:dyDescent="0.35">
      <c r="AB594">
        <v>6</v>
      </c>
      <c r="AC594">
        <v>725</v>
      </c>
      <c r="AF594" s="2">
        <f t="shared" si="36"/>
        <v>6.0000000000000001E-3</v>
      </c>
      <c r="AG594">
        <f t="shared" si="37"/>
        <v>0.72499999999999998</v>
      </c>
      <c r="AH594">
        <f t="shared" si="38"/>
        <v>0.69979289534261269</v>
      </c>
      <c r="AI594">
        <f t="shared" si="39"/>
        <v>2.5207104657387291E-2</v>
      </c>
    </row>
    <row r="595" spans="28:35" x14ac:dyDescent="0.35">
      <c r="AB595">
        <v>4</v>
      </c>
      <c r="AC595">
        <v>774</v>
      </c>
      <c r="AF595" s="2">
        <f t="shared" si="36"/>
        <v>4.0000000000000001E-3</v>
      </c>
      <c r="AG595">
        <f t="shared" si="37"/>
        <v>0.77400000000000002</v>
      </c>
      <c r="AH595">
        <f t="shared" si="38"/>
        <v>0.75847089591385031</v>
      </c>
      <c r="AI595">
        <f t="shared" si="39"/>
        <v>1.5529104086149714E-2</v>
      </c>
    </row>
    <row r="596" spans="28:35" x14ac:dyDescent="0.35">
      <c r="AB596">
        <v>5</v>
      </c>
      <c r="AC596">
        <v>530</v>
      </c>
      <c r="AF596" s="2">
        <f t="shared" si="36"/>
        <v>5.0000000000000001E-3</v>
      </c>
      <c r="AG596">
        <f t="shared" si="37"/>
        <v>0.53</v>
      </c>
      <c r="AH596">
        <f t="shared" si="38"/>
        <v>0.72854138131245416</v>
      </c>
      <c r="AI596">
        <f t="shared" si="39"/>
        <v>-0.19854138131245413</v>
      </c>
    </row>
    <row r="597" spans="28:35" x14ac:dyDescent="0.35">
      <c r="AB597">
        <v>2</v>
      </c>
      <c r="AC597">
        <v>782</v>
      </c>
      <c r="AF597" s="2">
        <f t="shared" si="36"/>
        <v>2E-3</v>
      </c>
      <c r="AG597">
        <f t="shared" si="37"/>
        <v>0.78200000000000003</v>
      </c>
      <c r="AH597">
        <f t="shared" si="38"/>
        <v>0.82206907754716119</v>
      </c>
      <c r="AI597">
        <f t="shared" si="39"/>
        <v>-4.0069077547161158E-2</v>
      </c>
    </row>
    <row r="598" spans="28:35" x14ac:dyDescent="0.35">
      <c r="AB598">
        <v>3</v>
      </c>
      <c r="AC598">
        <v>765</v>
      </c>
      <c r="AF598" s="2">
        <f t="shared" si="36"/>
        <v>3.0000000000000001E-3</v>
      </c>
      <c r="AG598">
        <f t="shared" si="37"/>
        <v>0.76500000000000001</v>
      </c>
      <c r="AH598">
        <f t="shared" si="38"/>
        <v>0.78962995748025411</v>
      </c>
      <c r="AI598">
        <f t="shared" si="39"/>
        <v>-2.4629957480254094E-2</v>
      </c>
    </row>
    <row r="599" spans="28:35" x14ac:dyDescent="0.35">
      <c r="AB599">
        <v>5</v>
      </c>
      <c r="AC599">
        <v>533</v>
      </c>
      <c r="AF599" s="2">
        <f t="shared" si="36"/>
        <v>5.0000000000000001E-3</v>
      </c>
      <c r="AG599">
        <f t="shared" si="37"/>
        <v>0.53300000000000003</v>
      </c>
      <c r="AH599">
        <f t="shared" si="38"/>
        <v>0.72854138131245416</v>
      </c>
      <c r="AI599">
        <f t="shared" si="39"/>
        <v>-0.19554138131245413</v>
      </c>
    </row>
    <row r="600" spans="28:35" x14ac:dyDescent="0.35">
      <c r="AB600">
        <v>2</v>
      </c>
      <c r="AC600">
        <v>784</v>
      </c>
      <c r="AF600" s="2">
        <f t="shared" si="36"/>
        <v>2E-3</v>
      </c>
      <c r="AG600">
        <f t="shared" si="37"/>
        <v>0.78400000000000003</v>
      </c>
      <c r="AH600">
        <f t="shared" si="38"/>
        <v>0.82206907754716119</v>
      </c>
      <c r="AI600">
        <f t="shared" si="39"/>
        <v>-3.8069077547161156E-2</v>
      </c>
    </row>
    <row r="601" spans="28:35" x14ac:dyDescent="0.35">
      <c r="AB601">
        <v>3</v>
      </c>
      <c r="AC601">
        <v>767</v>
      </c>
      <c r="AF601" s="2">
        <f t="shared" si="36"/>
        <v>3.0000000000000001E-3</v>
      </c>
      <c r="AG601">
        <f t="shared" si="37"/>
        <v>0.76700000000000002</v>
      </c>
      <c r="AH601">
        <f t="shared" si="38"/>
        <v>0.78962995748025411</v>
      </c>
      <c r="AI601">
        <f t="shared" si="39"/>
        <v>-2.2629957480254093E-2</v>
      </c>
    </row>
    <row r="602" spans="28:35" x14ac:dyDescent="0.35">
      <c r="AB602">
        <v>7</v>
      </c>
      <c r="AC602">
        <v>779</v>
      </c>
      <c r="AF602" s="2">
        <f t="shared" si="36"/>
        <v>7.0000000000000001E-3</v>
      </c>
      <c r="AG602">
        <f t="shared" si="37"/>
        <v>0.77900000000000003</v>
      </c>
      <c r="AH602">
        <f t="shared" si="38"/>
        <v>0.67217883422049818</v>
      </c>
      <c r="AI602">
        <f t="shared" si="39"/>
        <v>0.10682116577950185</v>
      </c>
    </row>
    <row r="603" spans="28:35" x14ac:dyDescent="0.35">
      <c r="AB603">
        <v>1</v>
      </c>
      <c r="AC603">
        <v>794</v>
      </c>
      <c r="AF603" s="2">
        <f t="shared" si="36"/>
        <v>1E-3</v>
      </c>
      <c r="AG603">
        <f t="shared" si="37"/>
        <v>0.79400000000000004</v>
      </c>
      <c r="AH603">
        <f t="shared" si="38"/>
        <v>0.85584084273568095</v>
      </c>
      <c r="AI603">
        <f t="shared" si="39"/>
        <v>-6.1840842735680912E-2</v>
      </c>
    </row>
    <row r="604" spans="28:35" x14ac:dyDescent="0.35">
      <c r="AB604">
        <v>4</v>
      </c>
      <c r="AC604">
        <v>775</v>
      </c>
      <c r="AF604" s="2">
        <f t="shared" si="36"/>
        <v>4.0000000000000001E-3</v>
      </c>
      <c r="AG604">
        <f t="shared" si="37"/>
        <v>0.77500000000000002</v>
      </c>
      <c r="AH604">
        <f t="shared" si="38"/>
        <v>0.75847089591385031</v>
      </c>
      <c r="AI604">
        <f t="shared" si="39"/>
        <v>1.6529104086149715E-2</v>
      </c>
    </row>
    <row r="605" spans="28:35" x14ac:dyDescent="0.35">
      <c r="AB605">
        <v>4</v>
      </c>
      <c r="AC605">
        <v>782</v>
      </c>
      <c r="AF605" s="2">
        <f t="shared" si="36"/>
        <v>4.0000000000000001E-3</v>
      </c>
      <c r="AG605">
        <f t="shared" si="37"/>
        <v>0.78200000000000003</v>
      </c>
      <c r="AH605">
        <f t="shared" si="38"/>
        <v>0.75847089591385031</v>
      </c>
      <c r="AI605">
        <f t="shared" si="39"/>
        <v>2.3529104086149721E-2</v>
      </c>
    </row>
    <row r="606" spans="28:35" x14ac:dyDescent="0.35">
      <c r="AB606">
        <v>3</v>
      </c>
      <c r="AC606">
        <v>772</v>
      </c>
      <c r="AF606" s="2">
        <f t="shared" si="36"/>
        <v>3.0000000000000001E-3</v>
      </c>
      <c r="AG606">
        <f t="shared" si="37"/>
        <v>0.77200000000000002</v>
      </c>
      <c r="AH606">
        <f t="shared" si="38"/>
        <v>0.78962995748025411</v>
      </c>
      <c r="AI606">
        <f t="shared" si="39"/>
        <v>-1.7629957480254088E-2</v>
      </c>
    </row>
    <row r="607" spans="28:35" x14ac:dyDescent="0.35">
      <c r="AB607">
        <v>3</v>
      </c>
      <c r="AC607">
        <v>771</v>
      </c>
      <c r="AF607" s="2">
        <f t="shared" si="36"/>
        <v>3.0000000000000001E-3</v>
      </c>
      <c r="AG607">
        <f t="shared" si="37"/>
        <v>0.77100000000000002</v>
      </c>
      <c r="AH607">
        <f t="shared" si="38"/>
        <v>0.78962995748025411</v>
      </c>
      <c r="AI607">
        <f t="shared" si="39"/>
        <v>-1.8629957480254089E-2</v>
      </c>
    </row>
    <row r="608" spans="28:35" x14ac:dyDescent="0.35">
      <c r="AB608">
        <v>0</v>
      </c>
      <c r="AC608">
        <v>996</v>
      </c>
      <c r="AF608" s="2">
        <f t="shared" si="36"/>
        <v>0</v>
      </c>
      <c r="AG608">
        <f t="shared" si="37"/>
        <v>0.996</v>
      </c>
      <c r="AH608">
        <f t="shared" si="38"/>
        <v>0.89100000000000001</v>
      </c>
      <c r="AI608">
        <f t="shared" si="39"/>
        <v>0.10499999999999998</v>
      </c>
    </row>
    <row r="609" spans="28:35" x14ac:dyDescent="0.35">
      <c r="AB609">
        <v>2</v>
      </c>
      <c r="AC609">
        <v>792</v>
      </c>
      <c r="AF609" s="2">
        <f t="shared" si="36"/>
        <v>2E-3</v>
      </c>
      <c r="AG609">
        <f t="shared" si="37"/>
        <v>0.79200000000000004</v>
      </c>
      <c r="AH609">
        <f t="shared" si="38"/>
        <v>0.82206907754716119</v>
      </c>
      <c r="AI609">
        <f t="shared" si="39"/>
        <v>-3.0069077547161149E-2</v>
      </c>
    </row>
    <row r="610" spans="28:35" x14ac:dyDescent="0.35">
      <c r="AB610">
        <v>1</v>
      </c>
      <c r="AC610">
        <v>808</v>
      </c>
      <c r="AF610" s="2">
        <f t="shared" si="36"/>
        <v>1E-3</v>
      </c>
      <c r="AG610">
        <f t="shared" si="37"/>
        <v>0.80800000000000005</v>
      </c>
      <c r="AH610">
        <f t="shared" si="38"/>
        <v>0.85584084273568095</v>
      </c>
      <c r="AI610">
        <f t="shared" si="39"/>
        <v>-4.78408427356809E-2</v>
      </c>
    </row>
    <row r="611" spans="28:35" x14ac:dyDescent="0.35">
      <c r="AB611">
        <v>0</v>
      </c>
      <c r="AC611">
        <v>995</v>
      </c>
      <c r="AF611" s="2">
        <f t="shared" si="36"/>
        <v>0</v>
      </c>
      <c r="AG611">
        <f t="shared" si="37"/>
        <v>0.995</v>
      </c>
      <c r="AH611">
        <f t="shared" si="38"/>
        <v>0.89100000000000001</v>
      </c>
      <c r="AI611">
        <f t="shared" si="39"/>
        <v>0.10399999999999998</v>
      </c>
    </row>
    <row r="612" spans="28:35" x14ac:dyDescent="0.35">
      <c r="AB612">
        <v>5</v>
      </c>
      <c r="AC612">
        <v>543</v>
      </c>
      <c r="AF612" s="2">
        <f t="shared" si="36"/>
        <v>5.0000000000000001E-3</v>
      </c>
      <c r="AG612">
        <f t="shared" si="37"/>
        <v>0.54300000000000004</v>
      </c>
      <c r="AH612">
        <f t="shared" si="38"/>
        <v>0.72854138131245416</v>
      </c>
      <c r="AI612">
        <f t="shared" si="39"/>
        <v>-0.18554138131245412</v>
      </c>
    </row>
    <row r="613" spans="28:35" x14ac:dyDescent="0.35">
      <c r="AB613">
        <v>5</v>
      </c>
      <c r="AC613">
        <v>536</v>
      </c>
      <c r="AF613" s="2">
        <f t="shared" si="36"/>
        <v>5.0000000000000001E-3</v>
      </c>
      <c r="AG613">
        <f t="shared" si="37"/>
        <v>0.53600000000000003</v>
      </c>
      <c r="AH613">
        <f t="shared" si="38"/>
        <v>0.72854138131245416</v>
      </c>
      <c r="AI613">
        <f t="shared" si="39"/>
        <v>-0.19254138131245413</v>
      </c>
    </row>
    <row r="614" spans="28:35" x14ac:dyDescent="0.35">
      <c r="AB614">
        <v>6</v>
      </c>
      <c r="AC614">
        <v>725</v>
      </c>
      <c r="AF614" s="2">
        <f t="shared" si="36"/>
        <v>6.0000000000000001E-3</v>
      </c>
      <c r="AG614">
        <f t="shared" si="37"/>
        <v>0.72499999999999998</v>
      </c>
      <c r="AH614">
        <f t="shared" si="38"/>
        <v>0.69979289534261269</v>
      </c>
      <c r="AI614">
        <f t="shared" si="39"/>
        <v>2.5207104657387291E-2</v>
      </c>
    </row>
    <row r="615" spans="28:35" x14ac:dyDescent="0.35">
      <c r="AB615">
        <v>16</v>
      </c>
      <c r="AC615">
        <v>475</v>
      </c>
      <c r="AF615" s="2">
        <f t="shared" si="36"/>
        <v>1.6E-2</v>
      </c>
      <c r="AG615">
        <f t="shared" si="37"/>
        <v>0.47499999999999998</v>
      </c>
      <c r="AH615">
        <f t="shared" si="38"/>
        <v>0.46786716842111914</v>
      </c>
      <c r="AI615">
        <f t="shared" si="39"/>
        <v>7.1328315788808383E-3</v>
      </c>
    </row>
    <row r="616" spans="28:35" x14ac:dyDescent="0.35">
      <c r="AB616">
        <v>4</v>
      </c>
      <c r="AC616">
        <v>771</v>
      </c>
      <c r="AF616" s="2">
        <f t="shared" si="36"/>
        <v>4.0000000000000001E-3</v>
      </c>
      <c r="AG616">
        <f t="shared" si="37"/>
        <v>0.77100000000000002</v>
      </c>
      <c r="AH616">
        <f t="shared" si="38"/>
        <v>0.75847089591385031</v>
      </c>
      <c r="AI616">
        <f t="shared" si="39"/>
        <v>1.2529104086149712E-2</v>
      </c>
    </row>
    <row r="617" spans="28:35" x14ac:dyDescent="0.35">
      <c r="AB617">
        <v>8</v>
      </c>
      <c r="AC617">
        <v>666</v>
      </c>
      <c r="AF617" s="2">
        <f t="shared" si="36"/>
        <v>8.0000000000000002E-3</v>
      </c>
      <c r="AG617">
        <f t="shared" si="37"/>
        <v>0.66600000000000004</v>
      </c>
      <c r="AH617">
        <f t="shared" si="38"/>
        <v>0.64565443316314119</v>
      </c>
      <c r="AI617">
        <f t="shared" si="39"/>
        <v>2.0345566836858842E-2</v>
      </c>
    </row>
    <row r="618" spans="28:35" x14ac:dyDescent="0.35">
      <c r="AB618">
        <v>11</v>
      </c>
      <c r="AC618">
        <v>673</v>
      </c>
      <c r="AF618" s="2">
        <f t="shared" si="36"/>
        <v>1.0999999999999999E-2</v>
      </c>
      <c r="AG618">
        <f t="shared" si="37"/>
        <v>0.67300000000000004</v>
      </c>
      <c r="AH618">
        <f t="shared" si="38"/>
        <v>0.57219762357525106</v>
      </c>
      <c r="AI618">
        <f t="shared" si="39"/>
        <v>0.10080237642474899</v>
      </c>
    </row>
    <row r="619" spans="28:35" x14ac:dyDescent="0.35">
      <c r="AB619">
        <v>4</v>
      </c>
      <c r="AC619">
        <v>776</v>
      </c>
      <c r="AF619" s="2">
        <f t="shared" si="36"/>
        <v>4.0000000000000001E-3</v>
      </c>
      <c r="AG619">
        <f t="shared" si="37"/>
        <v>0.77600000000000002</v>
      </c>
      <c r="AH619">
        <f t="shared" si="38"/>
        <v>0.75847089591385031</v>
      </c>
      <c r="AI619">
        <f t="shared" si="39"/>
        <v>1.7529104086149716E-2</v>
      </c>
    </row>
    <row r="620" spans="28:35" x14ac:dyDescent="0.35">
      <c r="AB620">
        <v>5</v>
      </c>
      <c r="AC620">
        <v>521</v>
      </c>
      <c r="AF620" s="2">
        <f t="shared" si="36"/>
        <v>5.0000000000000001E-3</v>
      </c>
      <c r="AG620">
        <f t="shared" si="37"/>
        <v>0.52100000000000002</v>
      </c>
      <c r="AH620">
        <f t="shared" si="38"/>
        <v>0.72854138131245416</v>
      </c>
      <c r="AI620">
        <f t="shared" si="39"/>
        <v>-0.20754138131245414</v>
      </c>
    </row>
    <row r="621" spans="28:35" x14ac:dyDescent="0.35">
      <c r="AB621">
        <v>7</v>
      </c>
      <c r="AC621">
        <v>778</v>
      </c>
      <c r="AF621" s="2">
        <f t="shared" si="36"/>
        <v>7.0000000000000001E-3</v>
      </c>
      <c r="AG621">
        <f t="shared" si="37"/>
        <v>0.77800000000000002</v>
      </c>
      <c r="AH621">
        <f t="shared" si="38"/>
        <v>0.67217883422049818</v>
      </c>
      <c r="AI621">
        <f t="shared" si="39"/>
        <v>0.10582116577950185</v>
      </c>
    </row>
    <row r="622" spans="28:35" x14ac:dyDescent="0.35">
      <c r="AB622">
        <v>4</v>
      </c>
      <c r="AC622">
        <v>771</v>
      </c>
      <c r="AF622" s="2">
        <f t="shared" si="36"/>
        <v>4.0000000000000001E-3</v>
      </c>
      <c r="AG622">
        <f t="shared" si="37"/>
        <v>0.77100000000000002</v>
      </c>
      <c r="AH622">
        <f t="shared" si="38"/>
        <v>0.75847089591385031</v>
      </c>
      <c r="AI622">
        <f t="shared" si="39"/>
        <v>1.2529104086149712E-2</v>
      </c>
    </row>
    <row r="623" spans="28:35" x14ac:dyDescent="0.35">
      <c r="AB623">
        <v>10</v>
      </c>
      <c r="AC623">
        <v>867</v>
      </c>
      <c r="AF623" s="2">
        <f t="shared" si="36"/>
        <v>0.01</v>
      </c>
      <c r="AG623">
        <f t="shared" si="37"/>
        <v>0.86699999999999999</v>
      </c>
      <c r="AH623">
        <f t="shared" si="38"/>
        <v>0.59570431457312989</v>
      </c>
      <c r="AI623">
        <f t="shared" si="39"/>
        <v>0.2712956854268701</v>
      </c>
    </row>
    <row r="624" spans="28:35" x14ac:dyDescent="0.35">
      <c r="AB624">
        <v>3</v>
      </c>
      <c r="AC624">
        <v>757</v>
      </c>
      <c r="AF624" s="2">
        <f t="shared" si="36"/>
        <v>3.0000000000000001E-3</v>
      </c>
      <c r="AG624">
        <f t="shared" si="37"/>
        <v>0.75700000000000001</v>
      </c>
      <c r="AH624">
        <f t="shared" si="38"/>
        <v>0.78962995748025411</v>
      </c>
      <c r="AI624">
        <f t="shared" si="39"/>
        <v>-3.2629957480254101E-2</v>
      </c>
    </row>
    <row r="625" spans="28:35" x14ac:dyDescent="0.35">
      <c r="AB625">
        <v>6</v>
      </c>
      <c r="AC625">
        <v>713</v>
      </c>
      <c r="AF625" s="2">
        <f t="shared" si="36"/>
        <v>6.0000000000000001E-3</v>
      </c>
      <c r="AG625">
        <f t="shared" si="37"/>
        <v>0.71299999999999997</v>
      </c>
      <c r="AH625">
        <f t="shared" si="38"/>
        <v>0.69979289534261269</v>
      </c>
      <c r="AI625">
        <f t="shared" si="39"/>
        <v>1.3207104657387281E-2</v>
      </c>
    </row>
    <row r="626" spans="28:35" x14ac:dyDescent="0.35">
      <c r="AB626">
        <v>8</v>
      </c>
      <c r="AC626">
        <v>683</v>
      </c>
      <c r="AF626" s="2">
        <f t="shared" si="36"/>
        <v>8.0000000000000002E-3</v>
      </c>
      <c r="AG626">
        <f t="shared" si="37"/>
        <v>0.68300000000000005</v>
      </c>
      <c r="AH626">
        <f t="shared" si="38"/>
        <v>0.64565443316314119</v>
      </c>
      <c r="AI626">
        <f t="shared" si="39"/>
        <v>3.7345566836858857E-2</v>
      </c>
    </row>
    <row r="627" spans="28:35" x14ac:dyDescent="0.35">
      <c r="AB627">
        <v>8</v>
      </c>
      <c r="AC627">
        <v>684</v>
      </c>
      <c r="AF627" s="2">
        <f t="shared" si="36"/>
        <v>8.0000000000000002E-3</v>
      </c>
      <c r="AG627">
        <f t="shared" si="37"/>
        <v>0.68400000000000005</v>
      </c>
      <c r="AH627">
        <f t="shared" si="38"/>
        <v>0.64565443316314119</v>
      </c>
      <c r="AI627">
        <f t="shared" si="39"/>
        <v>3.8345566836858858E-2</v>
      </c>
    </row>
    <row r="628" spans="28:35" x14ac:dyDescent="0.35">
      <c r="AB628">
        <v>8</v>
      </c>
      <c r="AC628">
        <v>678</v>
      </c>
      <c r="AF628" s="2">
        <f t="shared" si="36"/>
        <v>8.0000000000000002E-3</v>
      </c>
      <c r="AG628">
        <f t="shared" si="37"/>
        <v>0.67800000000000005</v>
      </c>
      <c r="AH628">
        <f t="shared" si="38"/>
        <v>0.64565443316314119</v>
      </c>
      <c r="AI628">
        <f t="shared" si="39"/>
        <v>3.2345566836858852E-2</v>
      </c>
    </row>
    <row r="629" spans="28:35" x14ac:dyDescent="0.35">
      <c r="AB629">
        <v>9</v>
      </c>
      <c r="AC629">
        <v>697</v>
      </c>
      <c r="AF629" s="2">
        <f t="shared" si="36"/>
        <v>8.9999999999999993E-3</v>
      </c>
      <c r="AG629">
        <f t="shared" si="37"/>
        <v>0.69699999999999995</v>
      </c>
      <c r="AH629">
        <f t="shared" si="38"/>
        <v>0.62017669382084306</v>
      </c>
      <c r="AI629">
        <f t="shared" si="39"/>
        <v>7.6823306179156892E-2</v>
      </c>
    </row>
    <row r="630" spans="28:35" x14ac:dyDescent="0.35">
      <c r="AB630">
        <v>10</v>
      </c>
      <c r="AC630">
        <v>852</v>
      </c>
      <c r="AF630" s="2">
        <f t="shared" si="36"/>
        <v>0.01</v>
      </c>
      <c r="AG630">
        <f t="shared" si="37"/>
        <v>0.85199999999999998</v>
      </c>
      <c r="AH630">
        <f t="shared" si="38"/>
        <v>0.59570431457312989</v>
      </c>
      <c r="AI630">
        <f t="shared" si="39"/>
        <v>0.25629568542687009</v>
      </c>
    </row>
    <row r="631" spans="28:35" x14ac:dyDescent="0.35">
      <c r="AB631">
        <v>11</v>
      </c>
      <c r="AC631">
        <v>661</v>
      </c>
      <c r="AF631" s="2">
        <f t="shared" si="36"/>
        <v>1.0999999999999999E-2</v>
      </c>
      <c r="AG631">
        <f t="shared" si="37"/>
        <v>0.66100000000000003</v>
      </c>
      <c r="AH631">
        <f t="shared" si="38"/>
        <v>0.57219762357525106</v>
      </c>
      <c r="AI631">
        <f t="shared" si="39"/>
        <v>8.8802376424748974E-2</v>
      </c>
    </row>
    <row r="632" spans="28:35" x14ac:dyDescent="0.35">
      <c r="AB632">
        <v>10</v>
      </c>
      <c r="AC632">
        <v>859</v>
      </c>
      <c r="AF632" s="2">
        <f t="shared" si="36"/>
        <v>0.01</v>
      </c>
      <c r="AG632">
        <f t="shared" si="37"/>
        <v>0.85899999999999999</v>
      </c>
      <c r="AH632">
        <f t="shared" si="38"/>
        <v>0.59570431457312989</v>
      </c>
      <c r="AI632">
        <f t="shared" si="39"/>
        <v>0.2632956854268701</v>
      </c>
    </row>
    <row r="633" spans="28:35" x14ac:dyDescent="0.35">
      <c r="AB633">
        <v>8</v>
      </c>
      <c r="AC633">
        <v>677</v>
      </c>
      <c r="AF633" s="2">
        <f t="shared" si="36"/>
        <v>8.0000000000000002E-3</v>
      </c>
      <c r="AG633">
        <f t="shared" si="37"/>
        <v>0.67700000000000005</v>
      </c>
      <c r="AH633">
        <f t="shared" si="38"/>
        <v>0.64565443316314119</v>
      </c>
      <c r="AI633">
        <f t="shared" si="39"/>
        <v>3.1345566836858851E-2</v>
      </c>
    </row>
    <row r="634" spans="28:35" x14ac:dyDescent="0.35">
      <c r="AB634">
        <v>14</v>
      </c>
      <c r="AC634">
        <v>462</v>
      </c>
      <c r="AF634" s="2">
        <f t="shared" si="36"/>
        <v>1.4E-2</v>
      </c>
      <c r="AG634">
        <f t="shared" si="37"/>
        <v>0.46200000000000002</v>
      </c>
      <c r="AH634">
        <f t="shared" si="38"/>
        <v>0.50709807539172602</v>
      </c>
      <c r="AI634">
        <f t="shared" si="39"/>
        <v>-4.5098075391726E-2</v>
      </c>
    </row>
    <row r="635" spans="28:35" x14ac:dyDescent="0.35">
      <c r="AB635">
        <v>10</v>
      </c>
      <c r="AC635">
        <v>843</v>
      </c>
      <c r="AF635" s="2">
        <f t="shared" si="36"/>
        <v>0.01</v>
      </c>
      <c r="AG635">
        <f t="shared" si="37"/>
        <v>0.84299999999999997</v>
      </c>
      <c r="AH635">
        <f t="shared" si="38"/>
        <v>0.59570431457312989</v>
      </c>
      <c r="AI635">
        <f t="shared" si="39"/>
        <v>0.24729568542687008</v>
      </c>
    </row>
    <row r="636" spans="28:35" x14ac:dyDescent="0.35">
      <c r="AB636">
        <v>15</v>
      </c>
      <c r="AC636">
        <v>360</v>
      </c>
      <c r="AF636" s="2">
        <f t="shared" si="36"/>
        <v>1.4999999999999999E-2</v>
      </c>
      <c r="AG636">
        <f t="shared" si="37"/>
        <v>0.36</v>
      </c>
      <c r="AH636">
        <f t="shared" si="38"/>
        <v>0.48708781615364399</v>
      </c>
      <c r="AI636">
        <f t="shared" si="39"/>
        <v>-0.12708781615364401</v>
      </c>
    </row>
    <row r="637" spans="28:35" x14ac:dyDescent="0.35">
      <c r="AB637">
        <v>8</v>
      </c>
      <c r="AC637">
        <v>680</v>
      </c>
      <c r="AF637" s="2">
        <f t="shared" si="36"/>
        <v>8.0000000000000002E-3</v>
      </c>
      <c r="AG637">
        <f t="shared" si="37"/>
        <v>0.68</v>
      </c>
      <c r="AH637">
        <f t="shared" si="38"/>
        <v>0.64565443316314119</v>
      </c>
      <c r="AI637">
        <f t="shared" si="39"/>
        <v>3.4345566836858854E-2</v>
      </c>
    </row>
    <row r="638" spans="28:35" x14ac:dyDescent="0.35">
      <c r="AB638">
        <v>7</v>
      </c>
      <c r="AC638">
        <v>766</v>
      </c>
      <c r="AF638" s="2">
        <f t="shared" si="36"/>
        <v>7.0000000000000001E-3</v>
      </c>
      <c r="AG638">
        <f t="shared" si="37"/>
        <v>0.76600000000000001</v>
      </c>
      <c r="AH638">
        <f t="shared" si="38"/>
        <v>0.67217883422049818</v>
      </c>
      <c r="AI638">
        <f t="shared" si="39"/>
        <v>9.3821165779501836E-2</v>
      </c>
    </row>
    <row r="639" spans="28:35" x14ac:dyDescent="0.35">
      <c r="AB639">
        <v>7</v>
      </c>
      <c r="AC639">
        <v>760</v>
      </c>
      <c r="AF639" s="2">
        <f t="shared" si="36"/>
        <v>7.0000000000000001E-3</v>
      </c>
      <c r="AG639">
        <f t="shared" si="37"/>
        <v>0.76</v>
      </c>
      <c r="AH639">
        <f t="shared" si="38"/>
        <v>0.67217883422049818</v>
      </c>
      <c r="AI639">
        <f t="shared" si="39"/>
        <v>8.7821165779501831E-2</v>
      </c>
    </row>
    <row r="640" spans="28:35" x14ac:dyDescent="0.35">
      <c r="AB640">
        <v>1</v>
      </c>
      <c r="AC640">
        <v>791</v>
      </c>
      <c r="AF640" s="2">
        <f t="shared" si="36"/>
        <v>1E-3</v>
      </c>
      <c r="AG640">
        <f t="shared" si="37"/>
        <v>0.79100000000000004</v>
      </c>
      <c r="AH640">
        <f t="shared" si="38"/>
        <v>0.85584084273568095</v>
      </c>
      <c r="AI640">
        <f t="shared" si="39"/>
        <v>-6.4840842735680915E-2</v>
      </c>
    </row>
    <row r="641" spans="28:35" x14ac:dyDescent="0.35">
      <c r="AB641">
        <v>4</v>
      </c>
      <c r="AC641">
        <v>792</v>
      </c>
      <c r="AF641" s="2">
        <f t="shared" si="36"/>
        <v>4.0000000000000001E-3</v>
      </c>
      <c r="AG641">
        <f t="shared" si="37"/>
        <v>0.79200000000000004</v>
      </c>
      <c r="AH641">
        <f t="shared" si="38"/>
        <v>0.75847089591385031</v>
      </c>
      <c r="AI641">
        <f t="shared" si="39"/>
        <v>3.352910408614973E-2</v>
      </c>
    </row>
    <row r="642" spans="28:35" x14ac:dyDescent="0.35">
      <c r="AB642">
        <v>0</v>
      </c>
      <c r="AC642">
        <v>994</v>
      </c>
      <c r="AF642" s="2">
        <f t="shared" si="36"/>
        <v>0</v>
      </c>
      <c r="AG642">
        <f t="shared" si="37"/>
        <v>0.99399999999999999</v>
      </c>
      <c r="AH642">
        <f t="shared" si="38"/>
        <v>0.89100000000000001</v>
      </c>
      <c r="AI642">
        <f t="shared" si="39"/>
        <v>0.10299999999999998</v>
      </c>
    </row>
    <row r="643" spans="28:35" x14ac:dyDescent="0.35">
      <c r="AB643">
        <v>0</v>
      </c>
      <c r="AC643">
        <v>998</v>
      </c>
      <c r="AF643" s="2">
        <f t="shared" si="36"/>
        <v>0</v>
      </c>
      <c r="AG643">
        <f t="shared" si="37"/>
        <v>0.998</v>
      </c>
      <c r="AH643">
        <f t="shared" si="38"/>
        <v>0.89100000000000001</v>
      </c>
      <c r="AI643">
        <f t="shared" si="39"/>
        <v>0.10699999999999998</v>
      </c>
    </row>
    <row r="644" spans="28:35" x14ac:dyDescent="0.35">
      <c r="AB644">
        <v>0</v>
      </c>
      <c r="AC644">
        <v>998</v>
      </c>
      <c r="AF644" s="2">
        <f t="shared" ref="AF644:AF707" si="40">AB644/1000</f>
        <v>0</v>
      </c>
      <c r="AG644">
        <f t="shared" ref="AG644:AG707" si="41">AC644/1000</f>
        <v>0.998</v>
      </c>
      <c r="AH644">
        <f t="shared" ref="AH644:AH707" si="42">0.891*EXP(-40.26*AF644)</f>
        <v>0.89100000000000001</v>
      </c>
      <c r="AI644">
        <f t="shared" ref="AI644:AI707" si="43">AG644-AH644</f>
        <v>0.10699999999999998</v>
      </c>
    </row>
    <row r="645" spans="28:35" x14ac:dyDescent="0.35">
      <c r="AB645">
        <v>0</v>
      </c>
      <c r="AC645">
        <v>999</v>
      </c>
      <c r="AF645" s="2">
        <f t="shared" si="40"/>
        <v>0</v>
      </c>
      <c r="AG645">
        <f t="shared" si="41"/>
        <v>0.999</v>
      </c>
      <c r="AH645">
        <f t="shared" si="42"/>
        <v>0.89100000000000001</v>
      </c>
      <c r="AI645">
        <f t="shared" si="43"/>
        <v>0.10799999999999998</v>
      </c>
    </row>
    <row r="646" spans="28:35" x14ac:dyDescent="0.35">
      <c r="AB646">
        <v>0</v>
      </c>
      <c r="AC646">
        <v>997</v>
      </c>
      <c r="AF646" s="2">
        <f t="shared" si="40"/>
        <v>0</v>
      </c>
      <c r="AG646">
        <f t="shared" si="41"/>
        <v>0.997</v>
      </c>
      <c r="AH646">
        <f t="shared" si="42"/>
        <v>0.89100000000000001</v>
      </c>
      <c r="AI646">
        <f t="shared" si="43"/>
        <v>0.10599999999999998</v>
      </c>
    </row>
    <row r="647" spans="28:35" x14ac:dyDescent="0.35">
      <c r="AB647">
        <v>2</v>
      </c>
      <c r="AC647">
        <v>783</v>
      </c>
      <c r="AF647" s="2">
        <f t="shared" si="40"/>
        <v>2E-3</v>
      </c>
      <c r="AG647">
        <f t="shared" si="41"/>
        <v>0.78300000000000003</v>
      </c>
      <c r="AH647">
        <f t="shared" si="42"/>
        <v>0.82206907754716119</v>
      </c>
      <c r="AI647">
        <f t="shared" si="43"/>
        <v>-3.9069077547161157E-2</v>
      </c>
    </row>
    <row r="648" spans="28:35" x14ac:dyDescent="0.35">
      <c r="AB648">
        <v>0</v>
      </c>
      <c r="AC648">
        <v>996</v>
      </c>
      <c r="AF648" s="2">
        <f t="shared" si="40"/>
        <v>0</v>
      </c>
      <c r="AG648">
        <f t="shared" si="41"/>
        <v>0.996</v>
      </c>
      <c r="AH648">
        <f t="shared" si="42"/>
        <v>0.89100000000000001</v>
      </c>
      <c r="AI648">
        <f t="shared" si="43"/>
        <v>0.10499999999999998</v>
      </c>
    </row>
    <row r="649" spans="28:35" x14ac:dyDescent="0.35">
      <c r="AB649">
        <v>1</v>
      </c>
      <c r="AC649">
        <v>794</v>
      </c>
      <c r="AF649" s="2">
        <f t="shared" si="40"/>
        <v>1E-3</v>
      </c>
      <c r="AG649">
        <f t="shared" si="41"/>
        <v>0.79400000000000004</v>
      </c>
      <c r="AH649">
        <f t="shared" si="42"/>
        <v>0.85584084273568095</v>
      </c>
      <c r="AI649">
        <f t="shared" si="43"/>
        <v>-6.1840842735680912E-2</v>
      </c>
    </row>
    <row r="650" spans="28:35" x14ac:dyDescent="0.35">
      <c r="AB650">
        <v>2</v>
      </c>
      <c r="AC650">
        <v>788</v>
      </c>
      <c r="AF650" s="2">
        <f t="shared" si="40"/>
        <v>2E-3</v>
      </c>
      <c r="AG650">
        <f t="shared" si="41"/>
        <v>0.78800000000000003</v>
      </c>
      <c r="AH650">
        <f t="shared" si="42"/>
        <v>0.82206907754716119</v>
      </c>
      <c r="AI650">
        <f t="shared" si="43"/>
        <v>-3.4069077547161153E-2</v>
      </c>
    </row>
    <row r="651" spans="28:35" x14ac:dyDescent="0.35">
      <c r="AB651">
        <v>1</v>
      </c>
      <c r="AC651">
        <v>808</v>
      </c>
      <c r="AF651" s="2">
        <f t="shared" si="40"/>
        <v>1E-3</v>
      </c>
      <c r="AG651">
        <f t="shared" si="41"/>
        <v>0.80800000000000005</v>
      </c>
      <c r="AH651">
        <f t="shared" si="42"/>
        <v>0.85584084273568095</v>
      </c>
      <c r="AI651">
        <f t="shared" si="43"/>
        <v>-4.78408427356809E-2</v>
      </c>
    </row>
    <row r="652" spans="28:35" x14ac:dyDescent="0.35">
      <c r="AB652">
        <v>5</v>
      </c>
      <c r="AC652">
        <v>537</v>
      </c>
      <c r="AF652" s="2">
        <f t="shared" si="40"/>
        <v>5.0000000000000001E-3</v>
      </c>
      <c r="AG652">
        <f t="shared" si="41"/>
        <v>0.53700000000000003</v>
      </c>
      <c r="AH652">
        <f t="shared" si="42"/>
        <v>0.72854138131245416</v>
      </c>
      <c r="AI652">
        <f t="shared" si="43"/>
        <v>-0.19154138131245413</v>
      </c>
    </row>
    <row r="653" spans="28:35" x14ac:dyDescent="0.35">
      <c r="AB653">
        <v>2</v>
      </c>
      <c r="AC653">
        <v>782</v>
      </c>
      <c r="AF653" s="2">
        <f t="shared" si="40"/>
        <v>2E-3</v>
      </c>
      <c r="AG653">
        <f t="shared" si="41"/>
        <v>0.78200000000000003</v>
      </c>
      <c r="AH653">
        <f t="shared" si="42"/>
        <v>0.82206907754716119</v>
      </c>
      <c r="AI653">
        <f t="shared" si="43"/>
        <v>-4.0069077547161158E-2</v>
      </c>
    </row>
    <row r="654" spans="28:35" x14ac:dyDescent="0.35">
      <c r="AB654">
        <v>0</v>
      </c>
      <c r="AC654">
        <v>995</v>
      </c>
      <c r="AF654" s="2">
        <f t="shared" si="40"/>
        <v>0</v>
      </c>
      <c r="AG654">
        <f t="shared" si="41"/>
        <v>0.995</v>
      </c>
      <c r="AH654">
        <f t="shared" si="42"/>
        <v>0.89100000000000001</v>
      </c>
      <c r="AI654">
        <f t="shared" si="43"/>
        <v>0.10399999999999998</v>
      </c>
    </row>
    <row r="655" spans="28:35" x14ac:dyDescent="0.35">
      <c r="AB655">
        <v>2</v>
      </c>
      <c r="AC655">
        <v>788</v>
      </c>
      <c r="AF655" s="2">
        <f t="shared" si="40"/>
        <v>2E-3</v>
      </c>
      <c r="AG655">
        <f t="shared" si="41"/>
        <v>0.78800000000000003</v>
      </c>
      <c r="AH655">
        <f t="shared" si="42"/>
        <v>0.82206907754716119</v>
      </c>
      <c r="AI655">
        <f t="shared" si="43"/>
        <v>-3.4069077547161153E-2</v>
      </c>
    </row>
    <row r="656" spans="28:35" x14ac:dyDescent="0.35">
      <c r="AB656">
        <v>0</v>
      </c>
      <c r="AC656">
        <v>998</v>
      </c>
      <c r="AF656" s="2">
        <f t="shared" si="40"/>
        <v>0</v>
      </c>
      <c r="AG656">
        <f t="shared" si="41"/>
        <v>0.998</v>
      </c>
      <c r="AH656">
        <f t="shared" si="42"/>
        <v>0.89100000000000001</v>
      </c>
      <c r="AI656">
        <f t="shared" si="43"/>
        <v>0.10699999999999998</v>
      </c>
    </row>
    <row r="657" spans="28:35" x14ac:dyDescent="0.35">
      <c r="AB657">
        <v>2</v>
      </c>
      <c r="AC657">
        <v>776</v>
      </c>
      <c r="AF657" s="2">
        <f t="shared" si="40"/>
        <v>2E-3</v>
      </c>
      <c r="AG657">
        <f t="shared" si="41"/>
        <v>0.77600000000000002</v>
      </c>
      <c r="AH657">
        <f t="shared" si="42"/>
        <v>0.82206907754716119</v>
      </c>
      <c r="AI657">
        <f t="shared" si="43"/>
        <v>-4.6069077547161164E-2</v>
      </c>
    </row>
    <row r="658" spans="28:35" x14ac:dyDescent="0.35">
      <c r="AB658">
        <v>8</v>
      </c>
      <c r="AC658">
        <v>709</v>
      </c>
      <c r="AF658" s="2">
        <f t="shared" si="40"/>
        <v>8.0000000000000002E-3</v>
      </c>
      <c r="AG658">
        <f t="shared" si="41"/>
        <v>0.70899999999999996</v>
      </c>
      <c r="AH658">
        <f t="shared" si="42"/>
        <v>0.64565443316314119</v>
      </c>
      <c r="AI658">
        <f t="shared" si="43"/>
        <v>6.3345566836858769E-2</v>
      </c>
    </row>
    <row r="659" spans="28:35" x14ac:dyDescent="0.35">
      <c r="AB659">
        <v>3</v>
      </c>
      <c r="AC659">
        <v>761</v>
      </c>
      <c r="AF659" s="2">
        <f t="shared" si="40"/>
        <v>3.0000000000000001E-3</v>
      </c>
      <c r="AG659">
        <f t="shared" si="41"/>
        <v>0.76100000000000001</v>
      </c>
      <c r="AH659">
        <f t="shared" si="42"/>
        <v>0.78962995748025411</v>
      </c>
      <c r="AI659">
        <f t="shared" si="43"/>
        <v>-2.8629957480254098E-2</v>
      </c>
    </row>
    <row r="660" spans="28:35" x14ac:dyDescent="0.35">
      <c r="AB660">
        <v>14</v>
      </c>
      <c r="AC660">
        <v>466</v>
      </c>
      <c r="AF660" s="2">
        <f t="shared" si="40"/>
        <v>1.4E-2</v>
      </c>
      <c r="AG660">
        <f t="shared" si="41"/>
        <v>0.46600000000000003</v>
      </c>
      <c r="AH660">
        <f t="shared" si="42"/>
        <v>0.50709807539172602</v>
      </c>
      <c r="AI660">
        <f t="shared" si="43"/>
        <v>-4.1098075391725997E-2</v>
      </c>
    </row>
    <row r="661" spans="28:35" x14ac:dyDescent="0.35">
      <c r="AB661">
        <v>6</v>
      </c>
      <c r="AC661">
        <v>729</v>
      </c>
      <c r="AF661" s="2">
        <f t="shared" si="40"/>
        <v>6.0000000000000001E-3</v>
      </c>
      <c r="AG661">
        <f t="shared" si="41"/>
        <v>0.72899999999999998</v>
      </c>
      <c r="AH661">
        <f t="shared" si="42"/>
        <v>0.69979289534261269</v>
      </c>
      <c r="AI661">
        <f t="shared" si="43"/>
        <v>2.9207104657387295E-2</v>
      </c>
    </row>
    <row r="662" spans="28:35" x14ac:dyDescent="0.35">
      <c r="AB662">
        <v>1</v>
      </c>
      <c r="AC662">
        <v>787</v>
      </c>
      <c r="AF662" s="2">
        <f t="shared" si="40"/>
        <v>1E-3</v>
      </c>
      <c r="AG662">
        <f t="shared" si="41"/>
        <v>0.78700000000000003</v>
      </c>
      <c r="AH662">
        <f t="shared" si="42"/>
        <v>0.85584084273568095</v>
      </c>
      <c r="AI662">
        <f t="shared" si="43"/>
        <v>-6.8840842735680918E-2</v>
      </c>
    </row>
    <row r="663" spans="28:35" x14ac:dyDescent="0.35">
      <c r="AB663">
        <v>4</v>
      </c>
      <c r="AC663">
        <v>791</v>
      </c>
      <c r="AF663" s="2">
        <f t="shared" si="40"/>
        <v>4.0000000000000001E-3</v>
      </c>
      <c r="AG663">
        <f t="shared" si="41"/>
        <v>0.79100000000000004</v>
      </c>
      <c r="AH663">
        <f t="shared" si="42"/>
        <v>0.75847089591385031</v>
      </c>
      <c r="AI663">
        <f t="shared" si="43"/>
        <v>3.2529104086149729E-2</v>
      </c>
    </row>
    <row r="664" spans="28:35" x14ac:dyDescent="0.35">
      <c r="AB664">
        <v>1</v>
      </c>
      <c r="AC664">
        <v>801</v>
      </c>
      <c r="AF664" s="2">
        <f t="shared" si="40"/>
        <v>1E-3</v>
      </c>
      <c r="AG664">
        <f t="shared" si="41"/>
        <v>0.80100000000000005</v>
      </c>
      <c r="AH664">
        <f t="shared" si="42"/>
        <v>0.85584084273568095</v>
      </c>
      <c r="AI664">
        <f t="shared" si="43"/>
        <v>-5.4840842735680906E-2</v>
      </c>
    </row>
    <row r="665" spans="28:35" x14ac:dyDescent="0.35">
      <c r="AB665">
        <v>1</v>
      </c>
      <c r="AC665">
        <v>799</v>
      </c>
      <c r="AF665" s="2">
        <f t="shared" si="40"/>
        <v>1E-3</v>
      </c>
      <c r="AG665">
        <f t="shared" si="41"/>
        <v>0.79900000000000004</v>
      </c>
      <c r="AH665">
        <f t="shared" si="42"/>
        <v>0.85584084273568095</v>
      </c>
      <c r="AI665">
        <f t="shared" si="43"/>
        <v>-5.6840842735680908E-2</v>
      </c>
    </row>
    <row r="666" spans="28:35" x14ac:dyDescent="0.35">
      <c r="AB666">
        <v>0</v>
      </c>
      <c r="AC666">
        <v>997</v>
      </c>
      <c r="AF666" s="2">
        <f t="shared" si="40"/>
        <v>0</v>
      </c>
      <c r="AG666">
        <f t="shared" si="41"/>
        <v>0.997</v>
      </c>
      <c r="AH666">
        <f t="shared" si="42"/>
        <v>0.89100000000000001</v>
      </c>
      <c r="AI666">
        <f t="shared" si="43"/>
        <v>0.10599999999999998</v>
      </c>
    </row>
    <row r="667" spans="28:35" x14ac:dyDescent="0.35">
      <c r="AB667">
        <v>1</v>
      </c>
      <c r="AC667">
        <v>807</v>
      </c>
      <c r="AF667" s="2">
        <f t="shared" si="40"/>
        <v>1E-3</v>
      </c>
      <c r="AG667">
        <f t="shared" si="41"/>
        <v>0.80700000000000005</v>
      </c>
      <c r="AH667">
        <f t="shared" si="42"/>
        <v>0.85584084273568095</v>
      </c>
      <c r="AI667">
        <f t="shared" si="43"/>
        <v>-4.8840842735680901E-2</v>
      </c>
    </row>
    <row r="668" spans="28:35" x14ac:dyDescent="0.35">
      <c r="AB668">
        <v>1</v>
      </c>
      <c r="AC668">
        <v>807</v>
      </c>
      <c r="AF668" s="2">
        <f t="shared" si="40"/>
        <v>1E-3</v>
      </c>
      <c r="AG668">
        <f t="shared" si="41"/>
        <v>0.80700000000000005</v>
      </c>
      <c r="AH668">
        <f t="shared" si="42"/>
        <v>0.85584084273568095</v>
      </c>
      <c r="AI668">
        <f t="shared" si="43"/>
        <v>-4.8840842735680901E-2</v>
      </c>
    </row>
    <row r="669" spans="28:35" x14ac:dyDescent="0.35">
      <c r="AB669">
        <v>0</v>
      </c>
      <c r="AC669">
        <v>996</v>
      </c>
      <c r="AF669" s="2">
        <f t="shared" si="40"/>
        <v>0</v>
      </c>
      <c r="AG669">
        <f t="shared" si="41"/>
        <v>0.996</v>
      </c>
      <c r="AH669">
        <f t="shared" si="42"/>
        <v>0.89100000000000001</v>
      </c>
      <c r="AI669">
        <f t="shared" si="43"/>
        <v>0.10499999999999998</v>
      </c>
    </row>
    <row r="670" spans="28:35" x14ac:dyDescent="0.35">
      <c r="AB670">
        <v>2</v>
      </c>
      <c r="AC670">
        <v>792</v>
      </c>
      <c r="AF670" s="2">
        <f t="shared" si="40"/>
        <v>2E-3</v>
      </c>
      <c r="AG670">
        <f t="shared" si="41"/>
        <v>0.79200000000000004</v>
      </c>
      <c r="AH670">
        <f t="shared" si="42"/>
        <v>0.82206907754716119</v>
      </c>
      <c r="AI670">
        <f t="shared" si="43"/>
        <v>-3.0069077547161149E-2</v>
      </c>
    </row>
    <row r="671" spans="28:35" x14ac:dyDescent="0.35">
      <c r="AB671">
        <v>1</v>
      </c>
      <c r="AC671">
        <v>809</v>
      </c>
      <c r="AF671" s="2">
        <f t="shared" si="40"/>
        <v>1E-3</v>
      </c>
      <c r="AG671">
        <f t="shared" si="41"/>
        <v>0.80900000000000005</v>
      </c>
      <c r="AH671">
        <f t="shared" si="42"/>
        <v>0.85584084273568095</v>
      </c>
      <c r="AI671">
        <f t="shared" si="43"/>
        <v>-4.6840842735680899E-2</v>
      </c>
    </row>
    <row r="672" spans="28:35" x14ac:dyDescent="0.35">
      <c r="AB672">
        <v>0</v>
      </c>
      <c r="AC672">
        <v>996</v>
      </c>
      <c r="AF672" s="2">
        <f t="shared" si="40"/>
        <v>0</v>
      </c>
      <c r="AG672">
        <f t="shared" si="41"/>
        <v>0.996</v>
      </c>
      <c r="AH672">
        <f t="shared" si="42"/>
        <v>0.89100000000000001</v>
      </c>
      <c r="AI672">
        <f t="shared" si="43"/>
        <v>0.10499999999999998</v>
      </c>
    </row>
    <row r="673" spans="28:35" x14ac:dyDescent="0.35">
      <c r="AB673">
        <v>8</v>
      </c>
      <c r="AC673">
        <v>695</v>
      </c>
      <c r="AF673" s="2">
        <f t="shared" si="40"/>
        <v>8.0000000000000002E-3</v>
      </c>
      <c r="AG673">
        <f t="shared" si="41"/>
        <v>0.69499999999999995</v>
      </c>
      <c r="AH673">
        <f t="shared" si="42"/>
        <v>0.64565443316314119</v>
      </c>
      <c r="AI673">
        <f t="shared" si="43"/>
        <v>4.9345566836858756E-2</v>
      </c>
    </row>
    <row r="674" spans="28:35" x14ac:dyDescent="0.35">
      <c r="AB674">
        <v>1</v>
      </c>
      <c r="AC674">
        <v>814</v>
      </c>
      <c r="AF674" s="2">
        <f t="shared" si="40"/>
        <v>1E-3</v>
      </c>
      <c r="AG674">
        <f t="shared" si="41"/>
        <v>0.81399999999999995</v>
      </c>
      <c r="AH674">
        <f t="shared" si="42"/>
        <v>0.85584084273568095</v>
      </c>
      <c r="AI674">
        <f t="shared" si="43"/>
        <v>-4.1840842735681005E-2</v>
      </c>
    </row>
    <row r="675" spans="28:35" x14ac:dyDescent="0.35">
      <c r="AB675">
        <v>2</v>
      </c>
      <c r="AC675">
        <v>785</v>
      </c>
      <c r="AF675" s="2">
        <f t="shared" si="40"/>
        <v>2E-3</v>
      </c>
      <c r="AG675">
        <f t="shared" si="41"/>
        <v>0.78500000000000003</v>
      </c>
      <c r="AH675">
        <f t="shared" si="42"/>
        <v>0.82206907754716119</v>
      </c>
      <c r="AI675">
        <f t="shared" si="43"/>
        <v>-3.7069077547161156E-2</v>
      </c>
    </row>
    <row r="676" spans="28:35" x14ac:dyDescent="0.35">
      <c r="AB676">
        <v>7</v>
      </c>
      <c r="AC676">
        <v>774</v>
      </c>
      <c r="AF676" s="2">
        <f t="shared" si="40"/>
        <v>7.0000000000000001E-3</v>
      </c>
      <c r="AG676">
        <f t="shared" si="41"/>
        <v>0.77400000000000002</v>
      </c>
      <c r="AH676">
        <f t="shared" si="42"/>
        <v>0.67217883422049818</v>
      </c>
      <c r="AI676">
        <f t="shared" si="43"/>
        <v>0.10182116577950184</v>
      </c>
    </row>
    <row r="677" spans="28:35" x14ac:dyDescent="0.35">
      <c r="AB677">
        <v>4</v>
      </c>
      <c r="AC677">
        <v>796</v>
      </c>
      <c r="AF677" s="2">
        <f t="shared" si="40"/>
        <v>4.0000000000000001E-3</v>
      </c>
      <c r="AG677">
        <f t="shared" si="41"/>
        <v>0.79600000000000004</v>
      </c>
      <c r="AH677">
        <f t="shared" si="42"/>
        <v>0.75847089591385031</v>
      </c>
      <c r="AI677">
        <f t="shared" si="43"/>
        <v>3.7529104086149734E-2</v>
      </c>
    </row>
    <row r="678" spans="28:35" x14ac:dyDescent="0.35">
      <c r="AB678">
        <v>2</v>
      </c>
      <c r="AC678">
        <v>783</v>
      </c>
      <c r="AF678" s="2">
        <f t="shared" si="40"/>
        <v>2E-3</v>
      </c>
      <c r="AG678">
        <f t="shared" si="41"/>
        <v>0.78300000000000003</v>
      </c>
      <c r="AH678">
        <f t="shared" si="42"/>
        <v>0.82206907754716119</v>
      </c>
      <c r="AI678">
        <f t="shared" si="43"/>
        <v>-3.9069077547161157E-2</v>
      </c>
    </row>
    <row r="679" spans="28:35" x14ac:dyDescent="0.35">
      <c r="AB679">
        <v>1</v>
      </c>
      <c r="AC679">
        <v>802</v>
      </c>
      <c r="AF679" s="2">
        <f t="shared" si="40"/>
        <v>1E-3</v>
      </c>
      <c r="AG679">
        <f t="shared" si="41"/>
        <v>0.80200000000000005</v>
      </c>
      <c r="AH679">
        <f t="shared" si="42"/>
        <v>0.85584084273568095</v>
      </c>
      <c r="AI679">
        <f t="shared" si="43"/>
        <v>-5.3840842735680905E-2</v>
      </c>
    </row>
    <row r="680" spans="28:35" x14ac:dyDescent="0.35">
      <c r="AB680">
        <v>4</v>
      </c>
      <c r="AC680">
        <v>787</v>
      </c>
      <c r="AF680" s="2">
        <f t="shared" si="40"/>
        <v>4.0000000000000001E-3</v>
      </c>
      <c r="AG680">
        <f t="shared" si="41"/>
        <v>0.78700000000000003</v>
      </c>
      <c r="AH680">
        <f t="shared" si="42"/>
        <v>0.75847089591385031</v>
      </c>
      <c r="AI680">
        <f t="shared" si="43"/>
        <v>2.8529104086149726E-2</v>
      </c>
    </row>
    <row r="681" spans="28:35" x14ac:dyDescent="0.35">
      <c r="AB681">
        <v>1</v>
      </c>
      <c r="AC681">
        <v>801</v>
      </c>
      <c r="AF681" s="2">
        <f t="shared" si="40"/>
        <v>1E-3</v>
      </c>
      <c r="AG681">
        <f t="shared" si="41"/>
        <v>0.80100000000000005</v>
      </c>
      <c r="AH681">
        <f t="shared" si="42"/>
        <v>0.85584084273568095</v>
      </c>
      <c r="AI681">
        <f t="shared" si="43"/>
        <v>-5.4840842735680906E-2</v>
      </c>
    </row>
    <row r="682" spans="28:35" x14ac:dyDescent="0.35">
      <c r="AB682">
        <v>2</v>
      </c>
      <c r="AC682">
        <v>786</v>
      </c>
      <c r="AF682" s="2">
        <f t="shared" si="40"/>
        <v>2E-3</v>
      </c>
      <c r="AG682">
        <f t="shared" si="41"/>
        <v>0.78600000000000003</v>
      </c>
      <c r="AH682">
        <f t="shared" si="42"/>
        <v>0.82206907754716119</v>
      </c>
      <c r="AI682">
        <f t="shared" si="43"/>
        <v>-3.6069077547161155E-2</v>
      </c>
    </row>
    <row r="683" spans="28:35" x14ac:dyDescent="0.35">
      <c r="AB683">
        <v>1</v>
      </c>
      <c r="AC683">
        <v>805</v>
      </c>
      <c r="AF683" s="2">
        <f t="shared" si="40"/>
        <v>1E-3</v>
      </c>
      <c r="AG683">
        <f t="shared" si="41"/>
        <v>0.80500000000000005</v>
      </c>
      <c r="AH683">
        <f t="shared" si="42"/>
        <v>0.85584084273568095</v>
      </c>
      <c r="AI683">
        <f t="shared" si="43"/>
        <v>-5.0840842735680902E-2</v>
      </c>
    </row>
    <row r="684" spans="28:35" x14ac:dyDescent="0.35">
      <c r="AB684">
        <v>0</v>
      </c>
      <c r="AC684">
        <v>997</v>
      </c>
      <c r="AF684" s="2">
        <f t="shared" si="40"/>
        <v>0</v>
      </c>
      <c r="AG684">
        <f t="shared" si="41"/>
        <v>0.997</v>
      </c>
      <c r="AH684">
        <f t="shared" si="42"/>
        <v>0.89100000000000001</v>
      </c>
      <c r="AI684">
        <f t="shared" si="43"/>
        <v>0.10599999999999998</v>
      </c>
    </row>
    <row r="685" spans="28:35" x14ac:dyDescent="0.35">
      <c r="AB685">
        <v>0</v>
      </c>
      <c r="AC685">
        <v>999</v>
      </c>
      <c r="AF685" s="2">
        <f t="shared" si="40"/>
        <v>0</v>
      </c>
      <c r="AG685">
        <f t="shared" si="41"/>
        <v>0.999</v>
      </c>
      <c r="AH685">
        <f t="shared" si="42"/>
        <v>0.89100000000000001</v>
      </c>
      <c r="AI685">
        <f t="shared" si="43"/>
        <v>0.10799999999999998</v>
      </c>
    </row>
    <row r="686" spans="28:35" x14ac:dyDescent="0.35">
      <c r="AB686">
        <v>0</v>
      </c>
      <c r="AC686">
        <v>1000</v>
      </c>
      <c r="AF686" s="2">
        <f t="shared" si="40"/>
        <v>0</v>
      </c>
      <c r="AG686">
        <f t="shared" si="41"/>
        <v>1</v>
      </c>
      <c r="AH686">
        <f t="shared" si="42"/>
        <v>0.89100000000000001</v>
      </c>
      <c r="AI686">
        <f t="shared" si="43"/>
        <v>0.10899999999999999</v>
      </c>
    </row>
    <row r="687" spans="28:35" x14ac:dyDescent="0.35">
      <c r="AB687">
        <v>0</v>
      </c>
      <c r="AC687">
        <v>998</v>
      </c>
      <c r="AF687" s="2">
        <f t="shared" si="40"/>
        <v>0</v>
      </c>
      <c r="AG687">
        <f t="shared" si="41"/>
        <v>0.998</v>
      </c>
      <c r="AH687">
        <f t="shared" si="42"/>
        <v>0.89100000000000001</v>
      </c>
      <c r="AI687">
        <f t="shared" si="43"/>
        <v>0.10699999999999998</v>
      </c>
    </row>
    <row r="688" spans="28:35" x14ac:dyDescent="0.35">
      <c r="AB688">
        <v>2</v>
      </c>
      <c r="AC688">
        <v>789</v>
      </c>
      <c r="AF688" s="2">
        <f t="shared" si="40"/>
        <v>2E-3</v>
      </c>
      <c r="AG688">
        <f t="shared" si="41"/>
        <v>0.78900000000000003</v>
      </c>
      <c r="AH688">
        <f t="shared" si="42"/>
        <v>0.82206907754716119</v>
      </c>
      <c r="AI688">
        <f t="shared" si="43"/>
        <v>-3.3069077547161152E-2</v>
      </c>
    </row>
    <row r="689" spans="28:35" x14ac:dyDescent="0.35">
      <c r="AB689">
        <v>1</v>
      </c>
      <c r="AC689">
        <v>811</v>
      </c>
      <c r="AF689" s="2">
        <f t="shared" si="40"/>
        <v>1E-3</v>
      </c>
      <c r="AG689">
        <f t="shared" si="41"/>
        <v>0.81100000000000005</v>
      </c>
      <c r="AH689">
        <f t="shared" si="42"/>
        <v>0.85584084273568095</v>
      </c>
      <c r="AI689">
        <f t="shared" si="43"/>
        <v>-4.4840842735680897E-2</v>
      </c>
    </row>
    <row r="690" spans="28:35" x14ac:dyDescent="0.35">
      <c r="AB690">
        <v>1</v>
      </c>
      <c r="AC690">
        <v>807</v>
      </c>
      <c r="AF690" s="2">
        <f t="shared" si="40"/>
        <v>1E-3</v>
      </c>
      <c r="AG690">
        <f t="shared" si="41"/>
        <v>0.80700000000000005</v>
      </c>
      <c r="AH690">
        <f t="shared" si="42"/>
        <v>0.85584084273568095</v>
      </c>
      <c r="AI690">
        <f t="shared" si="43"/>
        <v>-4.8840842735680901E-2</v>
      </c>
    </row>
    <row r="691" spans="28:35" x14ac:dyDescent="0.35">
      <c r="AB691">
        <v>1</v>
      </c>
      <c r="AC691">
        <v>799</v>
      </c>
      <c r="AF691" s="2">
        <f t="shared" si="40"/>
        <v>1E-3</v>
      </c>
      <c r="AG691">
        <f t="shared" si="41"/>
        <v>0.79900000000000004</v>
      </c>
      <c r="AH691">
        <f t="shared" si="42"/>
        <v>0.85584084273568095</v>
      </c>
      <c r="AI691">
        <f t="shared" si="43"/>
        <v>-5.6840842735680908E-2</v>
      </c>
    </row>
    <row r="692" spans="28:35" x14ac:dyDescent="0.35">
      <c r="AB692">
        <v>1</v>
      </c>
      <c r="AC692">
        <v>803</v>
      </c>
      <c r="AF692" s="2">
        <f t="shared" si="40"/>
        <v>1E-3</v>
      </c>
      <c r="AG692">
        <f t="shared" si="41"/>
        <v>0.80300000000000005</v>
      </c>
      <c r="AH692">
        <f t="shared" si="42"/>
        <v>0.85584084273568095</v>
      </c>
      <c r="AI692">
        <f t="shared" si="43"/>
        <v>-5.2840842735680904E-2</v>
      </c>
    </row>
    <row r="693" spans="28:35" x14ac:dyDescent="0.35">
      <c r="AB693">
        <v>0</v>
      </c>
      <c r="AC693">
        <v>997</v>
      </c>
      <c r="AF693" s="2">
        <f t="shared" si="40"/>
        <v>0</v>
      </c>
      <c r="AG693">
        <f t="shared" si="41"/>
        <v>0.997</v>
      </c>
      <c r="AH693">
        <f t="shared" si="42"/>
        <v>0.89100000000000001</v>
      </c>
      <c r="AI693">
        <f t="shared" si="43"/>
        <v>0.10599999999999998</v>
      </c>
    </row>
    <row r="694" spans="28:35" x14ac:dyDescent="0.35">
      <c r="AB694">
        <v>0</v>
      </c>
      <c r="AC694">
        <v>999</v>
      </c>
      <c r="AF694" s="2">
        <f t="shared" si="40"/>
        <v>0</v>
      </c>
      <c r="AG694">
        <f t="shared" si="41"/>
        <v>0.999</v>
      </c>
      <c r="AH694">
        <f t="shared" si="42"/>
        <v>0.89100000000000001</v>
      </c>
      <c r="AI694">
        <f t="shared" si="43"/>
        <v>0.10799999999999998</v>
      </c>
    </row>
    <row r="695" spans="28:35" x14ac:dyDescent="0.35">
      <c r="AB695" cm="1">
        <f t="array" ref="AB695:AB891">J3:J199</f>
        <v>0</v>
      </c>
      <c r="AC695" cm="1">
        <f t="array" ref="AC695:AC891">W4:W200</f>
        <v>996</v>
      </c>
      <c r="AF695" s="2">
        <f t="shared" si="40"/>
        <v>0</v>
      </c>
      <c r="AG695">
        <f t="shared" si="41"/>
        <v>0.996</v>
      </c>
      <c r="AH695">
        <f t="shared" si="42"/>
        <v>0.89100000000000001</v>
      </c>
      <c r="AI695">
        <f t="shared" si="43"/>
        <v>0.10499999999999998</v>
      </c>
    </row>
    <row r="696" spans="28:35" x14ac:dyDescent="0.35">
      <c r="AB696">
        <v>0</v>
      </c>
      <c r="AC696">
        <v>997</v>
      </c>
      <c r="AF696" s="2">
        <f t="shared" si="40"/>
        <v>0</v>
      </c>
      <c r="AG696">
        <f t="shared" si="41"/>
        <v>0.997</v>
      </c>
      <c r="AH696">
        <f t="shared" si="42"/>
        <v>0.89100000000000001</v>
      </c>
      <c r="AI696">
        <f t="shared" si="43"/>
        <v>0.10599999999999998</v>
      </c>
    </row>
    <row r="697" spans="28:35" x14ac:dyDescent="0.35">
      <c r="AB697">
        <v>0</v>
      </c>
      <c r="AC697">
        <v>995</v>
      </c>
      <c r="AF697" s="2">
        <f t="shared" si="40"/>
        <v>0</v>
      </c>
      <c r="AG697">
        <f t="shared" si="41"/>
        <v>0.995</v>
      </c>
      <c r="AH697">
        <f t="shared" si="42"/>
        <v>0.89100000000000001</v>
      </c>
      <c r="AI697">
        <f t="shared" si="43"/>
        <v>0.10399999999999998</v>
      </c>
    </row>
    <row r="698" spans="28:35" x14ac:dyDescent="0.35">
      <c r="AB698">
        <v>2</v>
      </c>
      <c r="AC698">
        <v>783</v>
      </c>
      <c r="AF698" s="2">
        <f t="shared" si="40"/>
        <v>2E-3</v>
      </c>
      <c r="AG698">
        <f t="shared" si="41"/>
        <v>0.78300000000000003</v>
      </c>
      <c r="AH698">
        <f t="shared" si="42"/>
        <v>0.82206907754716119</v>
      </c>
      <c r="AI698">
        <f t="shared" si="43"/>
        <v>-3.9069077547161157E-2</v>
      </c>
    </row>
    <row r="699" spans="28:35" x14ac:dyDescent="0.35">
      <c r="AB699">
        <v>3</v>
      </c>
      <c r="AC699">
        <v>772</v>
      </c>
      <c r="AF699" s="2">
        <f t="shared" si="40"/>
        <v>3.0000000000000001E-3</v>
      </c>
      <c r="AG699">
        <f t="shared" si="41"/>
        <v>0.77200000000000002</v>
      </c>
      <c r="AH699">
        <f t="shared" si="42"/>
        <v>0.78962995748025411</v>
      </c>
      <c r="AI699">
        <f t="shared" si="43"/>
        <v>-1.7629957480254088E-2</v>
      </c>
    </row>
    <row r="700" spans="28:35" x14ac:dyDescent="0.35">
      <c r="AB700">
        <v>2</v>
      </c>
      <c r="AC700">
        <v>778</v>
      </c>
      <c r="AF700" s="2">
        <f t="shared" si="40"/>
        <v>2E-3</v>
      </c>
      <c r="AG700">
        <f t="shared" si="41"/>
        <v>0.77800000000000002</v>
      </c>
      <c r="AH700">
        <f t="shared" si="42"/>
        <v>0.82206907754716119</v>
      </c>
      <c r="AI700">
        <f t="shared" si="43"/>
        <v>-4.4069077547161162E-2</v>
      </c>
    </row>
    <row r="701" spans="28:35" x14ac:dyDescent="0.35">
      <c r="AB701">
        <v>5</v>
      </c>
      <c r="AC701">
        <v>571</v>
      </c>
      <c r="AF701" s="2">
        <f t="shared" si="40"/>
        <v>5.0000000000000001E-3</v>
      </c>
      <c r="AG701">
        <f t="shared" si="41"/>
        <v>0.57099999999999995</v>
      </c>
      <c r="AH701">
        <f t="shared" si="42"/>
        <v>0.72854138131245416</v>
      </c>
      <c r="AI701">
        <f t="shared" si="43"/>
        <v>-0.15754138131245421</v>
      </c>
    </row>
    <row r="702" spans="28:35" x14ac:dyDescent="0.35">
      <c r="AB702">
        <v>1</v>
      </c>
      <c r="AC702">
        <v>788</v>
      </c>
      <c r="AF702" s="2">
        <f t="shared" si="40"/>
        <v>1E-3</v>
      </c>
      <c r="AG702">
        <f t="shared" si="41"/>
        <v>0.78800000000000003</v>
      </c>
      <c r="AH702">
        <f t="shared" si="42"/>
        <v>0.85584084273568095</v>
      </c>
      <c r="AI702">
        <f t="shared" si="43"/>
        <v>-6.7840842735680917E-2</v>
      </c>
    </row>
    <row r="703" spans="28:35" x14ac:dyDescent="0.35">
      <c r="AB703">
        <v>4</v>
      </c>
      <c r="AC703">
        <v>804</v>
      </c>
      <c r="AF703" s="2">
        <f t="shared" si="40"/>
        <v>4.0000000000000001E-3</v>
      </c>
      <c r="AG703">
        <f t="shared" si="41"/>
        <v>0.80400000000000005</v>
      </c>
      <c r="AH703">
        <f t="shared" si="42"/>
        <v>0.75847089591385031</v>
      </c>
      <c r="AI703">
        <f t="shared" si="43"/>
        <v>4.5529104086149741E-2</v>
      </c>
    </row>
    <row r="704" spans="28:35" x14ac:dyDescent="0.35">
      <c r="AB704">
        <v>3</v>
      </c>
      <c r="AC704">
        <v>757</v>
      </c>
      <c r="AF704" s="2">
        <f t="shared" si="40"/>
        <v>3.0000000000000001E-3</v>
      </c>
      <c r="AG704">
        <f t="shared" si="41"/>
        <v>0.75700000000000001</v>
      </c>
      <c r="AH704">
        <f t="shared" si="42"/>
        <v>0.78962995748025411</v>
      </c>
      <c r="AI704">
        <f t="shared" si="43"/>
        <v>-3.2629957480254101E-2</v>
      </c>
    </row>
    <row r="705" spans="28:35" x14ac:dyDescent="0.35">
      <c r="AB705">
        <v>3</v>
      </c>
      <c r="AC705">
        <v>756</v>
      </c>
      <c r="AF705" s="2">
        <f t="shared" si="40"/>
        <v>3.0000000000000001E-3</v>
      </c>
      <c r="AG705">
        <f t="shared" si="41"/>
        <v>0.75600000000000001</v>
      </c>
      <c r="AH705">
        <f t="shared" si="42"/>
        <v>0.78962995748025411</v>
      </c>
      <c r="AI705">
        <f t="shared" si="43"/>
        <v>-3.3629957480254102E-2</v>
      </c>
    </row>
    <row r="706" spans="28:35" x14ac:dyDescent="0.35">
      <c r="AB706">
        <v>3</v>
      </c>
      <c r="AC706">
        <v>763</v>
      </c>
      <c r="AF706" s="2">
        <f t="shared" si="40"/>
        <v>3.0000000000000001E-3</v>
      </c>
      <c r="AG706">
        <f t="shared" si="41"/>
        <v>0.76300000000000001</v>
      </c>
      <c r="AH706">
        <f t="shared" si="42"/>
        <v>0.78962995748025411</v>
      </c>
      <c r="AI706">
        <f t="shared" si="43"/>
        <v>-2.6629957480254096E-2</v>
      </c>
    </row>
    <row r="707" spans="28:35" x14ac:dyDescent="0.35">
      <c r="AB707">
        <v>2</v>
      </c>
      <c r="AC707">
        <v>775</v>
      </c>
      <c r="AF707" s="2">
        <f t="shared" si="40"/>
        <v>2E-3</v>
      </c>
      <c r="AG707">
        <f t="shared" si="41"/>
        <v>0.77500000000000002</v>
      </c>
      <c r="AH707">
        <f t="shared" si="42"/>
        <v>0.82206907754716119</v>
      </c>
      <c r="AI707">
        <f t="shared" si="43"/>
        <v>-4.7069077547161164E-2</v>
      </c>
    </row>
    <row r="708" spans="28:35" x14ac:dyDescent="0.35">
      <c r="AB708">
        <v>6</v>
      </c>
      <c r="AC708">
        <v>749</v>
      </c>
      <c r="AF708" s="2">
        <f t="shared" ref="AF708:AF771" si="44">AB708/1000</f>
        <v>6.0000000000000001E-3</v>
      </c>
      <c r="AG708">
        <f t="shared" ref="AG708:AG771" si="45">AC708/1000</f>
        <v>0.749</v>
      </c>
      <c r="AH708">
        <f t="shared" ref="AH708:AH771" si="46">0.891*EXP(-40.26*AF708)</f>
        <v>0.69979289534261269</v>
      </c>
      <c r="AI708">
        <f t="shared" ref="AI708:AI771" si="47">AG708-AH708</f>
        <v>4.9207104657387313E-2</v>
      </c>
    </row>
    <row r="709" spans="28:35" x14ac:dyDescent="0.35">
      <c r="AB709">
        <v>5</v>
      </c>
      <c r="AC709">
        <v>553</v>
      </c>
      <c r="AF709" s="2">
        <f t="shared" si="44"/>
        <v>5.0000000000000001E-3</v>
      </c>
      <c r="AG709">
        <f t="shared" si="45"/>
        <v>0.55300000000000005</v>
      </c>
      <c r="AH709">
        <f t="shared" si="46"/>
        <v>0.72854138131245416</v>
      </c>
      <c r="AI709">
        <f t="shared" si="47"/>
        <v>-0.17554138131245411</v>
      </c>
    </row>
    <row r="710" spans="28:35" x14ac:dyDescent="0.35">
      <c r="AB710">
        <v>15</v>
      </c>
      <c r="AC710">
        <v>357</v>
      </c>
      <c r="AF710" s="2">
        <f t="shared" si="44"/>
        <v>1.4999999999999999E-2</v>
      </c>
      <c r="AG710">
        <f t="shared" si="45"/>
        <v>0.35699999999999998</v>
      </c>
      <c r="AH710">
        <f t="shared" si="46"/>
        <v>0.48708781615364399</v>
      </c>
      <c r="AI710">
        <f t="shared" si="47"/>
        <v>-0.13008781615364401</v>
      </c>
    </row>
    <row r="711" spans="28:35" x14ac:dyDescent="0.35">
      <c r="AB711">
        <v>13</v>
      </c>
      <c r="AC711">
        <v>436</v>
      </c>
      <c r="AF711" s="2">
        <f t="shared" si="44"/>
        <v>1.2999999999999999E-2</v>
      </c>
      <c r="AG711">
        <f t="shared" si="45"/>
        <v>0.436</v>
      </c>
      <c r="AH711">
        <f t="shared" si="46"/>
        <v>0.52793038449740115</v>
      </c>
      <c r="AI711">
        <f t="shared" si="47"/>
        <v>-9.1930384497401152E-2</v>
      </c>
    </row>
    <row r="712" spans="28:35" x14ac:dyDescent="0.35">
      <c r="AB712">
        <v>24</v>
      </c>
      <c r="AC712">
        <v>213</v>
      </c>
      <c r="AF712" s="2">
        <f t="shared" si="44"/>
        <v>2.4E-2</v>
      </c>
      <c r="AG712">
        <f t="shared" si="45"/>
        <v>0.21299999999999999</v>
      </c>
      <c r="AH712">
        <f t="shared" si="46"/>
        <v>0.33903536635531034</v>
      </c>
      <c r="AI712">
        <f t="shared" si="47"/>
        <v>-0.12603536635531035</v>
      </c>
    </row>
    <row r="713" spans="28:35" x14ac:dyDescent="0.35">
      <c r="AB713">
        <v>12</v>
      </c>
      <c r="AC713">
        <v>565</v>
      </c>
      <c r="AF713" s="2">
        <f t="shared" si="44"/>
        <v>1.2E-2</v>
      </c>
      <c r="AG713">
        <f t="shared" si="45"/>
        <v>0.56499999999999995</v>
      </c>
      <c r="AH713">
        <f t="shared" si="46"/>
        <v>0.54961851444668564</v>
      </c>
      <c r="AI713">
        <f t="shared" si="47"/>
        <v>1.5381485553314311E-2</v>
      </c>
    </row>
    <row r="714" spans="28:35" x14ac:dyDescent="0.35">
      <c r="AB714">
        <v>4</v>
      </c>
      <c r="AC714">
        <v>767</v>
      </c>
      <c r="AF714" s="2">
        <f t="shared" si="44"/>
        <v>4.0000000000000001E-3</v>
      </c>
      <c r="AG714">
        <f t="shared" si="45"/>
        <v>0.76700000000000002</v>
      </c>
      <c r="AH714">
        <f t="shared" si="46"/>
        <v>0.75847089591385031</v>
      </c>
      <c r="AI714">
        <f t="shared" si="47"/>
        <v>8.5291040861497081E-3</v>
      </c>
    </row>
    <row r="715" spans="28:35" x14ac:dyDescent="0.35">
      <c r="AB715">
        <v>6</v>
      </c>
      <c r="AC715">
        <v>740</v>
      </c>
      <c r="AF715" s="2">
        <f t="shared" si="44"/>
        <v>6.0000000000000001E-3</v>
      </c>
      <c r="AG715">
        <f t="shared" si="45"/>
        <v>0.74</v>
      </c>
      <c r="AH715">
        <f t="shared" si="46"/>
        <v>0.69979289534261269</v>
      </c>
      <c r="AI715">
        <f t="shared" si="47"/>
        <v>4.0207104657387305E-2</v>
      </c>
    </row>
    <row r="716" spans="28:35" x14ac:dyDescent="0.35">
      <c r="AB716">
        <v>0</v>
      </c>
      <c r="AC716">
        <v>990</v>
      </c>
      <c r="AF716" s="2">
        <f t="shared" si="44"/>
        <v>0</v>
      </c>
      <c r="AG716">
        <f t="shared" si="45"/>
        <v>0.99</v>
      </c>
      <c r="AH716">
        <f t="shared" si="46"/>
        <v>0.89100000000000001</v>
      </c>
      <c r="AI716">
        <f t="shared" si="47"/>
        <v>9.8999999999999977E-2</v>
      </c>
    </row>
    <row r="717" spans="28:35" x14ac:dyDescent="0.35">
      <c r="AB717">
        <v>2</v>
      </c>
      <c r="AC717">
        <v>781</v>
      </c>
      <c r="AF717" s="2">
        <f t="shared" si="44"/>
        <v>2E-3</v>
      </c>
      <c r="AG717">
        <f t="shared" si="45"/>
        <v>0.78100000000000003</v>
      </c>
      <c r="AH717">
        <f t="shared" si="46"/>
        <v>0.82206907754716119</v>
      </c>
      <c r="AI717">
        <f t="shared" si="47"/>
        <v>-4.1069077547161159E-2</v>
      </c>
    </row>
    <row r="718" spans="28:35" x14ac:dyDescent="0.35">
      <c r="AB718">
        <v>2</v>
      </c>
      <c r="AC718">
        <v>791</v>
      </c>
      <c r="AF718" s="2">
        <f t="shared" si="44"/>
        <v>2E-3</v>
      </c>
      <c r="AG718">
        <f t="shared" si="45"/>
        <v>0.79100000000000004</v>
      </c>
      <c r="AH718">
        <f t="shared" si="46"/>
        <v>0.82206907754716119</v>
      </c>
      <c r="AI718">
        <f t="shared" si="47"/>
        <v>-3.106907754716115E-2</v>
      </c>
    </row>
    <row r="719" spans="28:35" x14ac:dyDescent="0.35">
      <c r="AB719">
        <v>0</v>
      </c>
      <c r="AC719">
        <v>994</v>
      </c>
      <c r="AF719" s="2">
        <f t="shared" si="44"/>
        <v>0</v>
      </c>
      <c r="AG719">
        <f t="shared" si="45"/>
        <v>0.99399999999999999</v>
      </c>
      <c r="AH719">
        <f t="shared" si="46"/>
        <v>0.89100000000000001</v>
      </c>
      <c r="AI719">
        <f t="shared" si="47"/>
        <v>0.10299999999999998</v>
      </c>
    </row>
    <row r="720" spans="28:35" x14ac:dyDescent="0.35">
      <c r="AB720">
        <v>9</v>
      </c>
      <c r="AC720">
        <v>717</v>
      </c>
      <c r="AF720" s="2">
        <f t="shared" si="44"/>
        <v>8.9999999999999993E-3</v>
      </c>
      <c r="AG720">
        <f t="shared" si="45"/>
        <v>0.71699999999999997</v>
      </c>
      <c r="AH720">
        <f t="shared" si="46"/>
        <v>0.62017669382084306</v>
      </c>
      <c r="AI720">
        <f t="shared" si="47"/>
        <v>9.6823306179156909E-2</v>
      </c>
    </row>
    <row r="721" spans="28:35" x14ac:dyDescent="0.35">
      <c r="AB721">
        <v>6</v>
      </c>
      <c r="AC721">
        <v>729</v>
      </c>
      <c r="AF721" s="2">
        <f t="shared" si="44"/>
        <v>6.0000000000000001E-3</v>
      </c>
      <c r="AG721">
        <f t="shared" si="45"/>
        <v>0.72899999999999998</v>
      </c>
      <c r="AH721">
        <f t="shared" si="46"/>
        <v>0.69979289534261269</v>
      </c>
      <c r="AI721">
        <f t="shared" si="47"/>
        <v>2.9207104657387295E-2</v>
      </c>
    </row>
    <row r="722" spans="28:35" x14ac:dyDescent="0.35">
      <c r="AB722">
        <v>9</v>
      </c>
      <c r="AC722">
        <v>698</v>
      </c>
      <c r="AF722" s="2">
        <f t="shared" si="44"/>
        <v>8.9999999999999993E-3</v>
      </c>
      <c r="AG722">
        <f t="shared" si="45"/>
        <v>0.69799999999999995</v>
      </c>
      <c r="AH722">
        <f t="shared" si="46"/>
        <v>0.62017669382084306</v>
      </c>
      <c r="AI722">
        <f t="shared" si="47"/>
        <v>7.7823306179156893E-2</v>
      </c>
    </row>
    <row r="723" spans="28:35" x14ac:dyDescent="0.35">
      <c r="AB723">
        <v>21</v>
      </c>
      <c r="AC723">
        <v>415</v>
      </c>
      <c r="AF723" s="2">
        <f t="shared" si="44"/>
        <v>2.1000000000000001E-2</v>
      </c>
      <c r="AG723">
        <f t="shared" si="45"/>
        <v>0.41499999999999998</v>
      </c>
      <c r="AH723">
        <f t="shared" si="46"/>
        <v>0.38255958827415121</v>
      </c>
      <c r="AI723">
        <f t="shared" si="47"/>
        <v>3.2440411725848772E-2</v>
      </c>
    </row>
    <row r="724" spans="28:35" x14ac:dyDescent="0.35">
      <c r="AB724">
        <v>9</v>
      </c>
      <c r="AC724">
        <v>698</v>
      </c>
      <c r="AF724" s="2">
        <f t="shared" si="44"/>
        <v>8.9999999999999993E-3</v>
      </c>
      <c r="AG724">
        <f t="shared" si="45"/>
        <v>0.69799999999999995</v>
      </c>
      <c r="AH724">
        <f t="shared" si="46"/>
        <v>0.62017669382084306</v>
      </c>
      <c r="AI724">
        <f t="shared" si="47"/>
        <v>7.7823306179156893E-2</v>
      </c>
    </row>
    <row r="725" spans="28:35" x14ac:dyDescent="0.35">
      <c r="AB725">
        <v>15</v>
      </c>
      <c r="AC725">
        <v>353</v>
      </c>
      <c r="AF725" s="2">
        <f t="shared" si="44"/>
        <v>1.4999999999999999E-2</v>
      </c>
      <c r="AG725">
        <f t="shared" si="45"/>
        <v>0.35299999999999998</v>
      </c>
      <c r="AH725">
        <f t="shared" si="46"/>
        <v>0.48708781615364399</v>
      </c>
      <c r="AI725">
        <f t="shared" si="47"/>
        <v>-0.13408781615364401</v>
      </c>
    </row>
    <row r="726" spans="28:35" x14ac:dyDescent="0.35">
      <c r="AB726">
        <v>15</v>
      </c>
      <c r="AC726">
        <v>354</v>
      </c>
      <c r="AF726" s="2">
        <f t="shared" si="44"/>
        <v>1.4999999999999999E-2</v>
      </c>
      <c r="AG726">
        <f t="shared" si="45"/>
        <v>0.35399999999999998</v>
      </c>
      <c r="AH726">
        <f t="shared" si="46"/>
        <v>0.48708781615364399</v>
      </c>
      <c r="AI726">
        <f t="shared" si="47"/>
        <v>-0.13308781615364401</v>
      </c>
    </row>
    <row r="727" spans="28:35" x14ac:dyDescent="0.35">
      <c r="AB727">
        <v>5</v>
      </c>
      <c r="AC727">
        <v>546</v>
      </c>
      <c r="AF727" s="2">
        <f t="shared" si="44"/>
        <v>5.0000000000000001E-3</v>
      </c>
      <c r="AG727">
        <f t="shared" si="45"/>
        <v>0.54600000000000004</v>
      </c>
      <c r="AH727">
        <f t="shared" si="46"/>
        <v>0.72854138131245416</v>
      </c>
      <c r="AI727">
        <f t="shared" si="47"/>
        <v>-0.18254138131245412</v>
      </c>
    </row>
    <row r="728" spans="28:35" x14ac:dyDescent="0.35">
      <c r="AB728">
        <v>6</v>
      </c>
      <c r="AC728">
        <v>722</v>
      </c>
      <c r="AF728" s="2">
        <f t="shared" si="44"/>
        <v>6.0000000000000001E-3</v>
      </c>
      <c r="AG728">
        <f t="shared" si="45"/>
        <v>0.72199999999999998</v>
      </c>
      <c r="AH728">
        <f t="shared" si="46"/>
        <v>0.69979289534261269</v>
      </c>
      <c r="AI728">
        <f t="shared" si="47"/>
        <v>2.2207104657387289E-2</v>
      </c>
    </row>
    <row r="729" spans="28:35" x14ac:dyDescent="0.35">
      <c r="AB729">
        <v>2</v>
      </c>
      <c r="AC729">
        <v>766</v>
      </c>
      <c r="AF729" s="2">
        <f t="shared" si="44"/>
        <v>2E-3</v>
      </c>
      <c r="AG729">
        <f t="shared" si="45"/>
        <v>0.76600000000000001</v>
      </c>
      <c r="AH729">
        <f t="shared" si="46"/>
        <v>0.82206907754716119</v>
      </c>
      <c r="AI729">
        <f t="shared" si="47"/>
        <v>-5.6069077547161172E-2</v>
      </c>
    </row>
    <row r="730" spans="28:35" x14ac:dyDescent="0.35">
      <c r="AB730">
        <v>0</v>
      </c>
      <c r="AC730">
        <v>994</v>
      </c>
      <c r="AF730" s="2">
        <f t="shared" si="44"/>
        <v>0</v>
      </c>
      <c r="AG730">
        <f t="shared" si="45"/>
        <v>0.99399999999999999</v>
      </c>
      <c r="AH730">
        <f t="shared" si="46"/>
        <v>0.89100000000000001</v>
      </c>
      <c r="AI730">
        <f t="shared" si="47"/>
        <v>0.10299999999999998</v>
      </c>
    </row>
    <row r="731" spans="28:35" x14ac:dyDescent="0.35">
      <c r="AB731">
        <v>0</v>
      </c>
      <c r="AC731">
        <v>996</v>
      </c>
      <c r="AF731" s="2">
        <f t="shared" si="44"/>
        <v>0</v>
      </c>
      <c r="AG731">
        <f t="shared" si="45"/>
        <v>0.996</v>
      </c>
      <c r="AH731">
        <f t="shared" si="46"/>
        <v>0.89100000000000001</v>
      </c>
      <c r="AI731">
        <f t="shared" si="47"/>
        <v>0.10499999999999998</v>
      </c>
    </row>
    <row r="732" spans="28:35" x14ac:dyDescent="0.35">
      <c r="AB732">
        <v>0</v>
      </c>
      <c r="AC732">
        <v>997</v>
      </c>
      <c r="AF732" s="2">
        <f t="shared" si="44"/>
        <v>0</v>
      </c>
      <c r="AG732">
        <f t="shared" si="45"/>
        <v>0.997</v>
      </c>
      <c r="AH732">
        <f t="shared" si="46"/>
        <v>0.89100000000000001</v>
      </c>
      <c r="AI732">
        <f t="shared" si="47"/>
        <v>0.10599999999999998</v>
      </c>
    </row>
    <row r="733" spans="28:35" x14ac:dyDescent="0.35">
      <c r="AB733">
        <v>0</v>
      </c>
      <c r="AC733">
        <v>995</v>
      </c>
      <c r="AF733" s="2">
        <f t="shared" si="44"/>
        <v>0</v>
      </c>
      <c r="AG733">
        <f t="shared" si="45"/>
        <v>0.995</v>
      </c>
      <c r="AH733">
        <f t="shared" si="46"/>
        <v>0.89100000000000001</v>
      </c>
      <c r="AI733">
        <f t="shared" si="47"/>
        <v>0.10399999999999998</v>
      </c>
    </row>
    <row r="734" spans="28:35" x14ac:dyDescent="0.35">
      <c r="AB734">
        <v>2</v>
      </c>
      <c r="AC734">
        <v>788</v>
      </c>
      <c r="AF734" s="2">
        <f t="shared" si="44"/>
        <v>2E-3</v>
      </c>
      <c r="AG734">
        <f t="shared" si="45"/>
        <v>0.78800000000000003</v>
      </c>
      <c r="AH734">
        <f t="shared" si="46"/>
        <v>0.82206907754716119</v>
      </c>
      <c r="AI734">
        <f t="shared" si="47"/>
        <v>-3.4069077547161153E-2</v>
      </c>
    </row>
    <row r="735" spans="28:35" x14ac:dyDescent="0.35">
      <c r="AB735">
        <v>1</v>
      </c>
      <c r="AC735">
        <v>780</v>
      </c>
      <c r="AF735" s="2">
        <f t="shared" si="44"/>
        <v>1E-3</v>
      </c>
      <c r="AG735">
        <f t="shared" si="45"/>
        <v>0.78</v>
      </c>
      <c r="AH735">
        <f t="shared" si="46"/>
        <v>0.85584084273568095</v>
      </c>
      <c r="AI735">
        <f t="shared" si="47"/>
        <v>-7.5840842735680924E-2</v>
      </c>
    </row>
    <row r="736" spans="28:35" x14ac:dyDescent="0.35">
      <c r="AB736">
        <v>0</v>
      </c>
      <c r="AC736">
        <v>995</v>
      </c>
      <c r="AF736" s="2">
        <f t="shared" si="44"/>
        <v>0</v>
      </c>
      <c r="AG736">
        <f t="shared" si="45"/>
        <v>0.995</v>
      </c>
      <c r="AH736">
        <f t="shared" si="46"/>
        <v>0.89100000000000001</v>
      </c>
      <c r="AI736">
        <f t="shared" si="47"/>
        <v>0.10399999999999998</v>
      </c>
    </row>
    <row r="737" spans="28:35" x14ac:dyDescent="0.35">
      <c r="AB737">
        <v>0</v>
      </c>
      <c r="AC737">
        <v>998</v>
      </c>
      <c r="AF737" s="2">
        <f t="shared" si="44"/>
        <v>0</v>
      </c>
      <c r="AG737">
        <f t="shared" si="45"/>
        <v>0.998</v>
      </c>
      <c r="AH737">
        <f t="shared" si="46"/>
        <v>0.89100000000000001</v>
      </c>
      <c r="AI737">
        <f t="shared" si="47"/>
        <v>0.10699999999999998</v>
      </c>
    </row>
    <row r="738" spans="28:35" x14ac:dyDescent="0.35">
      <c r="AB738">
        <v>0</v>
      </c>
      <c r="AC738">
        <v>995</v>
      </c>
      <c r="AF738" s="2">
        <f t="shared" si="44"/>
        <v>0</v>
      </c>
      <c r="AG738">
        <f t="shared" si="45"/>
        <v>0.995</v>
      </c>
      <c r="AH738">
        <f t="shared" si="46"/>
        <v>0.89100000000000001</v>
      </c>
      <c r="AI738">
        <f t="shared" si="47"/>
        <v>0.10399999999999998</v>
      </c>
    </row>
    <row r="739" spans="28:35" x14ac:dyDescent="0.35">
      <c r="AB739">
        <v>0</v>
      </c>
      <c r="AC739">
        <v>994</v>
      </c>
      <c r="AF739" s="2">
        <f t="shared" si="44"/>
        <v>0</v>
      </c>
      <c r="AG739">
        <f t="shared" si="45"/>
        <v>0.99399999999999999</v>
      </c>
      <c r="AH739">
        <f t="shared" si="46"/>
        <v>0.89100000000000001</v>
      </c>
      <c r="AI739">
        <f t="shared" si="47"/>
        <v>0.10299999999999998</v>
      </c>
    </row>
    <row r="740" spans="28:35" x14ac:dyDescent="0.35">
      <c r="AB740">
        <v>4</v>
      </c>
      <c r="AC740">
        <v>808</v>
      </c>
      <c r="AF740" s="2">
        <f t="shared" si="44"/>
        <v>4.0000000000000001E-3</v>
      </c>
      <c r="AG740">
        <f t="shared" si="45"/>
        <v>0.80800000000000005</v>
      </c>
      <c r="AH740">
        <f t="shared" si="46"/>
        <v>0.75847089591385031</v>
      </c>
      <c r="AI740">
        <f t="shared" si="47"/>
        <v>4.9529104086149744E-2</v>
      </c>
    </row>
    <row r="741" spans="28:35" x14ac:dyDescent="0.35">
      <c r="AB741">
        <v>7</v>
      </c>
      <c r="AC741">
        <v>770</v>
      </c>
      <c r="AF741" s="2">
        <f t="shared" si="44"/>
        <v>7.0000000000000001E-3</v>
      </c>
      <c r="AG741">
        <f t="shared" si="45"/>
        <v>0.77</v>
      </c>
      <c r="AH741">
        <f t="shared" si="46"/>
        <v>0.67217883422049818</v>
      </c>
      <c r="AI741">
        <f t="shared" si="47"/>
        <v>9.782116577950184E-2</v>
      </c>
    </row>
    <row r="742" spans="28:35" x14ac:dyDescent="0.35">
      <c r="AB742">
        <v>8</v>
      </c>
      <c r="AC742">
        <v>691</v>
      </c>
      <c r="AF742" s="2">
        <f t="shared" si="44"/>
        <v>8.0000000000000002E-3</v>
      </c>
      <c r="AG742">
        <f t="shared" si="45"/>
        <v>0.69099999999999995</v>
      </c>
      <c r="AH742">
        <f t="shared" si="46"/>
        <v>0.64565443316314119</v>
      </c>
      <c r="AI742">
        <f t="shared" si="47"/>
        <v>4.5345566836858753E-2</v>
      </c>
    </row>
    <row r="743" spans="28:35" x14ac:dyDescent="0.35">
      <c r="AB743">
        <v>17</v>
      </c>
      <c r="AC743">
        <v>445</v>
      </c>
      <c r="AF743" s="2">
        <f t="shared" si="44"/>
        <v>1.7000000000000001E-2</v>
      </c>
      <c r="AG743">
        <f t="shared" si="45"/>
        <v>0.44500000000000001</v>
      </c>
      <c r="AH743">
        <f t="shared" si="46"/>
        <v>0.44940497386070405</v>
      </c>
      <c r="AI743">
        <f t="shared" si="47"/>
        <v>-4.4049738607040423E-3</v>
      </c>
    </row>
    <row r="744" spans="28:35" x14ac:dyDescent="0.35">
      <c r="AB744">
        <v>13</v>
      </c>
      <c r="AC744">
        <v>440</v>
      </c>
      <c r="AF744" s="2">
        <f t="shared" si="44"/>
        <v>1.2999999999999999E-2</v>
      </c>
      <c r="AG744">
        <f t="shared" si="45"/>
        <v>0.44</v>
      </c>
      <c r="AH744">
        <f t="shared" si="46"/>
        <v>0.52793038449740115</v>
      </c>
      <c r="AI744">
        <f t="shared" si="47"/>
        <v>-8.7930384497401148E-2</v>
      </c>
    </row>
    <row r="745" spans="28:35" x14ac:dyDescent="0.35">
      <c r="AB745">
        <v>17</v>
      </c>
      <c r="AC745">
        <v>432</v>
      </c>
      <c r="AF745" s="2">
        <f t="shared" si="44"/>
        <v>1.7000000000000001E-2</v>
      </c>
      <c r="AG745">
        <f t="shared" si="45"/>
        <v>0.432</v>
      </c>
      <c r="AH745">
        <f t="shared" si="46"/>
        <v>0.44940497386070405</v>
      </c>
      <c r="AI745">
        <f t="shared" si="47"/>
        <v>-1.7404973860704054E-2</v>
      </c>
    </row>
    <row r="746" spans="28:35" x14ac:dyDescent="0.35">
      <c r="AB746">
        <v>12</v>
      </c>
      <c r="AC746">
        <v>565</v>
      </c>
      <c r="AF746" s="2">
        <f t="shared" si="44"/>
        <v>1.2E-2</v>
      </c>
      <c r="AG746">
        <f t="shared" si="45"/>
        <v>0.56499999999999995</v>
      </c>
      <c r="AH746">
        <f t="shared" si="46"/>
        <v>0.54961851444668564</v>
      </c>
      <c r="AI746">
        <f t="shared" si="47"/>
        <v>1.5381485553314311E-2</v>
      </c>
    </row>
    <row r="747" spans="28:35" x14ac:dyDescent="0.35">
      <c r="AB747">
        <v>3</v>
      </c>
      <c r="AC747">
        <v>744</v>
      </c>
      <c r="AF747" s="2">
        <f t="shared" si="44"/>
        <v>3.0000000000000001E-3</v>
      </c>
      <c r="AG747">
        <f t="shared" si="45"/>
        <v>0.74399999999999999</v>
      </c>
      <c r="AH747">
        <f t="shared" si="46"/>
        <v>0.78962995748025411</v>
      </c>
      <c r="AI747">
        <f t="shared" si="47"/>
        <v>-4.5629957480254113E-2</v>
      </c>
    </row>
    <row r="748" spans="28:35" x14ac:dyDescent="0.35">
      <c r="AB748">
        <v>6</v>
      </c>
      <c r="AC748">
        <v>734</v>
      </c>
      <c r="AF748" s="2">
        <f t="shared" si="44"/>
        <v>6.0000000000000001E-3</v>
      </c>
      <c r="AG748">
        <f t="shared" si="45"/>
        <v>0.73399999999999999</v>
      </c>
      <c r="AH748">
        <f t="shared" si="46"/>
        <v>0.69979289534261269</v>
      </c>
      <c r="AI748">
        <f t="shared" si="47"/>
        <v>3.4207104657387299E-2</v>
      </c>
    </row>
    <row r="749" spans="28:35" x14ac:dyDescent="0.35">
      <c r="AB749">
        <v>3</v>
      </c>
      <c r="AC749">
        <v>755</v>
      </c>
      <c r="AF749" s="2">
        <f t="shared" si="44"/>
        <v>3.0000000000000001E-3</v>
      </c>
      <c r="AG749">
        <f t="shared" si="45"/>
        <v>0.755</v>
      </c>
      <c r="AH749">
        <f t="shared" si="46"/>
        <v>0.78962995748025411</v>
      </c>
      <c r="AI749">
        <f t="shared" si="47"/>
        <v>-3.4629957480254103E-2</v>
      </c>
    </row>
    <row r="750" spans="28:35" x14ac:dyDescent="0.35">
      <c r="AB750">
        <v>2</v>
      </c>
      <c r="AC750">
        <v>777</v>
      </c>
      <c r="AF750" s="2">
        <f t="shared" si="44"/>
        <v>2E-3</v>
      </c>
      <c r="AG750">
        <f t="shared" si="45"/>
        <v>0.77700000000000002</v>
      </c>
      <c r="AH750">
        <f t="shared" si="46"/>
        <v>0.82206907754716119</v>
      </c>
      <c r="AI750">
        <f t="shared" si="47"/>
        <v>-4.5069077547161163E-2</v>
      </c>
    </row>
    <row r="751" spans="28:35" x14ac:dyDescent="0.35">
      <c r="AB751">
        <v>3</v>
      </c>
      <c r="AC751">
        <v>762</v>
      </c>
      <c r="AF751" s="2">
        <f t="shared" si="44"/>
        <v>3.0000000000000001E-3</v>
      </c>
      <c r="AG751">
        <f t="shared" si="45"/>
        <v>0.76200000000000001</v>
      </c>
      <c r="AH751">
        <f t="shared" si="46"/>
        <v>0.78962995748025411</v>
      </c>
      <c r="AI751">
        <f t="shared" si="47"/>
        <v>-2.7629957480254097E-2</v>
      </c>
    </row>
    <row r="752" spans="28:35" x14ac:dyDescent="0.35">
      <c r="AB752">
        <v>1</v>
      </c>
      <c r="AC752">
        <v>776</v>
      </c>
      <c r="AF752" s="2">
        <f t="shared" si="44"/>
        <v>1E-3</v>
      </c>
      <c r="AG752">
        <f t="shared" si="45"/>
        <v>0.77600000000000002</v>
      </c>
      <c r="AH752">
        <f t="shared" si="46"/>
        <v>0.85584084273568095</v>
      </c>
      <c r="AI752">
        <f t="shared" si="47"/>
        <v>-7.9840842735680928E-2</v>
      </c>
    </row>
    <row r="753" spans="28:35" x14ac:dyDescent="0.35">
      <c r="AB753">
        <v>2</v>
      </c>
      <c r="AC753">
        <v>779</v>
      </c>
      <c r="AF753" s="2">
        <f t="shared" si="44"/>
        <v>2E-3</v>
      </c>
      <c r="AG753">
        <f t="shared" si="45"/>
        <v>0.77900000000000003</v>
      </c>
      <c r="AH753">
        <f t="shared" si="46"/>
        <v>0.82206907754716119</v>
      </c>
      <c r="AI753">
        <f t="shared" si="47"/>
        <v>-4.3069077547161161E-2</v>
      </c>
    </row>
    <row r="754" spans="28:35" x14ac:dyDescent="0.35">
      <c r="AB754">
        <v>1</v>
      </c>
      <c r="AC754">
        <v>792</v>
      </c>
      <c r="AF754" s="2">
        <f t="shared" si="44"/>
        <v>1E-3</v>
      </c>
      <c r="AG754">
        <f t="shared" si="45"/>
        <v>0.79200000000000004</v>
      </c>
      <c r="AH754">
        <f t="shared" si="46"/>
        <v>0.85584084273568095</v>
      </c>
      <c r="AI754">
        <f t="shared" si="47"/>
        <v>-6.3840842735680914E-2</v>
      </c>
    </row>
    <row r="755" spans="28:35" x14ac:dyDescent="0.35">
      <c r="AB755">
        <v>1</v>
      </c>
      <c r="AC755">
        <v>790</v>
      </c>
      <c r="AF755" s="2">
        <f t="shared" si="44"/>
        <v>1E-3</v>
      </c>
      <c r="AG755">
        <f t="shared" si="45"/>
        <v>0.79</v>
      </c>
      <c r="AH755">
        <f t="shared" si="46"/>
        <v>0.85584084273568095</v>
      </c>
      <c r="AI755">
        <f t="shared" si="47"/>
        <v>-6.5840842735680916E-2</v>
      </c>
    </row>
    <row r="756" spans="28:35" x14ac:dyDescent="0.35">
      <c r="AB756">
        <v>4</v>
      </c>
      <c r="AC756">
        <v>808</v>
      </c>
      <c r="AF756" s="2">
        <f t="shared" si="44"/>
        <v>4.0000000000000001E-3</v>
      </c>
      <c r="AG756">
        <f t="shared" si="45"/>
        <v>0.80800000000000005</v>
      </c>
      <c r="AH756">
        <f t="shared" si="46"/>
        <v>0.75847089591385031</v>
      </c>
      <c r="AI756">
        <f t="shared" si="47"/>
        <v>4.9529104086149744E-2</v>
      </c>
    </row>
    <row r="757" spans="28:35" x14ac:dyDescent="0.35">
      <c r="AB757">
        <v>2</v>
      </c>
      <c r="AC757">
        <v>781</v>
      </c>
      <c r="AF757" s="2">
        <f t="shared" si="44"/>
        <v>2E-3</v>
      </c>
      <c r="AG757">
        <f t="shared" si="45"/>
        <v>0.78100000000000003</v>
      </c>
      <c r="AH757">
        <f t="shared" si="46"/>
        <v>0.82206907754716119</v>
      </c>
      <c r="AI757">
        <f t="shared" si="47"/>
        <v>-4.1069077547161159E-2</v>
      </c>
    </row>
    <row r="758" spans="28:35" x14ac:dyDescent="0.35">
      <c r="AB758">
        <v>2</v>
      </c>
      <c r="AC758">
        <v>787</v>
      </c>
      <c r="AF758" s="2">
        <f t="shared" si="44"/>
        <v>2E-3</v>
      </c>
      <c r="AG758">
        <f t="shared" si="45"/>
        <v>0.78700000000000003</v>
      </c>
      <c r="AH758">
        <f t="shared" si="46"/>
        <v>0.82206907754716119</v>
      </c>
      <c r="AI758">
        <f t="shared" si="47"/>
        <v>-3.5069077547161154E-2</v>
      </c>
    </row>
    <row r="759" spans="28:35" x14ac:dyDescent="0.35">
      <c r="AB759">
        <v>1</v>
      </c>
      <c r="AC759">
        <v>780</v>
      </c>
      <c r="AF759" s="2">
        <f t="shared" si="44"/>
        <v>1E-3</v>
      </c>
      <c r="AG759">
        <f t="shared" si="45"/>
        <v>0.78</v>
      </c>
      <c r="AH759">
        <f t="shared" si="46"/>
        <v>0.85584084273568095</v>
      </c>
      <c r="AI759">
        <f t="shared" si="47"/>
        <v>-7.5840842735680924E-2</v>
      </c>
    </row>
    <row r="760" spans="28:35" x14ac:dyDescent="0.35">
      <c r="AB760">
        <v>2</v>
      </c>
      <c r="AC760">
        <v>785</v>
      </c>
      <c r="AF760" s="2">
        <f t="shared" si="44"/>
        <v>2E-3</v>
      </c>
      <c r="AG760">
        <f t="shared" si="45"/>
        <v>0.78500000000000003</v>
      </c>
      <c r="AH760">
        <f t="shared" si="46"/>
        <v>0.82206907754716119</v>
      </c>
      <c r="AI760">
        <f t="shared" si="47"/>
        <v>-3.7069077547161156E-2</v>
      </c>
    </row>
    <row r="761" spans="28:35" x14ac:dyDescent="0.35">
      <c r="AB761">
        <v>1</v>
      </c>
      <c r="AC761">
        <v>786</v>
      </c>
      <c r="AF761" s="2">
        <f t="shared" si="44"/>
        <v>1E-3</v>
      </c>
      <c r="AG761">
        <f t="shared" si="45"/>
        <v>0.78600000000000003</v>
      </c>
      <c r="AH761">
        <f t="shared" si="46"/>
        <v>0.85584084273568095</v>
      </c>
      <c r="AI761">
        <f t="shared" si="47"/>
        <v>-6.9840842735680919E-2</v>
      </c>
    </row>
    <row r="762" spans="28:35" x14ac:dyDescent="0.35">
      <c r="AB762">
        <v>0</v>
      </c>
      <c r="AC762">
        <v>994</v>
      </c>
      <c r="AF762" s="2">
        <f t="shared" si="44"/>
        <v>0</v>
      </c>
      <c r="AG762">
        <f t="shared" si="45"/>
        <v>0.99399999999999999</v>
      </c>
      <c r="AH762">
        <f t="shared" si="46"/>
        <v>0.89100000000000001</v>
      </c>
      <c r="AI762">
        <f t="shared" si="47"/>
        <v>0.10299999999999998</v>
      </c>
    </row>
    <row r="763" spans="28:35" x14ac:dyDescent="0.35">
      <c r="AB763">
        <v>0</v>
      </c>
      <c r="AC763">
        <v>997</v>
      </c>
      <c r="AF763" s="2">
        <f t="shared" si="44"/>
        <v>0</v>
      </c>
      <c r="AG763">
        <f t="shared" si="45"/>
        <v>0.997</v>
      </c>
      <c r="AH763">
        <f t="shared" si="46"/>
        <v>0.89100000000000001</v>
      </c>
      <c r="AI763">
        <f t="shared" si="47"/>
        <v>0.10599999999999998</v>
      </c>
    </row>
    <row r="764" spans="28:35" x14ac:dyDescent="0.35">
      <c r="AB764">
        <v>0</v>
      </c>
      <c r="AC764">
        <v>998</v>
      </c>
      <c r="AF764" s="2">
        <f t="shared" si="44"/>
        <v>0</v>
      </c>
      <c r="AG764">
        <f t="shared" si="45"/>
        <v>0.998</v>
      </c>
      <c r="AH764">
        <f t="shared" si="46"/>
        <v>0.89100000000000001</v>
      </c>
      <c r="AI764">
        <f t="shared" si="47"/>
        <v>0.10699999999999998</v>
      </c>
    </row>
    <row r="765" spans="28:35" x14ac:dyDescent="0.35">
      <c r="AB765">
        <v>0</v>
      </c>
      <c r="AC765">
        <v>998</v>
      </c>
      <c r="AF765" s="2">
        <f t="shared" si="44"/>
        <v>0</v>
      </c>
      <c r="AG765">
        <f t="shared" si="45"/>
        <v>0.998</v>
      </c>
      <c r="AH765">
        <f t="shared" si="46"/>
        <v>0.89100000000000001</v>
      </c>
      <c r="AI765">
        <f t="shared" si="47"/>
        <v>0.10699999999999998</v>
      </c>
    </row>
    <row r="766" spans="28:35" x14ac:dyDescent="0.35">
      <c r="AB766">
        <v>3</v>
      </c>
      <c r="AC766">
        <v>774</v>
      </c>
      <c r="AF766" s="2">
        <f t="shared" si="44"/>
        <v>3.0000000000000001E-3</v>
      </c>
      <c r="AG766">
        <f t="shared" si="45"/>
        <v>0.77400000000000002</v>
      </c>
      <c r="AH766">
        <f t="shared" si="46"/>
        <v>0.78962995748025411</v>
      </c>
      <c r="AI766">
        <f t="shared" si="47"/>
        <v>-1.5629957480254086E-2</v>
      </c>
    </row>
    <row r="767" spans="28:35" x14ac:dyDescent="0.35">
      <c r="AB767">
        <v>0</v>
      </c>
      <c r="AC767">
        <v>994</v>
      </c>
      <c r="AF767" s="2">
        <f t="shared" si="44"/>
        <v>0</v>
      </c>
      <c r="AG767">
        <f t="shared" si="45"/>
        <v>0.99399999999999999</v>
      </c>
      <c r="AH767">
        <f t="shared" si="46"/>
        <v>0.89100000000000001</v>
      </c>
      <c r="AI767">
        <f t="shared" si="47"/>
        <v>0.10299999999999998</v>
      </c>
    </row>
    <row r="768" spans="28:35" x14ac:dyDescent="0.35">
      <c r="AB768">
        <v>0</v>
      </c>
      <c r="AC768">
        <v>993</v>
      </c>
      <c r="AF768" s="2">
        <f t="shared" si="44"/>
        <v>0</v>
      </c>
      <c r="AG768">
        <f t="shared" si="45"/>
        <v>0.99299999999999999</v>
      </c>
      <c r="AH768">
        <f t="shared" si="46"/>
        <v>0.89100000000000001</v>
      </c>
      <c r="AI768">
        <f t="shared" si="47"/>
        <v>0.10199999999999998</v>
      </c>
    </row>
    <row r="769" spans="28:35" x14ac:dyDescent="0.35">
      <c r="AB769">
        <v>1</v>
      </c>
      <c r="AC769">
        <v>790</v>
      </c>
      <c r="AF769" s="2">
        <f t="shared" si="44"/>
        <v>1E-3</v>
      </c>
      <c r="AG769">
        <f t="shared" si="45"/>
        <v>0.79</v>
      </c>
      <c r="AH769">
        <f t="shared" si="46"/>
        <v>0.85584084273568095</v>
      </c>
      <c r="AI769">
        <f t="shared" si="47"/>
        <v>-6.5840842735680916E-2</v>
      </c>
    </row>
    <row r="770" spans="28:35" x14ac:dyDescent="0.35">
      <c r="AB770">
        <v>0</v>
      </c>
      <c r="AC770">
        <v>994</v>
      </c>
      <c r="AF770" s="2">
        <f t="shared" si="44"/>
        <v>0</v>
      </c>
      <c r="AG770">
        <f t="shared" si="45"/>
        <v>0.99399999999999999</v>
      </c>
      <c r="AH770">
        <f t="shared" si="46"/>
        <v>0.89100000000000001</v>
      </c>
      <c r="AI770">
        <f t="shared" si="47"/>
        <v>0.10299999999999998</v>
      </c>
    </row>
    <row r="771" spans="28:35" x14ac:dyDescent="0.35">
      <c r="AB771">
        <v>0</v>
      </c>
      <c r="AC771">
        <v>994</v>
      </c>
      <c r="AF771" s="2">
        <f t="shared" si="44"/>
        <v>0</v>
      </c>
      <c r="AG771">
        <f t="shared" si="45"/>
        <v>0.99399999999999999</v>
      </c>
      <c r="AH771">
        <f t="shared" si="46"/>
        <v>0.89100000000000001</v>
      </c>
      <c r="AI771">
        <f t="shared" si="47"/>
        <v>0.10299999999999998</v>
      </c>
    </row>
    <row r="772" spans="28:35" x14ac:dyDescent="0.35">
      <c r="AB772">
        <v>1</v>
      </c>
      <c r="AC772">
        <v>783</v>
      </c>
      <c r="AF772" s="2">
        <f t="shared" ref="AF772:AF835" si="48">AB772/1000</f>
        <v>1E-3</v>
      </c>
      <c r="AG772">
        <f t="shared" ref="AG772:AG835" si="49">AC772/1000</f>
        <v>0.78300000000000003</v>
      </c>
      <c r="AH772">
        <f t="shared" ref="AH772:AH835" si="50">0.891*EXP(-40.26*AF772)</f>
        <v>0.85584084273568095</v>
      </c>
      <c r="AI772">
        <f t="shared" ref="AI772:AI835" si="51">AG772-AH772</f>
        <v>-7.2840842735680922E-2</v>
      </c>
    </row>
    <row r="773" spans="28:35" x14ac:dyDescent="0.35">
      <c r="AB773">
        <v>0</v>
      </c>
      <c r="AC773">
        <v>995</v>
      </c>
      <c r="AF773" s="2">
        <f t="shared" si="48"/>
        <v>0</v>
      </c>
      <c r="AG773">
        <f t="shared" si="49"/>
        <v>0.995</v>
      </c>
      <c r="AH773">
        <f t="shared" si="50"/>
        <v>0.89100000000000001</v>
      </c>
      <c r="AI773">
        <f t="shared" si="51"/>
        <v>0.10399999999999998</v>
      </c>
    </row>
    <row r="774" spans="28:35" x14ac:dyDescent="0.35">
      <c r="AB774">
        <v>1</v>
      </c>
      <c r="AC774">
        <v>792</v>
      </c>
      <c r="AF774" s="2">
        <f t="shared" si="48"/>
        <v>1E-3</v>
      </c>
      <c r="AG774">
        <f t="shared" si="49"/>
        <v>0.79200000000000004</v>
      </c>
      <c r="AH774">
        <f t="shared" si="50"/>
        <v>0.85584084273568095</v>
      </c>
      <c r="AI774">
        <f t="shared" si="51"/>
        <v>-6.3840842735680914E-2</v>
      </c>
    </row>
    <row r="775" spans="28:35" x14ac:dyDescent="0.35">
      <c r="AB775">
        <v>0</v>
      </c>
      <c r="AC775">
        <v>995</v>
      </c>
      <c r="AF775" s="2">
        <f t="shared" si="48"/>
        <v>0</v>
      </c>
      <c r="AG775">
        <f t="shared" si="49"/>
        <v>0.995</v>
      </c>
      <c r="AH775">
        <f t="shared" si="50"/>
        <v>0.89100000000000001</v>
      </c>
      <c r="AI775">
        <f t="shared" si="51"/>
        <v>0.10399999999999998</v>
      </c>
    </row>
    <row r="776" spans="28:35" x14ac:dyDescent="0.35">
      <c r="AB776">
        <v>0</v>
      </c>
      <c r="AC776">
        <v>995</v>
      </c>
      <c r="AF776" s="2">
        <f t="shared" si="48"/>
        <v>0</v>
      </c>
      <c r="AG776">
        <f t="shared" si="49"/>
        <v>0.995</v>
      </c>
      <c r="AH776">
        <f t="shared" si="50"/>
        <v>0.89100000000000001</v>
      </c>
      <c r="AI776">
        <f t="shared" si="51"/>
        <v>0.10399999999999998</v>
      </c>
    </row>
    <row r="777" spans="28:35" x14ac:dyDescent="0.35">
      <c r="AB777">
        <v>1</v>
      </c>
      <c r="AC777">
        <v>782</v>
      </c>
      <c r="AF777" s="2">
        <f t="shared" si="48"/>
        <v>1E-3</v>
      </c>
      <c r="AG777">
        <f t="shared" si="49"/>
        <v>0.78200000000000003</v>
      </c>
      <c r="AH777">
        <f t="shared" si="50"/>
        <v>0.85584084273568095</v>
      </c>
      <c r="AI777">
        <f t="shared" si="51"/>
        <v>-7.3840842735680923E-2</v>
      </c>
    </row>
    <row r="778" spans="28:35" x14ac:dyDescent="0.35">
      <c r="AB778">
        <v>1</v>
      </c>
      <c r="AC778">
        <v>783</v>
      </c>
      <c r="AF778" s="2">
        <f t="shared" si="48"/>
        <v>1E-3</v>
      </c>
      <c r="AG778">
        <f t="shared" si="49"/>
        <v>0.78300000000000003</v>
      </c>
      <c r="AH778">
        <f t="shared" si="50"/>
        <v>0.85584084273568095</v>
      </c>
      <c r="AI778">
        <f t="shared" si="51"/>
        <v>-7.2840842735680922E-2</v>
      </c>
    </row>
    <row r="779" spans="28:35" x14ac:dyDescent="0.35">
      <c r="AB779">
        <v>1</v>
      </c>
      <c r="AC779">
        <v>788</v>
      </c>
      <c r="AF779" s="2">
        <f t="shared" si="48"/>
        <v>1E-3</v>
      </c>
      <c r="AG779">
        <f t="shared" si="49"/>
        <v>0.78800000000000003</v>
      </c>
      <c r="AH779">
        <f t="shared" si="50"/>
        <v>0.85584084273568095</v>
      </c>
      <c r="AI779">
        <f t="shared" si="51"/>
        <v>-6.7840842735680917E-2</v>
      </c>
    </row>
    <row r="780" spans="28:35" x14ac:dyDescent="0.35">
      <c r="AB780">
        <v>3</v>
      </c>
      <c r="AC780">
        <v>765</v>
      </c>
      <c r="AF780" s="2">
        <f t="shared" si="48"/>
        <v>3.0000000000000001E-3</v>
      </c>
      <c r="AG780">
        <f t="shared" si="49"/>
        <v>0.76500000000000001</v>
      </c>
      <c r="AH780">
        <f t="shared" si="50"/>
        <v>0.78962995748025411</v>
      </c>
      <c r="AI780">
        <f t="shared" si="51"/>
        <v>-2.4629957480254094E-2</v>
      </c>
    </row>
    <row r="781" spans="28:35" x14ac:dyDescent="0.35">
      <c r="AB781">
        <v>3</v>
      </c>
      <c r="AC781">
        <v>764</v>
      </c>
      <c r="AF781" s="2">
        <f t="shared" si="48"/>
        <v>3.0000000000000001E-3</v>
      </c>
      <c r="AG781">
        <f t="shared" si="49"/>
        <v>0.76400000000000001</v>
      </c>
      <c r="AH781">
        <f t="shared" si="50"/>
        <v>0.78962995748025411</v>
      </c>
      <c r="AI781">
        <f t="shared" si="51"/>
        <v>-2.5629957480254095E-2</v>
      </c>
    </row>
    <row r="782" spans="28:35" x14ac:dyDescent="0.35">
      <c r="AB782">
        <v>1</v>
      </c>
      <c r="AC782">
        <v>783</v>
      </c>
      <c r="AF782" s="2">
        <f t="shared" si="48"/>
        <v>1E-3</v>
      </c>
      <c r="AG782">
        <f t="shared" si="49"/>
        <v>0.78300000000000003</v>
      </c>
      <c r="AH782">
        <f t="shared" si="50"/>
        <v>0.85584084273568095</v>
      </c>
      <c r="AI782">
        <f t="shared" si="51"/>
        <v>-7.2840842735680922E-2</v>
      </c>
    </row>
    <row r="783" spans="28:35" x14ac:dyDescent="0.35">
      <c r="AB783">
        <v>1</v>
      </c>
      <c r="AC783">
        <v>782</v>
      </c>
      <c r="AF783" s="2">
        <f t="shared" si="48"/>
        <v>1E-3</v>
      </c>
      <c r="AG783">
        <f t="shared" si="49"/>
        <v>0.78200000000000003</v>
      </c>
      <c r="AH783">
        <f t="shared" si="50"/>
        <v>0.85584084273568095</v>
      </c>
      <c r="AI783">
        <f t="shared" si="51"/>
        <v>-7.3840842735680923E-2</v>
      </c>
    </row>
    <row r="784" spans="28:35" x14ac:dyDescent="0.35">
      <c r="AB784">
        <v>0</v>
      </c>
      <c r="AC784">
        <v>997</v>
      </c>
      <c r="AF784" s="2">
        <f t="shared" si="48"/>
        <v>0</v>
      </c>
      <c r="AG784">
        <f t="shared" si="49"/>
        <v>0.997</v>
      </c>
      <c r="AH784">
        <f t="shared" si="50"/>
        <v>0.89100000000000001</v>
      </c>
      <c r="AI784">
        <f t="shared" si="51"/>
        <v>0.10599999999999998</v>
      </c>
    </row>
    <row r="785" spans="28:35" x14ac:dyDescent="0.35">
      <c r="AB785">
        <v>1</v>
      </c>
      <c r="AC785">
        <v>785</v>
      </c>
      <c r="AF785" s="2">
        <f t="shared" si="48"/>
        <v>1E-3</v>
      </c>
      <c r="AG785">
        <f t="shared" si="49"/>
        <v>0.78500000000000003</v>
      </c>
      <c r="AH785">
        <f t="shared" si="50"/>
        <v>0.85584084273568095</v>
      </c>
      <c r="AI785">
        <f t="shared" si="51"/>
        <v>-7.084084273568092E-2</v>
      </c>
    </row>
    <row r="786" spans="28:35" x14ac:dyDescent="0.35">
      <c r="AB786">
        <v>1</v>
      </c>
      <c r="AC786">
        <v>787</v>
      </c>
      <c r="AF786" s="2">
        <f t="shared" si="48"/>
        <v>1E-3</v>
      </c>
      <c r="AG786">
        <f t="shared" si="49"/>
        <v>0.78700000000000003</v>
      </c>
      <c r="AH786">
        <f t="shared" si="50"/>
        <v>0.85584084273568095</v>
      </c>
      <c r="AI786">
        <f t="shared" si="51"/>
        <v>-6.8840842735680918E-2</v>
      </c>
    </row>
    <row r="787" spans="28:35" x14ac:dyDescent="0.35">
      <c r="AB787">
        <v>0</v>
      </c>
      <c r="AC787">
        <v>995</v>
      </c>
      <c r="AF787" s="2">
        <f t="shared" si="48"/>
        <v>0</v>
      </c>
      <c r="AG787">
        <f t="shared" si="49"/>
        <v>0.995</v>
      </c>
      <c r="AH787">
        <f t="shared" si="50"/>
        <v>0.89100000000000001</v>
      </c>
      <c r="AI787">
        <f t="shared" si="51"/>
        <v>0.10399999999999998</v>
      </c>
    </row>
    <row r="788" spans="28:35" x14ac:dyDescent="0.35">
      <c r="AB788">
        <v>1</v>
      </c>
      <c r="AC788">
        <v>786</v>
      </c>
      <c r="AF788" s="2">
        <f t="shared" si="48"/>
        <v>1E-3</v>
      </c>
      <c r="AG788">
        <f t="shared" si="49"/>
        <v>0.78600000000000003</v>
      </c>
      <c r="AH788">
        <f t="shared" si="50"/>
        <v>0.85584084273568095</v>
      </c>
      <c r="AI788">
        <f t="shared" si="51"/>
        <v>-6.9840842735680919E-2</v>
      </c>
    </row>
    <row r="789" spans="28:35" x14ac:dyDescent="0.35">
      <c r="AB789">
        <v>1</v>
      </c>
      <c r="AC789">
        <v>782</v>
      </c>
      <c r="AF789" s="2">
        <f t="shared" si="48"/>
        <v>1E-3</v>
      </c>
      <c r="AG789">
        <f t="shared" si="49"/>
        <v>0.78200000000000003</v>
      </c>
      <c r="AH789">
        <f t="shared" si="50"/>
        <v>0.85584084273568095</v>
      </c>
      <c r="AI789">
        <f t="shared" si="51"/>
        <v>-7.3840842735680923E-2</v>
      </c>
    </row>
    <row r="790" spans="28:35" x14ac:dyDescent="0.35">
      <c r="AB790">
        <v>2</v>
      </c>
      <c r="AC790">
        <v>775</v>
      </c>
      <c r="AF790" s="2">
        <f t="shared" si="48"/>
        <v>2E-3</v>
      </c>
      <c r="AG790">
        <f t="shared" si="49"/>
        <v>0.77500000000000002</v>
      </c>
      <c r="AH790">
        <f t="shared" si="50"/>
        <v>0.82206907754716119</v>
      </c>
      <c r="AI790">
        <f t="shared" si="51"/>
        <v>-4.7069077547161164E-2</v>
      </c>
    </row>
    <row r="791" spans="28:35" x14ac:dyDescent="0.35">
      <c r="AB791">
        <v>1</v>
      </c>
      <c r="AC791">
        <v>792</v>
      </c>
      <c r="AF791" s="2">
        <f t="shared" si="48"/>
        <v>1E-3</v>
      </c>
      <c r="AG791">
        <f t="shared" si="49"/>
        <v>0.79200000000000004</v>
      </c>
      <c r="AH791">
        <f t="shared" si="50"/>
        <v>0.85584084273568095</v>
      </c>
      <c r="AI791">
        <f t="shared" si="51"/>
        <v>-6.3840842735680914E-2</v>
      </c>
    </row>
    <row r="792" spans="28:35" x14ac:dyDescent="0.35">
      <c r="AB792">
        <v>1</v>
      </c>
      <c r="AC792">
        <v>785</v>
      </c>
      <c r="AF792" s="2">
        <f t="shared" si="48"/>
        <v>1E-3</v>
      </c>
      <c r="AG792">
        <f t="shared" si="49"/>
        <v>0.78500000000000003</v>
      </c>
      <c r="AH792">
        <f t="shared" si="50"/>
        <v>0.85584084273568095</v>
      </c>
      <c r="AI792">
        <f t="shared" si="51"/>
        <v>-7.084084273568092E-2</v>
      </c>
    </row>
    <row r="793" spans="28:35" x14ac:dyDescent="0.35">
      <c r="AB793">
        <v>0</v>
      </c>
      <c r="AC793">
        <v>996</v>
      </c>
      <c r="AF793" s="2">
        <f t="shared" si="48"/>
        <v>0</v>
      </c>
      <c r="AG793">
        <f t="shared" si="49"/>
        <v>0.996</v>
      </c>
      <c r="AH793">
        <f t="shared" si="50"/>
        <v>0.89100000000000001</v>
      </c>
      <c r="AI793">
        <f t="shared" si="51"/>
        <v>0.10499999999999998</v>
      </c>
    </row>
    <row r="794" spans="28:35" x14ac:dyDescent="0.35">
      <c r="AB794">
        <v>0</v>
      </c>
      <c r="AC794">
        <v>996</v>
      </c>
      <c r="AF794" s="2">
        <f t="shared" si="48"/>
        <v>0</v>
      </c>
      <c r="AG794">
        <f t="shared" si="49"/>
        <v>0.996</v>
      </c>
      <c r="AH794">
        <f t="shared" si="50"/>
        <v>0.89100000000000001</v>
      </c>
      <c r="AI794">
        <f t="shared" si="51"/>
        <v>0.10499999999999998</v>
      </c>
    </row>
    <row r="795" spans="28:35" x14ac:dyDescent="0.35">
      <c r="AB795">
        <v>0</v>
      </c>
      <c r="AC795">
        <v>995</v>
      </c>
      <c r="AF795" s="2">
        <f t="shared" si="48"/>
        <v>0</v>
      </c>
      <c r="AG795">
        <f t="shared" si="49"/>
        <v>0.995</v>
      </c>
      <c r="AH795">
        <f t="shared" si="50"/>
        <v>0.89100000000000001</v>
      </c>
      <c r="AI795">
        <f t="shared" si="51"/>
        <v>0.10399999999999998</v>
      </c>
    </row>
    <row r="796" spans="28:35" x14ac:dyDescent="0.35">
      <c r="AB796">
        <v>0</v>
      </c>
      <c r="AC796">
        <v>996</v>
      </c>
      <c r="AF796" s="2">
        <f t="shared" si="48"/>
        <v>0</v>
      </c>
      <c r="AG796">
        <f t="shared" si="49"/>
        <v>0.996</v>
      </c>
      <c r="AH796">
        <f t="shared" si="50"/>
        <v>0.89100000000000001</v>
      </c>
      <c r="AI796">
        <f t="shared" si="51"/>
        <v>0.10499999999999998</v>
      </c>
    </row>
    <row r="797" spans="28:35" x14ac:dyDescent="0.35">
      <c r="AB797">
        <v>2</v>
      </c>
      <c r="AC797">
        <v>795</v>
      </c>
      <c r="AF797" s="2">
        <f t="shared" si="48"/>
        <v>2E-3</v>
      </c>
      <c r="AG797">
        <f t="shared" si="49"/>
        <v>0.79500000000000004</v>
      </c>
      <c r="AH797">
        <f t="shared" si="50"/>
        <v>0.82206907754716119</v>
      </c>
      <c r="AI797">
        <f t="shared" si="51"/>
        <v>-2.7069077547161147E-2</v>
      </c>
    </row>
    <row r="798" spans="28:35" x14ac:dyDescent="0.35">
      <c r="AB798">
        <v>1</v>
      </c>
      <c r="AC798">
        <v>780</v>
      </c>
      <c r="AF798" s="2">
        <f t="shared" si="48"/>
        <v>1E-3</v>
      </c>
      <c r="AG798">
        <f t="shared" si="49"/>
        <v>0.78</v>
      </c>
      <c r="AH798">
        <f t="shared" si="50"/>
        <v>0.85584084273568095</v>
      </c>
      <c r="AI798">
        <f t="shared" si="51"/>
        <v>-7.5840842735680924E-2</v>
      </c>
    </row>
    <row r="799" spans="28:35" x14ac:dyDescent="0.35">
      <c r="AB799">
        <v>0</v>
      </c>
      <c r="AC799">
        <v>993</v>
      </c>
      <c r="AF799" s="2">
        <f t="shared" si="48"/>
        <v>0</v>
      </c>
      <c r="AG799">
        <f t="shared" si="49"/>
        <v>0.99299999999999999</v>
      </c>
      <c r="AH799">
        <f t="shared" si="50"/>
        <v>0.89100000000000001</v>
      </c>
      <c r="AI799">
        <f t="shared" si="51"/>
        <v>0.10199999999999998</v>
      </c>
    </row>
    <row r="800" spans="28:35" x14ac:dyDescent="0.35">
      <c r="AB800">
        <v>0</v>
      </c>
      <c r="AC800">
        <v>996</v>
      </c>
      <c r="AF800" s="2">
        <f t="shared" si="48"/>
        <v>0</v>
      </c>
      <c r="AG800">
        <f t="shared" si="49"/>
        <v>0.996</v>
      </c>
      <c r="AH800">
        <f t="shared" si="50"/>
        <v>0.89100000000000001</v>
      </c>
      <c r="AI800">
        <f t="shared" si="51"/>
        <v>0.10499999999999998</v>
      </c>
    </row>
    <row r="801" spans="28:35" x14ac:dyDescent="0.35">
      <c r="AB801">
        <v>0</v>
      </c>
      <c r="AC801">
        <v>996</v>
      </c>
      <c r="AF801" s="2">
        <f t="shared" si="48"/>
        <v>0</v>
      </c>
      <c r="AG801">
        <f t="shared" si="49"/>
        <v>0.996</v>
      </c>
      <c r="AH801">
        <f t="shared" si="50"/>
        <v>0.89100000000000001</v>
      </c>
      <c r="AI801">
        <f t="shared" si="51"/>
        <v>0.10499999999999998</v>
      </c>
    </row>
    <row r="802" spans="28:35" x14ac:dyDescent="0.35">
      <c r="AB802">
        <v>0</v>
      </c>
      <c r="AC802">
        <v>996</v>
      </c>
      <c r="AF802" s="2">
        <f t="shared" si="48"/>
        <v>0</v>
      </c>
      <c r="AG802">
        <f t="shared" si="49"/>
        <v>0.996</v>
      </c>
      <c r="AH802">
        <f t="shared" si="50"/>
        <v>0.89100000000000001</v>
      </c>
      <c r="AI802">
        <f t="shared" si="51"/>
        <v>0.10499999999999998</v>
      </c>
    </row>
    <row r="803" spans="28:35" x14ac:dyDescent="0.35">
      <c r="AB803">
        <v>2</v>
      </c>
      <c r="AC803">
        <v>793</v>
      </c>
      <c r="AF803" s="2">
        <f t="shared" si="48"/>
        <v>2E-3</v>
      </c>
      <c r="AG803">
        <f t="shared" si="49"/>
        <v>0.79300000000000004</v>
      </c>
      <c r="AH803">
        <f t="shared" si="50"/>
        <v>0.82206907754716119</v>
      </c>
      <c r="AI803">
        <f t="shared" si="51"/>
        <v>-2.9069077547161148E-2</v>
      </c>
    </row>
    <row r="804" spans="28:35" x14ac:dyDescent="0.35">
      <c r="AB804">
        <v>1</v>
      </c>
      <c r="AC804">
        <v>787</v>
      </c>
      <c r="AF804" s="2">
        <f t="shared" si="48"/>
        <v>1E-3</v>
      </c>
      <c r="AG804">
        <f t="shared" si="49"/>
        <v>0.78700000000000003</v>
      </c>
      <c r="AH804">
        <f t="shared" si="50"/>
        <v>0.85584084273568095</v>
      </c>
      <c r="AI804">
        <f t="shared" si="51"/>
        <v>-6.8840842735680918E-2</v>
      </c>
    </row>
    <row r="805" spans="28:35" x14ac:dyDescent="0.35">
      <c r="AB805">
        <v>0</v>
      </c>
      <c r="AC805">
        <v>997</v>
      </c>
      <c r="AF805" s="2">
        <f t="shared" si="48"/>
        <v>0</v>
      </c>
      <c r="AG805">
        <f t="shared" si="49"/>
        <v>0.997</v>
      </c>
      <c r="AH805">
        <f t="shared" si="50"/>
        <v>0.89100000000000001</v>
      </c>
      <c r="AI805">
        <f t="shared" si="51"/>
        <v>0.10599999999999998</v>
      </c>
    </row>
    <row r="806" spans="28:35" x14ac:dyDescent="0.35">
      <c r="AB806">
        <v>3</v>
      </c>
      <c r="AC806">
        <v>766</v>
      </c>
      <c r="AF806" s="2">
        <f t="shared" si="48"/>
        <v>3.0000000000000001E-3</v>
      </c>
      <c r="AG806">
        <f t="shared" si="49"/>
        <v>0.76600000000000001</v>
      </c>
      <c r="AH806">
        <f t="shared" si="50"/>
        <v>0.78962995748025411</v>
      </c>
      <c r="AI806">
        <f t="shared" si="51"/>
        <v>-2.3629957480254093E-2</v>
      </c>
    </row>
    <row r="807" spans="28:35" x14ac:dyDescent="0.35">
      <c r="AB807">
        <v>1</v>
      </c>
      <c r="AC807">
        <v>785</v>
      </c>
      <c r="AF807" s="2">
        <f t="shared" si="48"/>
        <v>1E-3</v>
      </c>
      <c r="AG807">
        <f t="shared" si="49"/>
        <v>0.78500000000000003</v>
      </c>
      <c r="AH807">
        <f t="shared" si="50"/>
        <v>0.85584084273568095</v>
      </c>
      <c r="AI807">
        <f t="shared" si="51"/>
        <v>-7.084084273568092E-2</v>
      </c>
    </row>
    <row r="808" spans="28:35" x14ac:dyDescent="0.35">
      <c r="AB808">
        <v>0</v>
      </c>
      <c r="AC808">
        <v>994</v>
      </c>
      <c r="AF808" s="2">
        <f t="shared" si="48"/>
        <v>0</v>
      </c>
      <c r="AG808">
        <f t="shared" si="49"/>
        <v>0.99399999999999999</v>
      </c>
      <c r="AH808">
        <f t="shared" si="50"/>
        <v>0.89100000000000001</v>
      </c>
      <c r="AI808">
        <f t="shared" si="51"/>
        <v>0.10299999999999998</v>
      </c>
    </row>
    <row r="809" spans="28:35" x14ac:dyDescent="0.35">
      <c r="AB809">
        <v>2</v>
      </c>
      <c r="AC809">
        <v>787</v>
      </c>
      <c r="AF809" s="2">
        <f t="shared" si="48"/>
        <v>2E-3</v>
      </c>
      <c r="AG809">
        <f t="shared" si="49"/>
        <v>0.78700000000000003</v>
      </c>
      <c r="AH809">
        <f t="shared" si="50"/>
        <v>0.82206907754716119</v>
      </c>
      <c r="AI809">
        <f t="shared" si="51"/>
        <v>-3.5069077547161154E-2</v>
      </c>
    </row>
    <row r="810" spans="28:35" x14ac:dyDescent="0.35">
      <c r="AB810">
        <v>2</v>
      </c>
      <c r="AC810">
        <v>783</v>
      </c>
      <c r="AF810" s="2">
        <f t="shared" si="48"/>
        <v>2E-3</v>
      </c>
      <c r="AG810">
        <f t="shared" si="49"/>
        <v>0.78300000000000003</v>
      </c>
      <c r="AH810">
        <f t="shared" si="50"/>
        <v>0.82206907754716119</v>
      </c>
      <c r="AI810">
        <f t="shared" si="51"/>
        <v>-3.9069077547161157E-2</v>
      </c>
    </row>
    <row r="811" spans="28:35" x14ac:dyDescent="0.35">
      <c r="AB811">
        <v>1</v>
      </c>
      <c r="AC811">
        <v>772</v>
      </c>
      <c r="AF811" s="2">
        <f t="shared" si="48"/>
        <v>1E-3</v>
      </c>
      <c r="AG811">
        <f t="shared" si="49"/>
        <v>0.77200000000000002</v>
      </c>
      <c r="AH811">
        <f t="shared" si="50"/>
        <v>0.85584084273568095</v>
      </c>
      <c r="AI811">
        <f t="shared" si="51"/>
        <v>-8.3840842735680932E-2</v>
      </c>
    </row>
    <row r="812" spans="28:35" x14ac:dyDescent="0.35">
      <c r="AB812">
        <v>9</v>
      </c>
      <c r="AC812">
        <v>717</v>
      </c>
      <c r="AF812" s="2">
        <f t="shared" si="48"/>
        <v>8.9999999999999993E-3</v>
      </c>
      <c r="AG812">
        <f t="shared" si="49"/>
        <v>0.71699999999999997</v>
      </c>
      <c r="AH812">
        <f t="shared" si="50"/>
        <v>0.62017669382084306</v>
      </c>
      <c r="AI812">
        <f t="shared" si="51"/>
        <v>9.6823306179156909E-2</v>
      </c>
    </row>
    <row r="813" spans="28:35" x14ac:dyDescent="0.35">
      <c r="AB813">
        <v>2</v>
      </c>
      <c r="AC813">
        <v>769</v>
      </c>
      <c r="AF813" s="2">
        <f t="shared" si="48"/>
        <v>2E-3</v>
      </c>
      <c r="AG813">
        <f t="shared" si="49"/>
        <v>0.76900000000000002</v>
      </c>
      <c r="AH813">
        <f t="shared" si="50"/>
        <v>0.82206907754716119</v>
      </c>
      <c r="AI813">
        <f t="shared" si="51"/>
        <v>-5.306907754716117E-2</v>
      </c>
    </row>
    <row r="814" spans="28:35" x14ac:dyDescent="0.35">
      <c r="AB814">
        <v>2</v>
      </c>
      <c r="AC814">
        <v>772</v>
      </c>
      <c r="AF814" s="2">
        <f t="shared" si="48"/>
        <v>2E-3</v>
      </c>
      <c r="AG814">
        <f t="shared" si="49"/>
        <v>0.77200000000000002</v>
      </c>
      <c r="AH814">
        <f t="shared" si="50"/>
        <v>0.82206907754716119</v>
      </c>
      <c r="AI814">
        <f t="shared" si="51"/>
        <v>-5.0069077547161167E-2</v>
      </c>
    </row>
    <row r="815" spans="28:35" x14ac:dyDescent="0.35">
      <c r="AB815">
        <v>2</v>
      </c>
      <c r="AC815">
        <v>780</v>
      </c>
      <c r="AF815" s="2">
        <f t="shared" si="48"/>
        <v>2E-3</v>
      </c>
      <c r="AG815">
        <f t="shared" si="49"/>
        <v>0.78</v>
      </c>
      <c r="AH815">
        <f t="shared" si="50"/>
        <v>0.82206907754716119</v>
      </c>
      <c r="AI815">
        <f t="shared" si="51"/>
        <v>-4.206907754716116E-2</v>
      </c>
    </row>
    <row r="816" spans="28:35" x14ac:dyDescent="0.35">
      <c r="AB816">
        <v>1</v>
      </c>
      <c r="AC816">
        <v>784</v>
      </c>
      <c r="AF816" s="2">
        <f t="shared" si="48"/>
        <v>1E-3</v>
      </c>
      <c r="AG816">
        <f t="shared" si="49"/>
        <v>0.78400000000000003</v>
      </c>
      <c r="AH816">
        <f t="shared" si="50"/>
        <v>0.85584084273568095</v>
      </c>
      <c r="AI816">
        <f t="shared" si="51"/>
        <v>-7.1840842735680921E-2</v>
      </c>
    </row>
    <row r="817" spans="28:35" x14ac:dyDescent="0.35">
      <c r="AB817">
        <v>3</v>
      </c>
      <c r="AC817">
        <v>758</v>
      </c>
      <c r="AF817" s="2">
        <f t="shared" si="48"/>
        <v>3.0000000000000001E-3</v>
      </c>
      <c r="AG817">
        <f t="shared" si="49"/>
        <v>0.75800000000000001</v>
      </c>
      <c r="AH817">
        <f t="shared" si="50"/>
        <v>0.78962995748025411</v>
      </c>
      <c r="AI817">
        <f t="shared" si="51"/>
        <v>-3.1629957480254101E-2</v>
      </c>
    </row>
    <row r="818" spans="28:35" x14ac:dyDescent="0.35">
      <c r="AB818">
        <v>2</v>
      </c>
      <c r="AC818">
        <v>786</v>
      </c>
      <c r="AF818" s="2">
        <f t="shared" si="48"/>
        <v>2E-3</v>
      </c>
      <c r="AG818">
        <f t="shared" si="49"/>
        <v>0.78600000000000003</v>
      </c>
      <c r="AH818">
        <f t="shared" si="50"/>
        <v>0.82206907754716119</v>
      </c>
      <c r="AI818">
        <f t="shared" si="51"/>
        <v>-3.6069077547161155E-2</v>
      </c>
    </row>
    <row r="819" spans="28:35" x14ac:dyDescent="0.35">
      <c r="AB819">
        <v>4</v>
      </c>
      <c r="AC819">
        <v>806</v>
      </c>
      <c r="AF819" s="2">
        <f t="shared" si="48"/>
        <v>4.0000000000000001E-3</v>
      </c>
      <c r="AG819">
        <f t="shared" si="49"/>
        <v>0.80600000000000005</v>
      </c>
      <c r="AH819">
        <f t="shared" si="50"/>
        <v>0.75847089591385031</v>
      </c>
      <c r="AI819">
        <f t="shared" si="51"/>
        <v>4.7529104086149743E-2</v>
      </c>
    </row>
    <row r="820" spans="28:35" x14ac:dyDescent="0.35">
      <c r="AB820">
        <v>3</v>
      </c>
      <c r="AC820">
        <v>760</v>
      </c>
      <c r="AF820" s="2">
        <f t="shared" si="48"/>
        <v>3.0000000000000001E-3</v>
      </c>
      <c r="AG820">
        <f t="shared" si="49"/>
        <v>0.76</v>
      </c>
      <c r="AH820">
        <f t="shared" si="50"/>
        <v>0.78962995748025411</v>
      </c>
      <c r="AI820">
        <f t="shared" si="51"/>
        <v>-2.9629957480254099E-2</v>
      </c>
    </row>
    <row r="821" spans="28:35" x14ac:dyDescent="0.35">
      <c r="AB821">
        <v>5</v>
      </c>
      <c r="AC821">
        <v>557</v>
      </c>
      <c r="AF821" s="2">
        <f t="shared" si="48"/>
        <v>5.0000000000000001E-3</v>
      </c>
      <c r="AG821">
        <f t="shared" si="49"/>
        <v>0.55700000000000005</v>
      </c>
      <c r="AH821">
        <f t="shared" si="50"/>
        <v>0.72854138131245416</v>
      </c>
      <c r="AI821">
        <f t="shared" si="51"/>
        <v>-0.17154138131245411</v>
      </c>
    </row>
    <row r="822" spans="28:35" x14ac:dyDescent="0.35">
      <c r="AB822">
        <v>3</v>
      </c>
      <c r="AC822">
        <v>760</v>
      </c>
      <c r="AF822" s="2">
        <f t="shared" si="48"/>
        <v>3.0000000000000001E-3</v>
      </c>
      <c r="AG822">
        <f t="shared" si="49"/>
        <v>0.76</v>
      </c>
      <c r="AH822">
        <f t="shared" si="50"/>
        <v>0.78962995748025411</v>
      </c>
      <c r="AI822">
        <f t="shared" si="51"/>
        <v>-2.9629957480254099E-2</v>
      </c>
    </row>
    <row r="823" spans="28:35" x14ac:dyDescent="0.35">
      <c r="AB823">
        <v>1</v>
      </c>
      <c r="AC823">
        <v>780</v>
      </c>
      <c r="AF823" s="2">
        <f t="shared" si="48"/>
        <v>1E-3</v>
      </c>
      <c r="AG823">
        <f t="shared" si="49"/>
        <v>0.78</v>
      </c>
      <c r="AH823">
        <f t="shared" si="50"/>
        <v>0.85584084273568095</v>
      </c>
      <c r="AI823">
        <f t="shared" si="51"/>
        <v>-7.5840842735680924E-2</v>
      </c>
    </row>
    <row r="824" spans="28:35" x14ac:dyDescent="0.35">
      <c r="AB824">
        <v>0</v>
      </c>
      <c r="AC824">
        <v>993</v>
      </c>
      <c r="AF824" s="2">
        <f t="shared" si="48"/>
        <v>0</v>
      </c>
      <c r="AG824">
        <f t="shared" si="49"/>
        <v>0.99299999999999999</v>
      </c>
      <c r="AH824">
        <f t="shared" si="50"/>
        <v>0.89100000000000001</v>
      </c>
      <c r="AI824">
        <f t="shared" si="51"/>
        <v>0.10199999999999998</v>
      </c>
    </row>
    <row r="825" spans="28:35" x14ac:dyDescent="0.35">
      <c r="AB825">
        <v>0</v>
      </c>
      <c r="AC825">
        <v>997</v>
      </c>
      <c r="AF825" s="2">
        <f t="shared" si="48"/>
        <v>0</v>
      </c>
      <c r="AG825">
        <f t="shared" si="49"/>
        <v>0.997</v>
      </c>
      <c r="AH825">
        <f t="shared" si="50"/>
        <v>0.89100000000000001</v>
      </c>
      <c r="AI825">
        <f t="shared" si="51"/>
        <v>0.10599999999999998</v>
      </c>
    </row>
    <row r="826" spans="28:35" x14ac:dyDescent="0.35">
      <c r="AB826">
        <v>0</v>
      </c>
      <c r="AC826">
        <v>997</v>
      </c>
      <c r="AF826" s="2">
        <f t="shared" si="48"/>
        <v>0</v>
      </c>
      <c r="AG826">
        <f t="shared" si="49"/>
        <v>0.997</v>
      </c>
      <c r="AH826">
        <f t="shared" si="50"/>
        <v>0.89100000000000001</v>
      </c>
      <c r="AI826">
        <f t="shared" si="51"/>
        <v>0.10599999999999998</v>
      </c>
    </row>
    <row r="827" spans="28:35" x14ac:dyDescent="0.35">
      <c r="AB827">
        <v>0</v>
      </c>
      <c r="AC827">
        <v>997</v>
      </c>
      <c r="AF827" s="2">
        <f t="shared" si="48"/>
        <v>0</v>
      </c>
      <c r="AG827">
        <f t="shared" si="49"/>
        <v>0.997</v>
      </c>
      <c r="AH827">
        <f t="shared" si="50"/>
        <v>0.89100000000000001</v>
      </c>
      <c r="AI827">
        <f t="shared" si="51"/>
        <v>0.10599999999999998</v>
      </c>
    </row>
    <row r="828" spans="28:35" x14ac:dyDescent="0.35">
      <c r="AB828">
        <v>0</v>
      </c>
      <c r="AC828">
        <v>995</v>
      </c>
      <c r="AF828" s="2">
        <f t="shared" si="48"/>
        <v>0</v>
      </c>
      <c r="AG828">
        <f t="shared" si="49"/>
        <v>0.995</v>
      </c>
      <c r="AH828">
        <f t="shared" si="50"/>
        <v>0.89100000000000001</v>
      </c>
      <c r="AI828">
        <f t="shared" si="51"/>
        <v>0.10399999999999998</v>
      </c>
    </row>
    <row r="829" spans="28:35" x14ac:dyDescent="0.35">
      <c r="AB829">
        <v>2</v>
      </c>
      <c r="AC829">
        <v>786</v>
      </c>
      <c r="AF829" s="2">
        <f t="shared" si="48"/>
        <v>2E-3</v>
      </c>
      <c r="AG829">
        <f t="shared" si="49"/>
        <v>0.78600000000000003</v>
      </c>
      <c r="AH829">
        <f t="shared" si="50"/>
        <v>0.82206907754716119</v>
      </c>
      <c r="AI829">
        <f t="shared" si="51"/>
        <v>-3.6069077547161155E-2</v>
      </c>
    </row>
    <row r="830" spans="28:35" x14ac:dyDescent="0.35">
      <c r="AB830">
        <v>1</v>
      </c>
      <c r="AC830">
        <v>789</v>
      </c>
      <c r="AF830" s="2">
        <f t="shared" si="48"/>
        <v>1E-3</v>
      </c>
      <c r="AG830">
        <f t="shared" si="49"/>
        <v>0.78900000000000003</v>
      </c>
      <c r="AH830">
        <f t="shared" si="50"/>
        <v>0.85584084273568095</v>
      </c>
      <c r="AI830">
        <f t="shared" si="51"/>
        <v>-6.6840842735680916E-2</v>
      </c>
    </row>
    <row r="831" spans="28:35" x14ac:dyDescent="0.35">
      <c r="AB831">
        <v>2</v>
      </c>
      <c r="AC831">
        <v>782</v>
      </c>
      <c r="AF831" s="2">
        <f t="shared" si="48"/>
        <v>2E-3</v>
      </c>
      <c r="AG831">
        <f t="shared" si="49"/>
        <v>0.78200000000000003</v>
      </c>
      <c r="AH831">
        <f t="shared" si="50"/>
        <v>0.82206907754716119</v>
      </c>
      <c r="AI831">
        <f t="shared" si="51"/>
        <v>-4.0069077547161158E-2</v>
      </c>
    </row>
    <row r="832" spans="28:35" x14ac:dyDescent="0.35">
      <c r="AB832">
        <v>3</v>
      </c>
      <c r="AC832">
        <v>762</v>
      </c>
      <c r="AF832" s="2">
        <f t="shared" si="48"/>
        <v>3.0000000000000001E-3</v>
      </c>
      <c r="AG832">
        <f t="shared" si="49"/>
        <v>0.76200000000000001</v>
      </c>
      <c r="AH832">
        <f t="shared" si="50"/>
        <v>0.78962995748025411</v>
      </c>
      <c r="AI832">
        <f t="shared" si="51"/>
        <v>-2.7629957480254097E-2</v>
      </c>
    </row>
    <row r="833" spans="28:35" x14ac:dyDescent="0.35">
      <c r="AB833">
        <v>0</v>
      </c>
      <c r="AC833">
        <v>992</v>
      </c>
      <c r="AF833" s="2">
        <f t="shared" si="48"/>
        <v>0</v>
      </c>
      <c r="AG833">
        <f t="shared" si="49"/>
        <v>0.99199999999999999</v>
      </c>
      <c r="AH833">
        <f t="shared" si="50"/>
        <v>0.89100000000000001</v>
      </c>
      <c r="AI833">
        <f t="shared" si="51"/>
        <v>0.10099999999999998</v>
      </c>
    </row>
    <row r="834" spans="28:35" x14ac:dyDescent="0.35">
      <c r="AB834">
        <v>0</v>
      </c>
      <c r="AC834">
        <v>995</v>
      </c>
      <c r="AF834" s="2">
        <f t="shared" si="48"/>
        <v>0</v>
      </c>
      <c r="AG834">
        <f t="shared" si="49"/>
        <v>0.995</v>
      </c>
      <c r="AH834">
        <f t="shared" si="50"/>
        <v>0.89100000000000001</v>
      </c>
      <c r="AI834">
        <f t="shared" si="51"/>
        <v>0.10399999999999998</v>
      </c>
    </row>
    <row r="835" spans="28:35" x14ac:dyDescent="0.35">
      <c r="AB835">
        <v>0</v>
      </c>
      <c r="AC835">
        <v>995</v>
      </c>
      <c r="AF835" s="2">
        <f t="shared" si="48"/>
        <v>0</v>
      </c>
      <c r="AG835">
        <f t="shared" si="49"/>
        <v>0.995</v>
      </c>
      <c r="AH835">
        <f t="shared" si="50"/>
        <v>0.89100000000000001</v>
      </c>
      <c r="AI835">
        <f t="shared" si="51"/>
        <v>0.10399999999999998</v>
      </c>
    </row>
    <row r="836" spans="28:35" x14ac:dyDescent="0.35">
      <c r="AB836">
        <v>0</v>
      </c>
      <c r="AC836">
        <v>996</v>
      </c>
      <c r="AF836" s="2">
        <f t="shared" ref="AF836:AF899" si="52">AB836/1000</f>
        <v>0</v>
      </c>
      <c r="AG836">
        <f t="shared" ref="AG836:AG899" si="53">AC836/1000</f>
        <v>0.996</v>
      </c>
      <c r="AH836">
        <f t="shared" ref="AH836:AH899" si="54">0.891*EXP(-40.26*AF836)</f>
        <v>0.89100000000000001</v>
      </c>
      <c r="AI836">
        <f t="shared" ref="AI836:AI899" si="55">AG836-AH836</f>
        <v>0.10499999999999998</v>
      </c>
    </row>
    <row r="837" spans="28:35" x14ac:dyDescent="0.35">
      <c r="AB837">
        <v>0</v>
      </c>
      <c r="AC837">
        <v>996</v>
      </c>
      <c r="AF837" s="2">
        <f t="shared" si="52"/>
        <v>0</v>
      </c>
      <c r="AG837">
        <f t="shared" si="53"/>
        <v>0.996</v>
      </c>
      <c r="AH837">
        <f t="shared" si="54"/>
        <v>0.89100000000000001</v>
      </c>
      <c r="AI837">
        <f t="shared" si="55"/>
        <v>0.10499999999999998</v>
      </c>
    </row>
    <row r="838" spans="28:35" x14ac:dyDescent="0.35">
      <c r="AB838">
        <v>2</v>
      </c>
      <c r="AC838">
        <v>786</v>
      </c>
      <c r="AF838" s="2">
        <f t="shared" si="52"/>
        <v>2E-3</v>
      </c>
      <c r="AG838">
        <f t="shared" si="53"/>
        <v>0.78600000000000003</v>
      </c>
      <c r="AH838">
        <f t="shared" si="54"/>
        <v>0.82206907754716119</v>
      </c>
      <c r="AI838">
        <f t="shared" si="55"/>
        <v>-3.6069077547161155E-2</v>
      </c>
    </row>
    <row r="839" spans="28:35" x14ac:dyDescent="0.35">
      <c r="AB839">
        <v>1</v>
      </c>
      <c r="AC839">
        <v>793</v>
      </c>
      <c r="AF839" s="2">
        <f t="shared" si="52"/>
        <v>1E-3</v>
      </c>
      <c r="AG839">
        <f t="shared" si="53"/>
        <v>0.79300000000000004</v>
      </c>
      <c r="AH839">
        <f t="shared" si="54"/>
        <v>0.85584084273568095</v>
      </c>
      <c r="AI839">
        <f t="shared" si="55"/>
        <v>-6.2840842735680913E-2</v>
      </c>
    </row>
    <row r="840" spans="28:35" x14ac:dyDescent="0.35">
      <c r="AB840">
        <v>3</v>
      </c>
      <c r="AC840">
        <v>772</v>
      </c>
      <c r="AF840" s="2">
        <f t="shared" si="52"/>
        <v>3.0000000000000001E-3</v>
      </c>
      <c r="AG840">
        <f t="shared" si="53"/>
        <v>0.77200000000000002</v>
      </c>
      <c r="AH840">
        <f t="shared" si="54"/>
        <v>0.78962995748025411</v>
      </c>
      <c r="AI840">
        <f t="shared" si="55"/>
        <v>-1.7629957480254088E-2</v>
      </c>
    </row>
    <row r="841" spans="28:35" x14ac:dyDescent="0.35">
      <c r="AB841">
        <v>5</v>
      </c>
      <c r="AC841">
        <v>570</v>
      </c>
      <c r="AF841" s="2">
        <f t="shared" si="52"/>
        <v>5.0000000000000001E-3</v>
      </c>
      <c r="AG841">
        <f t="shared" si="53"/>
        <v>0.56999999999999995</v>
      </c>
      <c r="AH841">
        <f t="shared" si="54"/>
        <v>0.72854138131245416</v>
      </c>
      <c r="AI841">
        <f t="shared" si="55"/>
        <v>-0.15854138131245421</v>
      </c>
    </row>
    <row r="842" spans="28:35" x14ac:dyDescent="0.35">
      <c r="AB842">
        <v>4</v>
      </c>
      <c r="AC842">
        <v>805</v>
      </c>
      <c r="AF842" s="2">
        <f t="shared" si="52"/>
        <v>4.0000000000000001E-3</v>
      </c>
      <c r="AG842">
        <f t="shared" si="53"/>
        <v>0.80500000000000005</v>
      </c>
      <c r="AH842">
        <f t="shared" si="54"/>
        <v>0.75847089591385031</v>
      </c>
      <c r="AI842">
        <f t="shared" si="55"/>
        <v>4.6529104086149742E-2</v>
      </c>
    </row>
    <row r="843" spans="28:35" x14ac:dyDescent="0.35">
      <c r="AB843">
        <v>4</v>
      </c>
      <c r="AC843">
        <v>794</v>
      </c>
      <c r="AF843" s="2">
        <f t="shared" si="52"/>
        <v>4.0000000000000001E-3</v>
      </c>
      <c r="AG843">
        <f t="shared" si="53"/>
        <v>0.79400000000000004</v>
      </c>
      <c r="AH843">
        <f t="shared" si="54"/>
        <v>0.75847089591385031</v>
      </c>
      <c r="AI843">
        <f t="shared" si="55"/>
        <v>3.5529104086149732E-2</v>
      </c>
    </row>
    <row r="844" spans="28:35" x14ac:dyDescent="0.35">
      <c r="AB844">
        <v>5</v>
      </c>
      <c r="AC844">
        <v>565</v>
      </c>
      <c r="AF844" s="2">
        <f t="shared" si="52"/>
        <v>5.0000000000000001E-3</v>
      </c>
      <c r="AG844">
        <f t="shared" si="53"/>
        <v>0.56499999999999995</v>
      </c>
      <c r="AH844">
        <f t="shared" si="54"/>
        <v>0.72854138131245416</v>
      </c>
      <c r="AI844">
        <f t="shared" si="55"/>
        <v>-0.16354138131245421</v>
      </c>
    </row>
    <row r="845" spans="28:35" x14ac:dyDescent="0.35">
      <c r="AB845">
        <v>3</v>
      </c>
      <c r="AC845">
        <v>762</v>
      </c>
      <c r="AF845" s="2">
        <f t="shared" si="52"/>
        <v>3.0000000000000001E-3</v>
      </c>
      <c r="AG845">
        <f t="shared" si="53"/>
        <v>0.76200000000000001</v>
      </c>
      <c r="AH845">
        <f t="shared" si="54"/>
        <v>0.78962995748025411</v>
      </c>
      <c r="AI845">
        <f t="shared" si="55"/>
        <v>-2.7629957480254097E-2</v>
      </c>
    </row>
    <row r="846" spans="28:35" x14ac:dyDescent="0.35">
      <c r="AB846">
        <v>4</v>
      </c>
      <c r="AC846">
        <v>806</v>
      </c>
      <c r="AF846" s="2">
        <f t="shared" si="52"/>
        <v>4.0000000000000001E-3</v>
      </c>
      <c r="AG846">
        <f t="shared" si="53"/>
        <v>0.80600000000000005</v>
      </c>
      <c r="AH846">
        <f t="shared" si="54"/>
        <v>0.75847089591385031</v>
      </c>
      <c r="AI846">
        <f t="shared" si="55"/>
        <v>4.7529104086149743E-2</v>
      </c>
    </row>
    <row r="847" spans="28:35" x14ac:dyDescent="0.35">
      <c r="AB847">
        <v>0</v>
      </c>
      <c r="AC847">
        <v>989</v>
      </c>
      <c r="AF847" s="2">
        <f t="shared" si="52"/>
        <v>0</v>
      </c>
      <c r="AG847">
        <f t="shared" si="53"/>
        <v>0.98899999999999999</v>
      </c>
      <c r="AH847">
        <f t="shared" si="54"/>
        <v>0.89100000000000001</v>
      </c>
      <c r="AI847">
        <f t="shared" si="55"/>
        <v>9.7999999999999976E-2</v>
      </c>
    </row>
    <row r="848" spans="28:35" x14ac:dyDescent="0.35">
      <c r="AB848">
        <v>2</v>
      </c>
      <c r="AC848">
        <v>801</v>
      </c>
      <c r="AF848" s="2">
        <f t="shared" si="52"/>
        <v>2E-3</v>
      </c>
      <c r="AG848">
        <f t="shared" si="53"/>
        <v>0.80100000000000005</v>
      </c>
      <c r="AH848">
        <f t="shared" si="54"/>
        <v>0.82206907754716119</v>
      </c>
      <c r="AI848">
        <f t="shared" si="55"/>
        <v>-2.1069077547161141E-2</v>
      </c>
    </row>
    <row r="849" spans="28:35" x14ac:dyDescent="0.35">
      <c r="AB849">
        <v>0</v>
      </c>
      <c r="AC849">
        <v>995</v>
      </c>
      <c r="AF849" s="2">
        <f t="shared" si="52"/>
        <v>0</v>
      </c>
      <c r="AG849">
        <f t="shared" si="53"/>
        <v>0.995</v>
      </c>
      <c r="AH849">
        <f t="shared" si="54"/>
        <v>0.89100000000000001</v>
      </c>
      <c r="AI849">
        <f t="shared" si="55"/>
        <v>0.10399999999999998</v>
      </c>
    </row>
    <row r="850" spans="28:35" x14ac:dyDescent="0.35">
      <c r="AB850">
        <v>1</v>
      </c>
      <c r="AC850">
        <v>785</v>
      </c>
      <c r="AF850" s="2">
        <f t="shared" si="52"/>
        <v>1E-3</v>
      </c>
      <c r="AG850">
        <f t="shared" si="53"/>
        <v>0.78500000000000003</v>
      </c>
      <c r="AH850">
        <f t="shared" si="54"/>
        <v>0.85584084273568095</v>
      </c>
      <c r="AI850">
        <f t="shared" si="55"/>
        <v>-7.084084273568092E-2</v>
      </c>
    </row>
    <row r="851" spans="28:35" x14ac:dyDescent="0.35">
      <c r="AB851">
        <v>1</v>
      </c>
      <c r="AC851">
        <v>784</v>
      </c>
      <c r="AF851" s="2">
        <f t="shared" si="52"/>
        <v>1E-3</v>
      </c>
      <c r="AG851">
        <f t="shared" si="53"/>
        <v>0.78400000000000003</v>
      </c>
      <c r="AH851">
        <f t="shared" si="54"/>
        <v>0.85584084273568095</v>
      </c>
      <c r="AI851">
        <f t="shared" si="55"/>
        <v>-7.1840842735680921E-2</v>
      </c>
    </row>
    <row r="852" spans="28:35" x14ac:dyDescent="0.35">
      <c r="AB852">
        <v>1</v>
      </c>
      <c r="AC852">
        <v>791</v>
      </c>
      <c r="AF852" s="2">
        <f t="shared" si="52"/>
        <v>1E-3</v>
      </c>
      <c r="AG852">
        <f t="shared" si="53"/>
        <v>0.79100000000000004</v>
      </c>
      <c r="AH852">
        <f t="shared" si="54"/>
        <v>0.85584084273568095</v>
      </c>
      <c r="AI852">
        <f t="shared" si="55"/>
        <v>-6.4840842735680915E-2</v>
      </c>
    </row>
    <row r="853" spans="28:35" x14ac:dyDescent="0.35">
      <c r="AB853">
        <v>0</v>
      </c>
      <c r="AC853">
        <v>995</v>
      </c>
      <c r="AF853" s="2">
        <f t="shared" si="52"/>
        <v>0</v>
      </c>
      <c r="AG853">
        <f t="shared" si="53"/>
        <v>0.995</v>
      </c>
      <c r="AH853">
        <f t="shared" si="54"/>
        <v>0.89100000000000001</v>
      </c>
      <c r="AI853">
        <f t="shared" si="55"/>
        <v>0.10399999999999998</v>
      </c>
    </row>
    <row r="854" spans="28:35" x14ac:dyDescent="0.35">
      <c r="AB854">
        <v>0</v>
      </c>
      <c r="AC854">
        <v>996</v>
      </c>
      <c r="AF854" s="2">
        <f t="shared" si="52"/>
        <v>0</v>
      </c>
      <c r="AG854">
        <f t="shared" si="53"/>
        <v>0.996</v>
      </c>
      <c r="AH854">
        <f t="shared" si="54"/>
        <v>0.89100000000000001</v>
      </c>
      <c r="AI854">
        <f t="shared" si="55"/>
        <v>0.10499999999999998</v>
      </c>
    </row>
    <row r="855" spans="28:35" x14ac:dyDescent="0.35">
      <c r="AB855">
        <v>0</v>
      </c>
      <c r="AC855">
        <v>996</v>
      </c>
      <c r="AF855" s="2">
        <f t="shared" si="52"/>
        <v>0</v>
      </c>
      <c r="AG855">
        <f t="shared" si="53"/>
        <v>0.996</v>
      </c>
      <c r="AH855">
        <f t="shared" si="54"/>
        <v>0.89100000000000001</v>
      </c>
      <c r="AI855">
        <f t="shared" si="55"/>
        <v>0.10499999999999998</v>
      </c>
    </row>
    <row r="856" spans="28:35" x14ac:dyDescent="0.35">
      <c r="AB856">
        <v>0</v>
      </c>
      <c r="AC856">
        <v>996</v>
      </c>
      <c r="AF856" s="2">
        <f t="shared" si="52"/>
        <v>0</v>
      </c>
      <c r="AG856">
        <f t="shared" si="53"/>
        <v>0.996</v>
      </c>
      <c r="AH856">
        <f t="shared" si="54"/>
        <v>0.89100000000000001</v>
      </c>
      <c r="AI856">
        <f t="shared" si="55"/>
        <v>0.10499999999999998</v>
      </c>
    </row>
    <row r="857" spans="28:35" x14ac:dyDescent="0.35">
      <c r="AB857">
        <v>0</v>
      </c>
      <c r="AC857">
        <v>997</v>
      </c>
      <c r="AF857" s="2">
        <f t="shared" si="52"/>
        <v>0</v>
      </c>
      <c r="AG857">
        <f t="shared" si="53"/>
        <v>0.997</v>
      </c>
      <c r="AH857">
        <f t="shared" si="54"/>
        <v>0.89100000000000001</v>
      </c>
      <c r="AI857">
        <f t="shared" si="55"/>
        <v>0.10599999999999998</v>
      </c>
    </row>
    <row r="858" spans="28:35" x14ac:dyDescent="0.35">
      <c r="AB858">
        <v>1</v>
      </c>
      <c r="AC858">
        <v>792</v>
      </c>
      <c r="AF858" s="2">
        <f t="shared" si="52"/>
        <v>1E-3</v>
      </c>
      <c r="AG858">
        <f t="shared" si="53"/>
        <v>0.79200000000000004</v>
      </c>
      <c r="AH858">
        <f t="shared" si="54"/>
        <v>0.85584084273568095</v>
      </c>
      <c r="AI858">
        <f t="shared" si="55"/>
        <v>-6.3840842735680914E-2</v>
      </c>
    </row>
    <row r="859" spans="28:35" x14ac:dyDescent="0.35">
      <c r="AB859">
        <v>0</v>
      </c>
      <c r="AC859">
        <v>995</v>
      </c>
      <c r="AF859" s="2">
        <f t="shared" si="52"/>
        <v>0</v>
      </c>
      <c r="AG859">
        <f t="shared" si="53"/>
        <v>0.995</v>
      </c>
      <c r="AH859">
        <f t="shared" si="54"/>
        <v>0.89100000000000001</v>
      </c>
      <c r="AI859">
        <f t="shared" si="55"/>
        <v>0.10399999999999998</v>
      </c>
    </row>
    <row r="860" spans="28:35" x14ac:dyDescent="0.35">
      <c r="AB860">
        <v>2</v>
      </c>
      <c r="AC860">
        <v>783</v>
      </c>
      <c r="AF860" s="2">
        <f t="shared" si="52"/>
        <v>2E-3</v>
      </c>
      <c r="AG860">
        <f t="shared" si="53"/>
        <v>0.78300000000000003</v>
      </c>
      <c r="AH860">
        <f t="shared" si="54"/>
        <v>0.82206907754716119</v>
      </c>
      <c r="AI860">
        <f t="shared" si="55"/>
        <v>-3.9069077547161157E-2</v>
      </c>
    </row>
    <row r="861" spans="28:35" x14ac:dyDescent="0.35">
      <c r="AB861">
        <v>3</v>
      </c>
      <c r="AC861">
        <v>766</v>
      </c>
      <c r="AF861" s="2">
        <f t="shared" si="52"/>
        <v>3.0000000000000001E-3</v>
      </c>
      <c r="AG861">
        <f t="shared" si="53"/>
        <v>0.76600000000000001</v>
      </c>
      <c r="AH861">
        <f t="shared" si="54"/>
        <v>0.78962995748025411</v>
      </c>
      <c r="AI861">
        <f t="shared" si="55"/>
        <v>-2.3629957480254093E-2</v>
      </c>
    </row>
    <row r="862" spans="28:35" x14ac:dyDescent="0.35">
      <c r="AB862">
        <v>3</v>
      </c>
      <c r="AC862">
        <v>766</v>
      </c>
      <c r="AF862" s="2">
        <f t="shared" si="52"/>
        <v>3.0000000000000001E-3</v>
      </c>
      <c r="AG862">
        <f t="shared" si="53"/>
        <v>0.76600000000000001</v>
      </c>
      <c r="AH862">
        <f t="shared" si="54"/>
        <v>0.78962995748025411</v>
      </c>
      <c r="AI862">
        <f t="shared" si="55"/>
        <v>-2.3629957480254093E-2</v>
      </c>
    </row>
    <row r="863" spans="28:35" x14ac:dyDescent="0.35">
      <c r="AB863">
        <v>6</v>
      </c>
      <c r="AC863">
        <v>748</v>
      </c>
      <c r="AF863" s="2">
        <f t="shared" si="52"/>
        <v>6.0000000000000001E-3</v>
      </c>
      <c r="AG863">
        <f t="shared" si="53"/>
        <v>0.748</v>
      </c>
      <c r="AH863">
        <f t="shared" si="54"/>
        <v>0.69979289534261269</v>
      </c>
      <c r="AI863">
        <f t="shared" si="55"/>
        <v>4.8207104657387312E-2</v>
      </c>
    </row>
    <row r="864" spans="28:35" x14ac:dyDescent="0.35">
      <c r="AB864">
        <v>6</v>
      </c>
      <c r="AC864">
        <v>736</v>
      </c>
      <c r="AF864" s="2">
        <f t="shared" si="52"/>
        <v>6.0000000000000001E-3</v>
      </c>
      <c r="AG864">
        <f t="shared" si="53"/>
        <v>0.73599999999999999</v>
      </c>
      <c r="AH864">
        <f t="shared" si="54"/>
        <v>0.69979289534261269</v>
      </c>
      <c r="AI864">
        <f t="shared" si="55"/>
        <v>3.6207104657387301E-2</v>
      </c>
    </row>
    <row r="865" spans="28:35" x14ac:dyDescent="0.35">
      <c r="AB865">
        <v>4</v>
      </c>
      <c r="AC865">
        <v>799</v>
      </c>
      <c r="AF865" s="2">
        <f t="shared" si="52"/>
        <v>4.0000000000000001E-3</v>
      </c>
      <c r="AG865">
        <f t="shared" si="53"/>
        <v>0.79900000000000004</v>
      </c>
      <c r="AH865">
        <f t="shared" si="54"/>
        <v>0.75847089591385031</v>
      </c>
      <c r="AI865">
        <f t="shared" si="55"/>
        <v>4.0529104086149736E-2</v>
      </c>
    </row>
    <row r="866" spans="28:35" x14ac:dyDescent="0.35">
      <c r="AB866">
        <v>6</v>
      </c>
      <c r="AC866">
        <v>739</v>
      </c>
      <c r="AF866" s="2">
        <f t="shared" si="52"/>
        <v>6.0000000000000001E-3</v>
      </c>
      <c r="AG866">
        <f t="shared" si="53"/>
        <v>0.73899999999999999</v>
      </c>
      <c r="AH866">
        <f t="shared" si="54"/>
        <v>0.69979289534261269</v>
      </c>
      <c r="AI866">
        <f t="shared" si="55"/>
        <v>3.9207104657387304E-2</v>
      </c>
    </row>
    <row r="867" spans="28:35" x14ac:dyDescent="0.35">
      <c r="AB867">
        <v>2</v>
      </c>
      <c r="AC867">
        <v>787</v>
      </c>
      <c r="AF867" s="2">
        <f t="shared" si="52"/>
        <v>2E-3</v>
      </c>
      <c r="AG867">
        <f t="shared" si="53"/>
        <v>0.78700000000000003</v>
      </c>
      <c r="AH867">
        <f t="shared" si="54"/>
        <v>0.82206907754716119</v>
      </c>
      <c r="AI867">
        <f t="shared" si="55"/>
        <v>-3.5069077547161154E-2</v>
      </c>
    </row>
    <row r="868" spans="28:35" x14ac:dyDescent="0.35">
      <c r="AB868">
        <v>0</v>
      </c>
      <c r="AC868">
        <v>994</v>
      </c>
      <c r="AF868" s="2">
        <f t="shared" si="52"/>
        <v>0</v>
      </c>
      <c r="AG868">
        <f t="shared" si="53"/>
        <v>0.99399999999999999</v>
      </c>
      <c r="AH868">
        <f t="shared" si="54"/>
        <v>0.89100000000000001</v>
      </c>
      <c r="AI868">
        <f t="shared" si="55"/>
        <v>0.10299999999999998</v>
      </c>
    </row>
    <row r="869" spans="28:35" x14ac:dyDescent="0.35">
      <c r="AB869">
        <v>0</v>
      </c>
      <c r="AC869">
        <v>997</v>
      </c>
      <c r="AF869" s="2">
        <f t="shared" si="52"/>
        <v>0</v>
      </c>
      <c r="AG869">
        <f t="shared" si="53"/>
        <v>0.997</v>
      </c>
      <c r="AH869">
        <f t="shared" si="54"/>
        <v>0.89100000000000001</v>
      </c>
      <c r="AI869">
        <f t="shared" si="55"/>
        <v>0.10599999999999998</v>
      </c>
    </row>
    <row r="870" spans="28:35" x14ac:dyDescent="0.35">
      <c r="AB870">
        <v>0</v>
      </c>
      <c r="AC870">
        <v>996</v>
      </c>
      <c r="AF870" s="2">
        <f t="shared" si="52"/>
        <v>0</v>
      </c>
      <c r="AG870">
        <f t="shared" si="53"/>
        <v>0.996</v>
      </c>
      <c r="AH870">
        <f t="shared" si="54"/>
        <v>0.89100000000000001</v>
      </c>
      <c r="AI870">
        <f t="shared" si="55"/>
        <v>0.10499999999999998</v>
      </c>
    </row>
    <row r="871" spans="28:35" x14ac:dyDescent="0.35">
      <c r="AB871">
        <v>0</v>
      </c>
      <c r="AC871">
        <v>999</v>
      </c>
      <c r="AF871" s="2">
        <f t="shared" si="52"/>
        <v>0</v>
      </c>
      <c r="AG871">
        <f t="shared" si="53"/>
        <v>0.999</v>
      </c>
      <c r="AH871">
        <f t="shared" si="54"/>
        <v>0.89100000000000001</v>
      </c>
      <c r="AI871">
        <f t="shared" si="55"/>
        <v>0.10799999999999998</v>
      </c>
    </row>
    <row r="872" spans="28:35" x14ac:dyDescent="0.35">
      <c r="AB872">
        <v>1</v>
      </c>
      <c r="AC872">
        <v>786</v>
      </c>
      <c r="AF872" s="2">
        <f t="shared" si="52"/>
        <v>1E-3</v>
      </c>
      <c r="AG872">
        <f t="shared" si="53"/>
        <v>0.78600000000000003</v>
      </c>
      <c r="AH872">
        <f t="shared" si="54"/>
        <v>0.85584084273568095</v>
      </c>
      <c r="AI872">
        <f t="shared" si="55"/>
        <v>-6.9840842735680919E-2</v>
      </c>
    </row>
    <row r="873" spans="28:35" x14ac:dyDescent="0.35">
      <c r="AB873">
        <v>1</v>
      </c>
      <c r="AC873">
        <v>790</v>
      </c>
      <c r="AF873" s="2">
        <f t="shared" si="52"/>
        <v>1E-3</v>
      </c>
      <c r="AG873">
        <f t="shared" si="53"/>
        <v>0.79</v>
      </c>
      <c r="AH873">
        <f t="shared" si="54"/>
        <v>0.85584084273568095</v>
      </c>
      <c r="AI873">
        <f t="shared" si="55"/>
        <v>-6.5840842735680916E-2</v>
      </c>
    </row>
    <row r="874" spans="28:35" x14ac:dyDescent="0.35">
      <c r="AB874">
        <v>1</v>
      </c>
      <c r="AC874">
        <v>794</v>
      </c>
      <c r="AF874" s="2">
        <f t="shared" si="52"/>
        <v>1E-3</v>
      </c>
      <c r="AG874">
        <f t="shared" si="53"/>
        <v>0.79400000000000004</v>
      </c>
      <c r="AH874">
        <f t="shared" si="54"/>
        <v>0.85584084273568095</v>
      </c>
      <c r="AI874">
        <f t="shared" si="55"/>
        <v>-6.1840842735680912E-2</v>
      </c>
    </row>
    <row r="875" spans="28:35" x14ac:dyDescent="0.35">
      <c r="AB875">
        <v>2</v>
      </c>
      <c r="AC875">
        <v>789</v>
      </c>
      <c r="AF875" s="2">
        <f t="shared" si="52"/>
        <v>2E-3</v>
      </c>
      <c r="AG875">
        <f t="shared" si="53"/>
        <v>0.78900000000000003</v>
      </c>
      <c r="AH875">
        <f t="shared" si="54"/>
        <v>0.82206907754716119</v>
      </c>
      <c r="AI875">
        <f t="shared" si="55"/>
        <v>-3.3069077547161152E-2</v>
      </c>
    </row>
    <row r="876" spans="28:35" x14ac:dyDescent="0.35">
      <c r="AB876">
        <v>0</v>
      </c>
      <c r="AC876">
        <v>993</v>
      </c>
      <c r="AF876" s="2">
        <f t="shared" si="52"/>
        <v>0</v>
      </c>
      <c r="AG876">
        <f t="shared" si="53"/>
        <v>0.99299999999999999</v>
      </c>
      <c r="AH876">
        <f t="shared" si="54"/>
        <v>0.89100000000000001</v>
      </c>
      <c r="AI876">
        <f t="shared" si="55"/>
        <v>0.10199999999999998</v>
      </c>
    </row>
    <row r="877" spans="28:35" x14ac:dyDescent="0.35">
      <c r="AB877">
        <v>1</v>
      </c>
      <c r="AC877">
        <v>783</v>
      </c>
      <c r="AF877" s="2">
        <f t="shared" si="52"/>
        <v>1E-3</v>
      </c>
      <c r="AG877">
        <f t="shared" si="53"/>
        <v>0.78300000000000003</v>
      </c>
      <c r="AH877">
        <f t="shared" si="54"/>
        <v>0.85584084273568095</v>
      </c>
      <c r="AI877">
        <f t="shared" si="55"/>
        <v>-7.2840842735680922E-2</v>
      </c>
    </row>
    <row r="878" spans="28:35" x14ac:dyDescent="0.35">
      <c r="AB878">
        <v>1</v>
      </c>
      <c r="AC878">
        <v>790</v>
      </c>
      <c r="AF878" s="2">
        <f t="shared" si="52"/>
        <v>1E-3</v>
      </c>
      <c r="AG878">
        <f t="shared" si="53"/>
        <v>0.79</v>
      </c>
      <c r="AH878">
        <f t="shared" si="54"/>
        <v>0.85584084273568095</v>
      </c>
      <c r="AI878">
        <f t="shared" si="55"/>
        <v>-6.5840842735680916E-2</v>
      </c>
    </row>
    <row r="879" spans="28:35" x14ac:dyDescent="0.35">
      <c r="AB879">
        <v>0</v>
      </c>
      <c r="AC879">
        <v>994</v>
      </c>
      <c r="AF879" s="2">
        <f t="shared" si="52"/>
        <v>0</v>
      </c>
      <c r="AG879">
        <f t="shared" si="53"/>
        <v>0.99399999999999999</v>
      </c>
      <c r="AH879">
        <f t="shared" si="54"/>
        <v>0.89100000000000001</v>
      </c>
      <c r="AI879">
        <f t="shared" si="55"/>
        <v>0.10299999999999998</v>
      </c>
    </row>
    <row r="880" spans="28:35" x14ac:dyDescent="0.35">
      <c r="AB880">
        <v>2</v>
      </c>
      <c r="AC880">
        <v>788</v>
      </c>
      <c r="AF880" s="2">
        <f t="shared" si="52"/>
        <v>2E-3</v>
      </c>
      <c r="AG880">
        <f t="shared" si="53"/>
        <v>0.78800000000000003</v>
      </c>
      <c r="AH880">
        <f t="shared" si="54"/>
        <v>0.82206907754716119</v>
      </c>
      <c r="AI880">
        <f t="shared" si="55"/>
        <v>-3.4069077547161153E-2</v>
      </c>
    </row>
    <row r="881" spans="28:35" x14ac:dyDescent="0.35">
      <c r="AB881">
        <v>1</v>
      </c>
      <c r="AC881">
        <v>786</v>
      </c>
      <c r="AF881" s="2">
        <f t="shared" si="52"/>
        <v>1E-3</v>
      </c>
      <c r="AG881">
        <f t="shared" si="53"/>
        <v>0.78600000000000003</v>
      </c>
      <c r="AH881">
        <f t="shared" si="54"/>
        <v>0.85584084273568095</v>
      </c>
      <c r="AI881">
        <f t="shared" si="55"/>
        <v>-6.9840842735680919E-2</v>
      </c>
    </row>
    <row r="882" spans="28:35" x14ac:dyDescent="0.35">
      <c r="AB882">
        <v>1</v>
      </c>
      <c r="AC882">
        <v>779</v>
      </c>
      <c r="AF882" s="2">
        <f t="shared" si="52"/>
        <v>1E-3</v>
      </c>
      <c r="AG882">
        <f t="shared" si="53"/>
        <v>0.77900000000000003</v>
      </c>
      <c r="AH882">
        <f t="shared" si="54"/>
        <v>0.85584084273568095</v>
      </c>
      <c r="AI882">
        <f t="shared" si="55"/>
        <v>-7.6840842735680925E-2</v>
      </c>
    </row>
    <row r="883" spans="28:35" x14ac:dyDescent="0.35">
      <c r="AB883">
        <v>1</v>
      </c>
      <c r="AC883">
        <v>772</v>
      </c>
      <c r="AF883" s="2">
        <f t="shared" si="52"/>
        <v>1E-3</v>
      </c>
      <c r="AG883">
        <f t="shared" si="53"/>
        <v>0.77200000000000002</v>
      </c>
      <c r="AH883">
        <f t="shared" si="54"/>
        <v>0.85584084273568095</v>
      </c>
      <c r="AI883">
        <f t="shared" si="55"/>
        <v>-8.3840842735680932E-2</v>
      </c>
    </row>
    <row r="884" spans="28:35" x14ac:dyDescent="0.35">
      <c r="AB884">
        <v>2</v>
      </c>
      <c r="AC884">
        <v>783</v>
      </c>
      <c r="AF884" s="2">
        <f t="shared" si="52"/>
        <v>2E-3</v>
      </c>
      <c r="AG884">
        <f t="shared" si="53"/>
        <v>0.78300000000000003</v>
      </c>
      <c r="AH884">
        <f t="shared" si="54"/>
        <v>0.82206907754716119</v>
      </c>
      <c r="AI884">
        <f t="shared" si="55"/>
        <v>-3.9069077547161157E-2</v>
      </c>
    </row>
    <row r="885" spans="28:35" x14ac:dyDescent="0.35">
      <c r="AB885">
        <v>2</v>
      </c>
      <c r="AC885">
        <v>781</v>
      </c>
      <c r="AF885" s="2">
        <f t="shared" si="52"/>
        <v>2E-3</v>
      </c>
      <c r="AG885">
        <f t="shared" si="53"/>
        <v>0.78100000000000003</v>
      </c>
      <c r="AH885">
        <f t="shared" si="54"/>
        <v>0.82206907754716119</v>
      </c>
      <c r="AI885">
        <f t="shared" si="55"/>
        <v>-4.1069077547161159E-2</v>
      </c>
    </row>
    <row r="886" spans="28:35" x14ac:dyDescent="0.35">
      <c r="AB886">
        <v>1</v>
      </c>
      <c r="AC886">
        <v>787</v>
      </c>
      <c r="AF886" s="2">
        <f t="shared" si="52"/>
        <v>1E-3</v>
      </c>
      <c r="AG886">
        <f t="shared" si="53"/>
        <v>0.78700000000000003</v>
      </c>
      <c r="AH886">
        <f t="shared" si="54"/>
        <v>0.85584084273568095</v>
      </c>
      <c r="AI886">
        <f t="shared" si="55"/>
        <v>-6.8840842735680918E-2</v>
      </c>
    </row>
    <row r="887" spans="28:35" x14ac:dyDescent="0.35">
      <c r="AB887">
        <v>1</v>
      </c>
      <c r="AC887">
        <v>786</v>
      </c>
      <c r="AF887" s="2">
        <f t="shared" si="52"/>
        <v>1E-3</v>
      </c>
      <c r="AG887">
        <f t="shared" si="53"/>
        <v>0.78600000000000003</v>
      </c>
      <c r="AH887">
        <f t="shared" si="54"/>
        <v>0.85584084273568095</v>
      </c>
      <c r="AI887">
        <f t="shared" si="55"/>
        <v>-6.9840842735680919E-2</v>
      </c>
    </row>
    <row r="888" spans="28:35" x14ac:dyDescent="0.35">
      <c r="AB888">
        <v>1</v>
      </c>
      <c r="AC888">
        <v>796</v>
      </c>
      <c r="AF888" s="2">
        <f t="shared" si="52"/>
        <v>1E-3</v>
      </c>
      <c r="AG888">
        <f t="shared" si="53"/>
        <v>0.79600000000000004</v>
      </c>
      <c r="AH888">
        <f t="shared" si="54"/>
        <v>0.85584084273568095</v>
      </c>
      <c r="AI888">
        <f t="shared" si="55"/>
        <v>-5.984084273568091E-2</v>
      </c>
    </row>
    <row r="889" spans="28:35" x14ac:dyDescent="0.35">
      <c r="AB889">
        <v>1</v>
      </c>
      <c r="AC889">
        <v>788</v>
      </c>
      <c r="AF889" s="2">
        <f t="shared" si="52"/>
        <v>1E-3</v>
      </c>
      <c r="AG889">
        <f t="shared" si="53"/>
        <v>0.78800000000000003</v>
      </c>
      <c r="AH889">
        <f t="shared" si="54"/>
        <v>0.85584084273568095</v>
      </c>
      <c r="AI889">
        <f t="shared" si="55"/>
        <v>-6.7840842735680917E-2</v>
      </c>
    </row>
    <row r="890" spans="28:35" x14ac:dyDescent="0.35">
      <c r="AB890">
        <v>0</v>
      </c>
      <c r="AC890">
        <v>994</v>
      </c>
      <c r="AF890" s="2">
        <f t="shared" si="52"/>
        <v>0</v>
      </c>
      <c r="AG890">
        <f t="shared" si="53"/>
        <v>0.99399999999999999</v>
      </c>
      <c r="AH890">
        <f t="shared" si="54"/>
        <v>0.89100000000000001</v>
      </c>
      <c r="AI890">
        <f t="shared" si="55"/>
        <v>0.10299999999999998</v>
      </c>
    </row>
    <row r="891" spans="28:35" x14ac:dyDescent="0.35">
      <c r="AB891">
        <v>0</v>
      </c>
      <c r="AC891">
        <v>996</v>
      </c>
      <c r="AF891" s="2">
        <f t="shared" si="52"/>
        <v>0</v>
      </c>
      <c r="AG891">
        <f t="shared" si="53"/>
        <v>0.996</v>
      </c>
      <c r="AH891">
        <f t="shared" si="54"/>
        <v>0.89100000000000001</v>
      </c>
      <c r="AI891">
        <f t="shared" si="55"/>
        <v>0.10499999999999998</v>
      </c>
    </row>
    <row r="892" spans="28:35" x14ac:dyDescent="0.35">
      <c r="AB892" cm="1">
        <f t="array" ref="AB892:AB987">K3:K98</f>
        <v>0</v>
      </c>
      <c r="AC892" cm="1">
        <f t="array" ref="AC892:AC987">X4:X99</f>
        <v>998</v>
      </c>
      <c r="AF892" s="2">
        <f t="shared" si="52"/>
        <v>0</v>
      </c>
      <c r="AG892">
        <f t="shared" si="53"/>
        <v>0.998</v>
      </c>
      <c r="AH892">
        <f t="shared" si="54"/>
        <v>0.89100000000000001</v>
      </c>
      <c r="AI892">
        <f t="shared" si="55"/>
        <v>0.10699999999999998</v>
      </c>
    </row>
    <row r="893" spans="28:35" x14ac:dyDescent="0.35">
      <c r="AB893">
        <v>0</v>
      </c>
      <c r="AC893">
        <v>999</v>
      </c>
      <c r="AF893" s="2">
        <f t="shared" si="52"/>
        <v>0</v>
      </c>
      <c r="AG893">
        <f t="shared" si="53"/>
        <v>0.999</v>
      </c>
      <c r="AH893">
        <f t="shared" si="54"/>
        <v>0.89100000000000001</v>
      </c>
      <c r="AI893">
        <f t="shared" si="55"/>
        <v>0.10799999999999998</v>
      </c>
    </row>
    <row r="894" spans="28:35" x14ac:dyDescent="0.35">
      <c r="AB894">
        <v>0</v>
      </c>
      <c r="AC894">
        <v>999</v>
      </c>
      <c r="AF894" s="2">
        <f t="shared" si="52"/>
        <v>0</v>
      </c>
      <c r="AG894">
        <f t="shared" si="53"/>
        <v>0.999</v>
      </c>
      <c r="AH894">
        <f t="shared" si="54"/>
        <v>0.89100000000000001</v>
      </c>
      <c r="AI894">
        <f t="shared" si="55"/>
        <v>0.10799999999999998</v>
      </c>
    </row>
    <row r="895" spans="28:35" x14ac:dyDescent="0.35">
      <c r="AB895">
        <v>2</v>
      </c>
      <c r="AC895">
        <v>788</v>
      </c>
      <c r="AF895" s="2">
        <f t="shared" si="52"/>
        <v>2E-3</v>
      </c>
      <c r="AG895">
        <f t="shared" si="53"/>
        <v>0.78800000000000003</v>
      </c>
      <c r="AH895">
        <f t="shared" si="54"/>
        <v>0.82206907754716119</v>
      </c>
      <c r="AI895">
        <f t="shared" si="55"/>
        <v>-3.4069077547161153E-2</v>
      </c>
    </row>
    <row r="896" spans="28:35" x14ac:dyDescent="0.35">
      <c r="AB896">
        <v>5</v>
      </c>
      <c r="AC896">
        <v>570</v>
      </c>
      <c r="AF896" s="2">
        <f t="shared" si="52"/>
        <v>5.0000000000000001E-3</v>
      </c>
      <c r="AG896">
        <f t="shared" si="53"/>
        <v>0.56999999999999995</v>
      </c>
      <c r="AH896">
        <f t="shared" si="54"/>
        <v>0.72854138131245416</v>
      </c>
      <c r="AI896">
        <f t="shared" si="55"/>
        <v>-0.15854138131245421</v>
      </c>
    </row>
    <row r="897" spans="28:35" x14ac:dyDescent="0.35">
      <c r="AB897">
        <v>3</v>
      </c>
      <c r="AC897">
        <v>752</v>
      </c>
      <c r="AF897" s="2">
        <f t="shared" si="52"/>
        <v>3.0000000000000001E-3</v>
      </c>
      <c r="AG897">
        <f t="shared" si="53"/>
        <v>0.752</v>
      </c>
      <c r="AH897">
        <f t="shared" si="54"/>
        <v>0.78962995748025411</v>
      </c>
      <c r="AI897">
        <f t="shared" si="55"/>
        <v>-3.7629957480254106E-2</v>
      </c>
    </row>
    <row r="898" spans="28:35" x14ac:dyDescent="0.35">
      <c r="AB898">
        <v>5</v>
      </c>
      <c r="AC898">
        <v>551</v>
      </c>
      <c r="AF898" s="2">
        <f t="shared" si="52"/>
        <v>5.0000000000000001E-3</v>
      </c>
      <c r="AG898">
        <f t="shared" si="53"/>
        <v>0.55100000000000005</v>
      </c>
      <c r="AH898">
        <f t="shared" si="54"/>
        <v>0.72854138131245416</v>
      </c>
      <c r="AI898">
        <f t="shared" si="55"/>
        <v>-0.17754138131245412</v>
      </c>
    </row>
    <row r="899" spans="28:35" x14ac:dyDescent="0.35">
      <c r="AB899">
        <v>5</v>
      </c>
      <c r="AC899">
        <v>556</v>
      </c>
      <c r="AF899" s="2">
        <f t="shared" si="52"/>
        <v>5.0000000000000001E-3</v>
      </c>
      <c r="AG899">
        <f t="shared" si="53"/>
        <v>0.55600000000000005</v>
      </c>
      <c r="AH899">
        <f t="shared" si="54"/>
        <v>0.72854138131245416</v>
      </c>
      <c r="AI899">
        <f t="shared" si="55"/>
        <v>-0.17254138131245411</v>
      </c>
    </row>
    <row r="900" spans="28:35" x14ac:dyDescent="0.35">
      <c r="AB900">
        <v>2</v>
      </c>
      <c r="AC900">
        <v>777</v>
      </c>
      <c r="AF900" s="2">
        <f t="shared" ref="AF900:AF963" si="56">AB900/1000</f>
        <v>2E-3</v>
      </c>
      <c r="AG900">
        <f t="shared" ref="AG900:AG963" si="57">AC900/1000</f>
        <v>0.77700000000000002</v>
      </c>
      <c r="AH900">
        <f t="shared" ref="AH900:AH963" si="58">0.891*EXP(-40.26*AF900)</f>
        <v>0.82206907754716119</v>
      </c>
      <c r="AI900">
        <f t="shared" ref="AI900:AI963" si="59">AG900-AH900</f>
        <v>-4.5069077547161163E-2</v>
      </c>
    </row>
    <row r="901" spans="28:35" x14ac:dyDescent="0.35">
      <c r="AB901">
        <v>4</v>
      </c>
      <c r="AC901">
        <v>795</v>
      </c>
      <c r="AF901" s="2">
        <f t="shared" si="56"/>
        <v>4.0000000000000001E-3</v>
      </c>
      <c r="AG901">
        <f t="shared" si="57"/>
        <v>0.79500000000000004</v>
      </c>
      <c r="AH901">
        <f t="shared" si="58"/>
        <v>0.75847089591385031</v>
      </c>
      <c r="AI901">
        <f t="shared" si="59"/>
        <v>3.6529104086149733E-2</v>
      </c>
    </row>
    <row r="902" spans="28:35" x14ac:dyDescent="0.35">
      <c r="AB902">
        <v>2</v>
      </c>
      <c r="AC902">
        <v>786</v>
      </c>
      <c r="AF902" s="2">
        <f t="shared" si="56"/>
        <v>2E-3</v>
      </c>
      <c r="AG902">
        <f t="shared" si="57"/>
        <v>0.78600000000000003</v>
      </c>
      <c r="AH902">
        <f t="shared" si="58"/>
        <v>0.82206907754716119</v>
      </c>
      <c r="AI902">
        <f t="shared" si="59"/>
        <v>-3.6069077547161155E-2</v>
      </c>
    </row>
    <row r="903" spans="28:35" x14ac:dyDescent="0.35">
      <c r="AB903">
        <v>4</v>
      </c>
      <c r="AC903">
        <v>799</v>
      </c>
      <c r="AF903" s="2">
        <f t="shared" si="56"/>
        <v>4.0000000000000001E-3</v>
      </c>
      <c r="AG903">
        <f t="shared" si="57"/>
        <v>0.79900000000000004</v>
      </c>
      <c r="AH903">
        <f t="shared" si="58"/>
        <v>0.75847089591385031</v>
      </c>
      <c r="AI903">
        <f t="shared" si="59"/>
        <v>4.0529104086149736E-2</v>
      </c>
    </row>
    <row r="904" spans="28:35" x14ac:dyDescent="0.35">
      <c r="AB904">
        <v>4</v>
      </c>
      <c r="AC904">
        <v>797</v>
      </c>
      <c r="AF904" s="2">
        <f t="shared" si="56"/>
        <v>4.0000000000000001E-3</v>
      </c>
      <c r="AG904">
        <f t="shared" si="57"/>
        <v>0.79700000000000004</v>
      </c>
      <c r="AH904">
        <f t="shared" si="58"/>
        <v>0.75847089591385031</v>
      </c>
      <c r="AI904">
        <f t="shared" si="59"/>
        <v>3.8529104086149735E-2</v>
      </c>
    </row>
    <row r="905" spans="28:35" x14ac:dyDescent="0.35">
      <c r="AB905">
        <v>5</v>
      </c>
      <c r="AC905">
        <v>559</v>
      </c>
      <c r="AF905" s="2">
        <f t="shared" si="56"/>
        <v>5.0000000000000001E-3</v>
      </c>
      <c r="AG905">
        <f t="shared" si="57"/>
        <v>0.55900000000000005</v>
      </c>
      <c r="AH905">
        <f t="shared" si="58"/>
        <v>0.72854138131245416</v>
      </c>
      <c r="AI905">
        <f t="shared" si="59"/>
        <v>-0.16954138131245411</v>
      </c>
    </row>
    <row r="906" spans="28:35" x14ac:dyDescent="0.35">
      <c r="AB906">
        <v>7</v>
      </c>
      <c r="AC906">
        <v>766</v>
      </c>
      <c r="AF906" s="2">
        <f t="shared" si="56"/>
        <v>7.0000000000000001E-3</v>
      </c>
      <c r="AG906">
        <f t="shared" si="57"/>
        <v>0.76600000000000001</v>
      </c>
      <c r="AH906">
        <f t="shared" si="58"/>
        <v>0.67217883422049818</v>
      </c>
      <c r="AI906">
        <f t="shared" si="59"/>
        <v>9.3821165779501836E-2</v>
      </c>
    </row>
    <row r="907" spans="28:35" x14ac:dyDescent="0.35">
      <c r="AB907">
        <v>5</v>
      </c>
      <c r="AC907">
        <v>560</v>
      </c>
      <c r="AF907" s="2">
        <f t="shared" si="56"/>
        <v>5.0000000000000001E-3</v>
      </c>
      <c r="AG907">
        <f t="shared" si="57"/>
        <v>0.56000000000000005</v>
      </c>
      <c r="AH907">
        <f t="shared" si="58"/>
        <v>0.72854138131245416</v>
      </c>
      <c r="AI907">
        <f t="shared" si="59"/>
        <v>-0.16854138131245411</v>
      </c>
    </row>
    <row r="908" spans="28:35" x14ac:dyDescent="0.35">
      <c r="AB908">
        <v>10</v>
      </c>
      <c r="AC908">
        <v>843</v>
      </c>
      <c r="AF908" s="2">
        <f t="shared" si="56"/>
        <v>0.01</v>
      </c>
      <c r="AG908">
        <f t="shared" si="57"/>
        <v>0.84299999999999997</v>
      </c>
      <c r="AH908">
        <f t="shared" si="58"/>
        <v>0.59570431457312989</v>
      </c>
      <c r="AI908">
        <f t="shared" si="59"/>
        <v>0.24729568542687008</v>
      </c>
    </row>
    <row r="909" spans="28:35" x14ac:dyDescent="0.35">
      <c r="AB909">
        <v>3</v>
      </c>
      <c r="AC909">
        <v>743</v>
      </c>
      <c r="AF909" s="2">
        <f t="shared" si="56"/>
        <v>3.0000000000000001E-3</v>
      </c>
      <c r="AG909">
        <f t="shared" si="57"/>
        <v>0.74299999999999999</v>
      </c>
      <c r="AH909">
        <f t="shared" si="58"/>
        <v>0.78962995748025411</v>
      </c>
      <c r="AI909">
        <f t="shared" si="59"/>
        <v>-4.6629957480254114E-2</v>
      </c>
    </row>
    <row r="910" spans="28:35" x14ac:dyDescent="0.35">
      <c r="AB910">
        <v>8</v>
      </c>
      <c r="AC910">
        <v>679</v>
      </c>
      <c r="AF910" s="2">
        <f t="shared" si="56"/>
        <v>8.0000000000000002E-3</v>
      </c>
      <c r="AG910">
        <f t="shared" si="57"/>
        <v>0.67900000000000005</v>
      </c>
      <c r="AH910">
        <f t="shared" si="58"/>
        <v>0.64565443316314119</v>
      </c>
      <c r="AI910">
        <f t="shared" si="59"/>
        <v>3.3345566836858853E-2</v>
      </c>
    </row>
    <row r="911" spans="28:35" x14ac:dyDescent="0.35">
      <c r="AB911">
        <v>8</v>
      </c>
      <c r="AC911">
        <v>663</v>
      </c>
      <c r="AF911" s="2">
        <f t="shared" si="56"/>
        <v>8.0000000000000002E-3</v>
      </c>
      <c r="AG911">
        <f t="shared" si="57"/>
        <v>0.66300000000000003</v>
      </c>
      <c r="AH911">
        <f t="shared" si="58"/>
        <v>0.64565443316314119</v>
      </c>
      <c r="AI911">
        <f t="shared" si="59"/>
        <v>1.7345566836858839E-2</v>
      </c>
    </row>
    <row r="912" spans="28:35" x14ac:dyDescent="0.35">
      <c r="AB912">
        <v>17</v>
      </c>
      <c r="AC912">
        <v>474</v>
      </c>
      <c r="AF912" s="2">
        <f t="shared" si="56"/>
        <v>1.7000000000000001E-2</v>
      </c>
      <c r="AG912">
        <f t="shared" si="57"/>
        <v>0.47399999999999998</v>
      </c>
      <c r="AH912">
        <f t="shared" si="58"/>
        <v>0.44940497386070405</v>
      </c>
      <c r="AI912">
        <f t="shared" si="59"/>
        <v>2.4595026139295928E-2</v>
      </c>
    </row>
    <row r="913" spans="28:35" x14ac:dyDescent="0.35">
      <c r="AB913">
        <v>17</v>
      </c>
      <c r="AC913">
        <v>464</v>
      </c>
      <c r="AF913" s="2">
        <f t="shared" si="56"/>
        <v>1.7000000000000001E-2</v>
      </c>
      <c r="AG913">
        <f t="shared" si="57"/>
        <v>0.46400000000000002</v>
      </c>
      <c r="AH913">
        <f t="shared" si="58"/>
        <v>0.44940497386070405</v>
      </c>
      <c r="AI913">
        <f t="shared" si="59"/>
        <v>1.4595026139295975E-2</v>
      </c>
    </row>
    <row r="914" spans="28:35" x14ac:dyDescent="0.35">
      <c r="AB914">
        <v>13</v>
      </c>
      <c r="AC914">
        <v>469</v>
      </c>
      <c r="AF914" s="2">
        <f t="shared" si="56"/>
        <v>1.2999999999999999E-2</v>
      </c>
      <c r="AG914">
        <f t="shared" si="57"/>
        <v>0.46899999999999997</v>
      </c>
      <c r="AH914">
        <f t="shared" si="58"/>
        <v>0.52793038449740115</v>
      </c>
      <c r="AI914">
        <f t="shared" si="59"/>
        <v>-5.8930384497401178E-2</v>
      </c>
    </row>
    <row r="915" spans="28:35" x14ac:dyDescent="0.35">
      <c r="AB915">
        <v>10</v>
      </c>
      <c r="AC915">
        <v>831</v>
      </c>
      <c r="AF915" s="2">
        <f t="shared" si="56"/>
        <v>0.01</v>
      </c>
      <c r="AG915">
        <f t="shared" si="57"/>
        <v>0.83099999999999996</v>
      </c>
      <c r="AH915">
        <f t="shared" si="58"/>
        <v>0.59570431457312989</v>
      </c>
      <c r="AI915">
        <f t="shared" si="59"/>
        <v>0.23529568542687007</v>
      </c>
    </row>
    <row r="916" spans="28:35" x14ac:dyDescent="0.35">
      <c r="AB916">
        <v>7</v>
      </c>
      <c r="AC916">
        <v>745</v>
      </c>
      <c r="AF916" s="2">
        <f t="shared" si="56"/>
        <v>7.0000000000000001E-3</v>
      </c>
      <c r="AG916">
        <f t="shared" si="57"/>
        <v>0.745</v>
      </c>
      <c r="AH916">
        <f t="shared" si="58"/>
        <v>0.67217883422049818</v>
      </c>
      <c r="AI916">
        <f t="shared" si="59"/>
        <v>7.2821165779501817E-2</v>
      </c>
    </row>
    <row r="917" spans="28:35" x14ac:dyDescent="0.35">
      <c r="AB917">
        <v>7</v>
      </c>
      <c r="AC917">
        <v>761</v>
      </c>
      <c r="AF917" s="2">
        <f t="shared" si="56"/>
        <v>7.0000000000000001E-3</v>
      </c>
      <c r="AG917">
        <f t="shared" si="57"/>
        <v>0.76100000000000001</v>
      </c>
      <c r="AH917">
        <f t="shared" si="58"/>
        <v>0.67217883422049818</v>
      </c>
      <c r="AI917">
        <f t="shared" si="59"/>
        <v>8.8821165779501832E-2</v>
      </c>
    </row>
    <row r="918" spans="28:35" x14ac:dyDescent="0.35">
      <c r="AB918">
        <v>5</v>
      </c>
      <c r="AC918">
        <v>546</v>
      </c>
      <c r="AF918" s="2">
        <f t="shared" si="56"/>
        <v>5.0000000000000001E-3</v>
      </c>
      <c r="AG918">
        <f t="shared" si="57"/>
        <v>0.54600000000000004</v>
      </c>
      <c r="AH918">
        <f t="shared" si="58"/>
        <v>0.72854138131245416</v>
      </c>
      <c r="AI918">
        <f t="shared" si="59"/>
        <v>-0.18254138131245412</v>
      </c>
    </row>
    <row r="919" spans="28:35" x14ac:dyDescent="0.35">
      <c r="AB919">
        <v>11</v>
      </c>
      <c r="AC919">
        <v>690</v>
      </c>
      <c r="AF919" s="2">
        <f t="shared" si="56"/>
        <v>1.0999999999999999E-2</v>
      </c>
      <c r="AG919">
        <f t="shared" si="57"/>
        <v>0.69</v>
      </c>
      <c r="AH919">
        <f t="shared" si="58"/>
        <v>0.57219762357525106</v>
      </c>
      <c r="AI919">
        <f t="shared" si="59"/>
        <v>0.11780237642474889</v>
      </c>
    </row>
    <row r="920" spans="28:35" x14ac:dyDescent="0.35">
      <c r="AB920">
        <v>7</v>
      </c>
      <c r="AC920">
        <v>746</v>
      </c>
      <c r="AF920" s="2">
        <f t="shared" si="56"/>
        <v>7.0000000000000001E-3</v>
      </c>
      <c r="AG920">
        <f t="shared" si="57"/>
        <v>0.746</v>
      </c>
      <c r="AH920">
        <f t="shared" si="58"/>
        <v>0.67217883422049818</v>
      </c>
      <c r="AI920">
        <f t="shared" si="59"/>
        <v>7.3821165779501818E-2</v>
      </c>
    </row>
    <row r="921" spans="28:35" x14ac:dyDescent="0.35">
      <c r="AB921">
        <v>12</v>
      </c>
      <c r="AC921">
        <v>571</v>
      </c>
      <c r="AF921" s="2">
        <f t="shared" si="56"/>
        <v>1.2E-2</v>
      </c>
      <c r="AG921">
        <f t="shared" si="57"/>
        <v>0.57099999999999995</v>
      </c>
      <c r="AH921">
        <f t="shared" si="58"/>
        <v>0.54961851444668564</v>
      </c>
      <c r="AI921">
        <f t="shared" si="59"/>
        <v>2.1381485553314317E-2</v>
      </c>
    </row>
    <row r="922" spans="28:35" x14ac:dyDescent="0.35">
      <c r="AB922">
        <v>5</v>
      </c>
      <c r="AC922">
        <v>554</v>
      </c>
      <c r="AF922" s="2">
        <f t="shared" si="56"/>
        <v>5.0000000000000001E-3</v>
      </c>
      <c r="AG922">
        <f t="shared" si="57"/>
        <v>0.55400000000000005</v>
      </c>
      <c r="AH922">
        <f t="shared" si="58"/>
        <v>0.72854138131245416</v>
      </c>
      <c r="AI922">
        <f t="shared" si="59"/>
        <v>-0.17454138131245411</v>
      </c>
    </row>
    <row r="923" spans="28:35" x14ac:dyDescent="0.35">
      <c r="AB923">
        <v>8</v>
      </c>
      <c r="AC923">
        <v>680</v>
      </c>
      <c r="AF923" s="2">
        <f t="shared" si="56"/>
        <v>8.0000000000000002E-3</v>
      </c>
      <c r="AG923">
        <f t="shared" si="57"/>
        <v>0.68</v>
      </c>
      <c r="AH923">
        <f t="shared" si="58"/>
        <v>0.64565443316314119</v>
      </c>
      <c r="AI923">
        <f t="shared" si="59"/>
        <v>3.4345566836858854E-2</v>
      </c>
    </row>
    <row r="924" spans="28:35" x14ac:dyDescent="0.35">
      <c r="AB924">
        <v>8</v>
      </c>
      <c r="AC924">
        <v>692</v>
      </c>
      <c r="AF924" s="2">
        <f t="shared" si="56"/>
        <v>8.0000000000000002E-3</v>
      </c>
      <c r="AG924">
        <f t="shared" si="57"/>
        <v>0.69199999999999995</v>
      </c>
      <c r="AH924">
        <f t="shared" si="58"/>
        <v>0.64565443316314119</v>
      </c>
      <c r="AI924">
        <f t="shared" si="59"/>
        <v>4.6345566836858754E-2</v>
      </c>
    </row>
    <row r="925" spans="28:35" x14ac:dyDescent="0.35">
      <c r="AB925">
        <v>3</v>
      </c>
      <c r="AC925">
        <v>760</v>
      </c>
      <c r="AF925" s="2">
        <f t="shared" si="56"/>
        <v>3.0000000000000001E-3</v>
      </c>
      <c r="AG925">
        <f t="shared" si="57"/>
        <v>0.76</v>
      </c>
      <c r="AH925">
        <f t="shared" si="58"/>
        <v>0.78962995748025411</v>
      </c>
      <c r="AI925">
        <f t="shared" si="59"/>
        <v>-2.9629957480254099E-2</v>
      </c>
    </row>
    <row r="926" spans="28:35" x14ac:dyDescent="0.35">
      <c r="AB926">
        <v>2</v>
      </c>
      <c r="AC926">
        <v>776</v>
      </c>
      <c r="AF926" s="2">
        <f t="shared" si="56"/>
        <v>2E-3</v>
      </c>
      <c r="AG926">
        <f t="shared" si="57"/>
        <v>0.77600000000000002</v>
      </c>
      <c r="AH926">
        <f t="shared" si="58"/>
        <v>0.82206907754716119</v>
      </c>
      <c r="AI926">
        <f t="shared" si="59"/>
        <v>-4.6069077547161164E-2</v>
      </c>
    </row>
    <row r="927" spans="28:35" x14ac:dyDescent="0.35">
      <c r="AB927">
        <v>7</v>
      </c>
      <c r="AC927">
        <v>756</v>
      </c>
      <c r="AF927" s="2">
        <f t="shared" si="56"/>
        <v>7.0000000000000001E-3</v>
      </c>
      <c r="AG927">
        <f t="shared" si="57"/>
        <v>0.75600000000000001</v>
      </c>
      <c r="AH927">
        <f t="shared" si="58"/>
        <v>0.67217883422049818</v>
      </c>
      <c r="AI927">
        <f t="shared" si="59"/>
        <v>8.3821165779501827E-2</v>
      </c>
    </row>
    <row r="928" spans="28:35" x14ac:dyDescent="0.35">
      <c r="AB928">
        <v>3</v>
      </c>
      <c r="AC928">
        <v>760</v>
      </c>
      <c r="AF928" s="2">
        <f t="shared" si="56"/>
        <v>3.0000000000000001E-3</v>
      </c>
      <c r="AG928">
        <f t="shared" si="57"/>
        <v>0.76</v>
      </c>
      <c r="AH928">
        <f t="shared" si="58"/>
        <v>0.78962995748025411</v>
      </c>
      <c r="AI928">
        <f t="shared" si="59"/>
        <v>-2.9629957480254099E-2</v>
      </c>
    </row>
    <row r="929" spans="28:35" x14ac:dyDescent="0.35">
      <c r="AB929">
        <v>7</v>
      </c>
      <c r="AC929">
        <v>766</v>
      </c>
      <c r="AF929" s="2">
        <f t="shared" si="56"/>
        <v>7.0000000000000001E-3</v>
      </c>
      <c r="AG929">
        <f t="shared" si="57"/>
        <v>0.76600000000000001</v>
      </c>
      <c r="AH929">
        <f t="shared" si="58"/>
        <v>0.67217883422049818</v>
      </c>
      <c r="AI929">
        <f t="shared" si="59"/>
        <v>9.3821165779501836E-2</v>
      </c>
    </row>
    <row r="930" spans="28:35" x14ac:dyDescent="0.35">
      <c r="AB930">
        <v>8</v>
      </c>
      <c r="AC930">
        <v>683</v>
      </c>
      <c r="AF930" s="2">
        <f t="shared" si="56"/>
        <v>8.0000000000000002E-3</v>
      </c>
      <c r="AG930">
        <f t="shared" si="57"/>
        <v>0.68300000000000005</v>
      </c>
      <c r="AH930">
        <f t="shared" si="58"/>
        <v>0.64565443316314119</v>
      </c>
      <c r="AI930">
        <f t="shared" si="59"/>
        <v>3.7345566836858857E-2</v>
      </c>
    </row>
    <row r="931" spans="28:35" x14ac:dyDescent="0.35">
      <c r="AB931">
        <v>5</v>
      </c>
      <c r="AC931">
        <v>548</v>
      </c>
      <c r="AF931" s="2">
        <f t="shared" si="56"/>
        <v>5.0000000000000001E-3</v>
      </c>
      <c r="AG931">
        <f t="shared" si="57"/>
        <v>0.54800000000000004</v>
      </c>
      <c r="AH931">
        <f t="shared" si="58"/>
        <v>0.72854138131245416</v>
      </c>
      <c r="AI931">
        <f t="shared" si="59"/>
        <v>-0.18054138131245412</v>
      </c>
    </row>
    <row r="932" spans="28:35" x14ac:dyDescent="0.35">
      <c r="AB932">
        <v>6</v>
      </c>
      <c r="AC932">
        <v>720</v>
      </c>
      <c r="AF932" s="2">
        <f t="shared" si="56"/>
        <v>6.0000000000000001E-3</v>
      </c>
      <c r="AG932">
        <f t="shared" si="57"/>
        <v>0.72</v>
      </c>
      <c r="AH932">
        <f t="shared" si="58"/>
        <v>0.69979289534261269</v>
      </c>
      <c r="AI932">
        <f t="shared" si="59"/>
        <v>2.0207104657387287E-2</v>
      </c>
    </row>
    <row r="933" spans="28:35" x14ac:dyDescent="0.35">
      <c r="AB933">
        <v>6</v>
      </c>
      <c r="AC933">
        <v>727</v>
      </c>
      <c r="AF933" s="2">
        <f t="shared" si="56"/>
        <v>6.0000000000000001E-3</v>
      </c>
      <c r="AG933">
        <f t="shared" si="57"/>
        <v>0.72699999999999998</v>
      </c>
      <c r="AH933">
        <f t="shared" si="58"/>
        <v>0.69979289534261269</v>
      </c>
      <c r="AI933">
        <f t="shared" si="59"/>
        <v>2.7207104657387293E-2</v>
      </c>
    </row>
    <row r="934" spans="28:35" x14ac:dyDescent="0.35">
      <c r="AB934">
        <v>6</v>
      </c>
      <c r="AC934">
        <v>727</v>
      </c>
      <c r="AF934" s="2">
        <f t="shared" si="56"/>
        <v>6.0000000000000001E-3</v>
      </c>
      <c r="AG934">
        <f t="shared" si="57"/>
        <v>0.72699999999999998</v>
      </c>
      <c r="AH934">
        <f t="shared" si="58"/>
        <v>0.69979289534261269</v>
      </c>
      <c r="AI934">
        <f t="shared" si="59"/>
        <v>2.7207104657387293E-2</v>
      </c>
    </row>
    <row r="935" spans="28:35" x14ac:dyDescent="0.35">
      <c r="AB935">
        <v>1</v>
      </c>
      <c r="AC935">
        <v>786</v>
      </c>
      <c r="AF935" s="2">
        <f t="shared" si="56"/>
        <v>1E-3</v>
      </c>
      <c r="AG935">
        <f t="shared" si="57"/>
        <v>0.78600000000000003</v>
      </c>
      <c r="AH935">
        <f t="shared" si="58"/>
        <v>0.85584084273568095</v>
      </c>
      <c r="AI935">
        <f t="shared" si="59"/>
        <v>-6.9840842735680919E-2</v>
      </c>
    </row>
    <row r="936" spans="28:35" x14ac:dyDescent="0.35">
      <c r="AB936">
        <v>4</v>
      </c>
      <c r="AC936">
        <v>811</v>
      </c>
      <c r="AF936" s="2">
        <f t="shared" si="56"/>
        <v>4.0000000000000001E-3</v>
      </c>
      <c r="AG936">
        <f t="shared" si="57"/>
        <v>0.81100000000000005</v>
      </c>
      <c r="AH936">
        <f t="shared" si="58"/>
        <v>0.75847089591385031</v>
      </c>
      <c r="AI936">
        <f t="shared" si="59"/>
        <v>5.2529104086149747E-2</v>
      </c>
    </row>
    <row r="937" spans="28:35" x14ac:dyDescent="0.35">
      <c r="AB937">
        <v>1</v>
      </c>
      <c r="AC937">
        <v>793</v>
      </c>
      <c r="AF937" s="2">
        <f t="shared" si="56"/>
        <v>1E-3</v>
      </c>
      <c r="AG937">
        <f t="shared" si="57"/>
        <v>0.79300000000000004</v>
      </c>
      <c r="AH937">
        <f t="shared" si="58"/>
        <v>0.85584084273568095</v>
      </c>
      <c r="AI937">
        <f t="shared" si="59"/>
        <v>-6.2840842735680913E-2</v>
      </c>
    </row>
    <row r="938" spans="28:35" x14ac:dyDescent="0.35">
      <c r="AB938">
        <v>2</v>
      </c>
      <c r="AC938">
        <v>783</v>
      </c>
      <c r="AF938" s="2">
        <f t="shared" si="56"/>
        <v>2E-3</v>
      </c>
      <c r="AG938">
        <f t="shared" si="57"/>
        <v>0.78300000000000003</v>
      </c>
      <c r="AH938">
        <f t="shared" si="58"/>
        <v>0.82206907754716119</v>
      </c>
      <c r="AI938">
        <f t="shared" si="59"/>
        <v>-3.9069077547161157E-2</v>
      </c>
    </row>
    <row r="939" spans="28:35" x14ac:dyDescent="0.35">
      <c r="AB939">
        <v>2</v>
      </c>
      <c r="AC939">
        <v>792</v>
      </c>
      <c r="AF939" s="2">
        <f t="shared" si="56"/>
        <v>2E-3</v>
      </c>
      <c r="AG939">
        <f t="shared" si="57"/>
        <v>0.79200000000000004</v>
      </c>
      <c r="AH939">
        <f t="shared" si="58"/>
        <v>0.82206907754716119</v>
      </c>
      <c r="AI939">
        <f t="shared" si="59"/>
        <v>-3.0069077547161149E-2</v>
      </c>
    </row>
    <row r="940" spans="28:35" x14ac:dyDescent="0.35">
      <c r="AB940">
        <v>1</v>
      </c>
      <c r="AC940">
        <v>797</v>
      </c>
      <c r="AF940" s="2">
        <f t="shared" si="56"/>
        <v>1E-3</v>
      </c>
      <c r="AG940">
        <f t="shared" si="57"/>
        <v>0.79700000000000004</v>
      </c>
      <c r="AH940">
        <f t="shared" si="58"/>
        <v>0.85584084273568095</v>
      </c>
      <c r="AI940">
        <f t="shared" si="59"/>
        <v>-5.8840842735680909E-2</v>
      </c>
    </row>
    <row r="941" spans="28:35" x14ac:dyDescent="0.35">
      <c r="AB941">
        <v>1</v>
      </c>
      <c r="AC941">
        <v>800</v>
      </c>
      <c r="AF941" s="2">
        <f t="shared" si="56"/>
        <v>1E-3</v>
      </c>
      <c r="AG941">
        <f t="shared" si="57"/>
        <v>0.8</v>
      </c>
      <c r="AH941">
        <f t="shared" si="58"/>
        <v>0.85584084273568095</v>
      </c>
      <c r="AI941">
        <f t="shared" si="59"/>
        <v>-5.5840842735680907E-2</v>
      </c>
    </row>
    <row r="942" spans="28:35" x14ac:dyDescent="0.35">
      <c r="AB942">
        <v>1</v>
      </c>
      <c r="AC942">
        <v>792</v>
      </c>
      <c r="AF942" s="2">
        <f t="shared" si="56"/>
        <v>1E-3</v>
      </c>
      <c r="AG942">
        <f t="shared" si="57"/>
        <v>0.79200000000000004</v>
      </c>
      <c r="AH942">
        <f t="shared" si="58"/>
        <v>0.85584084273568095</v>
      </c>
      <c r="AI942">
        <f t="shared" si="59"/>
        <v>-6.3840842735680914E-2</v>
      </c>
    </row>
    <row r="943" spans="28:35" x14ac:dyDescent="0.35">
      <c r="AB943">
        <v>0</v>
      </c>
      <c r="AC943">
        <v>998</v>
      </c>
      <c r="AF943" s="2">
        <f t="shared" si="56"/>
        <v>0</v>
      </c>
      <c r="AG943">
        <f t="shared" si="57"/>
        <v>0.998</v>
      </c>
      <c r="AH943">
        <f t="shared" si="58"/>
        <v>0.89100000000000001</v>
      </c>
      <c r="AI943">
        <f t="shared" si="59"/>
        <v>0.10699999999999998</v>
      </c>
    </row>
    <row r="944" spans="28:35" x14ac:dyDescent="0.35">
      <c r="AB944">
        <v>0</v>
      </c>
      <c r="AC944">
        <v>999</v>
      </c>
      <c r="AF944" s="2">
        <f t="shared" si="56"/>
        <v>0</v>
      </c>
      <c r="AG944">
        <f t="shared" si="57"/>
        <v>0.999</v>
      </c>
      <c r="AH944">
        <f t="shared" si="58"/>
        <v>0.89100000000000001</v>
      </c>
      <c r="AI944">
        <f t="shared" si="59"/>
        <v>0.10799999999999998</v>
      </c>
    </row>
    <row r="945" spans="28:35" x14ac:dyDescent="0.35">
      <c r="AB945">
        <v>0</v>
      </c>
      <c r="AC945">
        <v>998</v>
      </c>
      <c r="AF945" s="2">
        <f t="shared" si="56"/>
        <v>0</v>
      </c>
      <c r="AG945">
        <f t="shared" si="57"/>
        <v>0.998</v>
      </c>
      <c r="AH945">
        <f t="shared" si="58"/>
        <v>0.89100000000000001</v>
      </c>
      <c r="AI945">
        <f t="shared" si="59"/>
        <v>0.10699999999999998</v>
      </c>
    </row>
    <row r="946" spans="28:35" x14ac:dyDescent="0.35">
      <c r="AB946">
        <v>0</v>
      </c>
      <c r="AC946">
        <v>998</v>
      </c>
      <c r="AF946" s="2">
        <f t="shared" si="56"/>
        <v>0</v>
      </c>
      <c r="AG946">
        <f t="shared" si="57"/>
        <v>0.998</v>
      </c>
      <c r="AH946">
        <f t="shared" si="58"/>
        <v>0.89100000000000001</v>
      </c>
      <c r="AI946">
        <f t="shared" si="59"/>
        <v>0.10699999999999998</v>
      </c>
    </row>
    <row r="947" spans="28:35" x14ac:dyDescent="0.35">
      <c r="AB947">
        <v>2</v>
      </c>
      <c r="AC947">
        <v>797</v>
      </c>
      <c r="AF947" s="2">
        <f t="shared" si="56"/>
        <v>2E-3</v>
      </c>
      <c r="AG947">
        <f t="shared" si="57"/>
        <v>0.79700000000000004</v>
      </c>
      <c r="AH947">
        <f t="shared" si="58"/>
        <v>0.82206907754716119</v>
      </c>
      <c r="AI947">
        <f t="shared" si="59"/>
        <v>-2.5069077547161145E-2</v>
      </c>
    </row>
    <row r="948" spans="28:35" x14ac:dyDescent="0.35">
      <c r="AB948">
        <v>0</v>
      </c>
      <c r="AC948">
        <v>997</v>
      </c>
      <c r="AF948" s="2">
        <f t="shared" si="56"/>
        <v>0</v>
      </c>
      <c r="AG948">
        <f t="shared" si="57"/>
        <v>0.997</v>
      </c>
      <c r="AH948">
        <f t="shared" si="58"/>
        <v>0.89100000000000001</v>
      </c>
      <c r="AI948">
        <f t="shared" si="59"/>
        <v>0.10599999999999998</v>
      </c>
    </row>
    <row r="949" spans="28:35" x14ac:dyDescent="0.35">
      <c r="AB949">
        <v>2</v>
      </c>
      <c r="AC949">
        <v>788</v>
      </c>
      <c r="AF949" s="2">
        <f t="shared" si="56"/>
        <v>2E-3</v>
      </c>
      <c r="AG949">
        <f t="shared" si="57"/>
        <v>0.78800000000000003</v>
      </c>
      <c r="AH949">
        <f t="shared" si="58"/>
        <v>0.82206907754716119</v>
      </c>
      <c r="AI949">
        <f t="shared" si="59"/>
        <v>-3.4069077547161153E-2</v>
      </c>
    </row>
    <row r="950" spans="28:35" x14ac:dyDescent="0.35">
      <c r="AB950">
        <v>3</v>
      </c>
      <c r="AC950">
        <v>760</v>
      </c>
      <c r="AF950" s="2">
        <f t="shared" si="56"/>
        <v>3.0000000000000001E-3</v>
      </c>
      <c r="AG950">
        <f t="shared" si="57"/>
        <v>0.76</v>
      </c>
      <c r="AH950">
        <f t="shared" si="58"/>
        <v>0.78962995748025411</v>
      </c>
      <c r="AI950">
        <f t="shared" si="59"/>
        <v>-2.9629957480254099E-2</v>
      </c>
    </row>
    <row r="951" spans="28:35" x14ac:dyDescent="0.35">
      <c r="AB951">
        <v>1</v>
      </c>
      <c r="AC951">
        <v>787</v>
      </c>
      <c r="AF951" s="2">
        <f t="shared" si="56"/>
        <v>1E-3</v>
      </c>
      <c r="AG951">
        <f t="shared" si="57"/>
        <v>0.78700000000000003</v>
      </c>
      <c r="AH951">
        <f t="shared" si="58"/>
        <v>0.85584084273568095</v>
      </c>
      <c r="AI951">
        <f t="shared" si="59"/>
        <v>-6.8840842735680918E-2</v>
      </c>
    </row>
    <row r="952" spans="28:35" x14ac:dyDescent="0.35">
      <c r="AB952">
        <v>7</v>
      </c>
      <c r="AC952">
        <v>778</v>
      </c>
      <c r="AF952" s="2">
        <f t="shared" si="56"/>
        <v>7.0000000000000001E-3</v>
      </c>
      <c r="AG952">
        <f t="shared" si="57"/>
        <v>0.77800000000000002</v>
      </c>
      <c r="AH952">
        <f t="shared" si="58"/>
        <v>0.67217883422049818</v>
      </c>
      <c r="AI952">
        <f t="shared" si="59"/>
        <v>0.10582116577950185</v>
      </c>
    </row>
    <row r="953" spans="28:35" x14ac:dyDescent="0.35">
      <c r="AB953">
        <v>4</v>
      </c>
      <c r="AC953">
        <v>798</v>
      </c>
      <c r="AF953" s="2">
        <f t="shared" si="56"/>
        <v>4.0000000000000001E-3</v>
      </c>
      <c r="AG953">
        <f t="shared" si="57"/>
        <v>0.79800000000000004</v>
      </c>
      <c r="AH953">
        <f t="shared" si="58"/>
        <v>0.75847089591385031</v>
      </c>
      <c r="AI953">
        <f t="shared" si="59"/>
        <v>3.9529104086149736E-2</v>
      </c>
    </row>
    <row r="954" spans="28:35" x14ac:dyDescent="0.35">
      <c r="AB954">
        <v>5</v>
      </c>
      <c r="AC954">
        <v>555</v>
      </c>
      <c r="AF954" s="2">
        <f t="shared" si="56"/>
        <v>5.0000000000000001E-3</v>
      </c>
      <c r="AG954">
        <f t="shared" si="57"/>
        <v>0.55500000000000005</v>
      </c>
      <c r="AH954">
        <f t="shared" si="58"/>
        <v>0.72854138131245416</v>
      </c>
      <c r="AI954">
        <f t="shared" si="59"/>
        <v>-0.17354138131245411</v>
      </c>
    </row>
    <row r="955" spans="28:35" x14ac:dyDescent="0.35">
      <c r="AB955">
        <v>4</v>
      </c>
      <c r="AC955">
        <v>802</v>
      </c>
      <c r="AF955" s="2">
        <f t="shared" si="56"/>
        <v>4.0000000000000001E-3</v>
      </c>
      <c r="AG955">
        <f t="shared" si="57"/>
        <v>0.80200000000000005</v>
      </c>
      <c r="AH955">
        <f t="shared" si="58"/>
        <v>0.75847089591385031</v>
      </c>
      <c r="AI955">
        <f t="shared" si="59"/>
        <v>4.3529104086149739E-2</v>
      </c>
    </row>
    <row r="956" spans="28:35" x14ac:dyDescent="0.35">
      <c r="AB956">
        <v>5</v>
      </c>
      <c r="AC956">
        <v>552</v>
      </c>
      <c r="AF956" s="2">
        <f t="shared" si="56"/>
        <v>5.0000000000000001E-3</v>
      </c>
      <c r="AG956">
        <f t="shared" si="57"/>
        <v>0.55200000000000005</v>
      </c>
      <c r="AH956">
        <f t="shared" si="58"/>
        <v>0.72854138131245416</v>
      </c>
      <c r="AI956">
        <f t="shared" si="59"/>
        <v>-0.17654138131245412</v>
      </c>
    </row>
    <row r="957" spans="28:35" x14ac:dyDescent="0.35">
      <c r="AB957">
        <v>4</v>
      </c>
      <c r="AC957">
        <v>790</v>
      </c>
      <c r="AF957" s="2">
        <f t="shared" si="56"/>
        <v>4.0000000000000001E-3</v>
      </c>
      <c r="AG957">
        <f t="shared" si="57"/>
        <v>0.79</v>
      </c>
      <c r="AH957">
        <f t="shared" si="58"/>
        <v>0.75847089591385031</v>
      </c>
      <c r="AI957">
        <f t="shared" si="59"/>
        <v>3.1529104086149728E-2</v>
      </c>
    </row>
    <row r="958" spans="28:35" x14ac:dyDescent="0.35">
      <c r="AB958">
        <v>4</v>
      </c>
      <c r="AC958">
        <v>800</v>
      </c>
      <c r="AF958" s="2">
        <f t="shared" si="56"/>
        <v>4.0000000000000001E-3</v>
      </c>
      <c r="AG958">
        <f t="shared" si="57"/>
        <v>0.8</v>
      </c>
      <c r="AH958">
        <f t="shared" si="58"/>
        <v>0.75847089591385031</v>
      </c>
      <c r="AI958">
        <f t="shared" si="59"/>
        <v>4.1529104086149737E-2</v>
      </c>
    </row>
    <row r="959" spans="28:35" x14ac:dyDescent="0.35">
      <c r="AB959">
        <v>3</v>
      </c>
      <c r="AC959">
        <v>749</v>
      </c>
      <c r="AF959" s="2">
        <f t="shared" si="56"/>
        <v>3.0000000000000001E-3</v>
      </c>
      <c r="AG959">
        <f t="shared" si="57"/>
        <v>0.749</v>
      </c>
      <c r="AH959">
        <f t="shared" si="58"/>
        <v>0.78962995748025411</v>
      </c>
      <c r="AI959">
        <f t="shared" si="59"/>
        <v>-4.0629957480254109E-2</v>
      </c>
    </row>
    <row r="960" spans="28:35" x14ac:dyDescent="0.35">
      <c r="AB960">
        <v>2</v>
      </c>
      <c r="AC960">
        <v>781</v>
      </c>
      <c r="AF960" s="2">
        <f t="shared" si="56"/>
        <v>2E-3</v>
      </c>
      <c r="AG960">
        <f t="shared" si="57"/>
        <v>0.78100000000000003</v>
      </c>
      <c r="AH960">
        <f t="shared" si="58"/>
        <v>0.82206907754716119</v>
      </c>
      <c r="AI960">
        <f t="shared" si="59"/>
        <v>-4.1069077547161159E-2</v>
      </c>
    </row>
    <row r="961" spans="28:35" x14ac:dyDescent="0.35">
      <c r="AB961">
        <v>2</v>
      </c>
      <c r="AC961">
        <v>790</v>
      </c>
      <c r="AF961" s="2">
        <f t="shared" si="56"/>
        <v>2E-3</v>
      </c>
      <c r="AG961">
        <f t="shared" si="57"/>
        <v>0.79</v>
      </c>
      <c r="AH961">
        <f t="shared" si="58"/>
        <v>0.82206907754716119</v>
      </c>
      <c r="AI961">
        <f t="shared" si="59"/>
        <v>-3.2069077547161151E-2</v>
      </c>
    </row>
    <row r="962" spans="28:35" x14ac:dyDescent="0.35">
      <c r="AB962">
        <v>3</v>
      </c>
      <c r="AC962">
        <v>771</v>
      </c>
      <c r="AF962" s="2">
        <f t="shared" si="56"/>
        <v>3.0000000000000001E-3</v>
      </c>
      <c r="AG962">
        <f t="shared" si="57"/>
        <v>0.77100000000000002</v>
      </c>
      <c r="AH962">
        <f t="shared" si="58"/>
        <v>0.78962995748025411</v>
      </c>
      <c r="AI962">
        <f t="shared" si="59"/>
        <v>-1.8629957480254089E-2</v>
      </c>
    </row>
    <row r="963" spans="28:35" x14ac:dyDescent="0.35">
      <c r="AB963">
        <v>0</v>
      </c>
      <c r="AC963">
        <v>994</v>
      </c>
      <c r="AF963" s="2">
        <f t="shared" si="56"/>
        <v>0</v>
      </c>
      <c r="AG963">
        <f t="shared" si="57"/>
        <v>0.99399999999999999</v>
      </c>
      <c r="AH963">
        <f t="shared" si="58"/>
        <v>0.89100000000000001</v>
      </c>
      <c r="AI963">
        <f t="shared" si="59"/>
        <v>0.10299999999999998</v>
      </c>
    </row>
    <row r="964" spans="28:35" x14ac:dyDescent="0.35">
      <c r="AB964">
        <v>2</v>
      </c>
      <c r="AC964">
        <v>786</v>
      </c>
      <c r="AF964" s="2">
        <f t="shared" ref="AF964:AF987" si="60">AB964/1000</f>
        <v>2E-3</v>
      </c>
      <c r="AG964">
        <f t="shared" ref="AG964:AG987" si="61">AC964/1000</f>
        <v>0.78600000000000003</v>
      </c>
      <c r="AH964">
        <f t="shared" ref="AH964:AH987" si="62">0.891*EXP(-40.26*AF964)</f>
        <v>0.82206907754716119</v>
      </c>
      <c r="AI964">
        <f t="shared" ref="AI964:AI987" si="63">AG964-AH964</f>
        <v>-3.6069077547161155E-2</v>
      </c>
    </row>
    <row r="965" spans="28:35" x14ac:dyDescent="0.35">
      <c r="AB965">
        <v>0</v>
      </c>
      <c r="AC965">
        <v>997</v>
      </c>
      <c r="AF965" s="2">
        <f t="shared" si="60"/>
        <v>0</v>
      </c>
      <c r="AG965">
        <f t="shared" si="61"/>
        <v>0.997</v>
      </c>
      <c r="AH965">
        <f t="shared" si="62"/>
        <v>0.89100000000000001</v>
      </c>
      <c r="AI965">
        <f t="shared" si="63"/>
        <v>0.10599999999999998</v>
      </c>
    </row>
    <row r="966" spans="28:35" x14ac:dyDescent="0.35">
      <c r="AB966">
        <v>1</v>
      </c>
      <c r="AC966">
        <v>786</v>
      </c>
      <c r="AF966" s="2">
        <f t="shared" si="60"/>
        <v>1E-3</v>
      </c>
      <c r="AG966">
        <f t="shared" si="61"/>
        <v>0.78600000000000003</v>
      </c>
      <c r="AH966">
        <f t="shared" si="62"/>
        <v>0.85584084273568095</v>
      </c>
      <c r="AI966">
        <f t="shared" si="63"/>
        <v>-6.9840842735680919E-2</v>
      </c>
    </row>
    <row r="967" spans="28:35" x14ac:dyDescent="0.35">
      <c r="AB967">
        <v>2</v>
      </c>
      <c r="AC967">
        <v>794</v>
      </c>
      <c r="AF967" s="2">
        <f t="shared" si="60"/>
        <v>2E-3</v>
      </c>
      <c r="AG967">
        <f t="shared" si="61"/>
        <v>0.79400000000000004</v>
      </c>
      <c r="AH967">
        <f t="shared" si="62"/>
        <v>0.82206907754716119</v>
      </c>
      <c r="AI967">
        <f t="shared" si="63"/>
        <v>-2.8069077547161148E-2</v>
      </c>
    </row>
    <row r="968" spans="28:35" x14ac:dyDescent="0.35">
      <c r="AB968">
        <v>1</v>
      </c>
      <c r="AC968">
        <v>788</v>
      </c>
      <c r="AF968" s="2">
        <f t="shared" si="60"/>
        <v>1E-3</v>
      </c>
      <c r="AG968">
        <f t="shared" si="61"/>
        <v>0.78800000000000003</v>
      </c>
      <c r="AH968">
        <f t="shared" si="62"/>
        <v>0.85584084273568095</v>
      </c>
      <c r="AI968">
        <f t="shared" si="63"/>
        <v>-6.7840842735680917E-2</v>
      </c>
    </row>
    <row r="969" spans="28:35" x14ac:dyDescent="0.35">
      <c r="AB969">
        <v>0</v>
      </c>
      <c r="AC969">
        <v>997</v>
      </c>
      <c r="AF969" s="2">
        <f t="shared" si="60"/>
        <v>0</v>
      </c>
      <c r="AG969">
        <f t="shared" si="61"/>
        <v>0.997</v>
      </c>
      <c r="AH969">
        <f t="shared" si="62"/>
        <v>0.89100000000000001</v>
      </c>
      <c r="AI969">
        <f t="shared" si="63"/>
        <v>0.10599999999999998</v>
      </c>
    </row>
    <row r="970" spans="28:35" x14ac:dyDescent="0.35">
      <c r="AB970">
        <v>2</v>
      </c>
      <c r="AC970">
        <v>794</v>
      </c>
      <c r="AF970" s="2">
        <f t="shared" si="60"/>
        <v>2E-3</v>
      </c>
      <c r="AG970">
        <f t="shared" si="61"/>
        <v>0.79400000000000004</v>
      </c>
      <c r="AH970">
        <f t="shared" si="62"/>
        <v>0.82206907754716119</v>
      </c>
      <c r="AI970">
        <f t="shared" si="63"/>
        <v>-2.8069077547161148E-2</v>
      </c>
    </row>
    <row r="971" spans="28:35" x14ac:dyDescent="0.35">
      <c r="AB971">
        <v>1</v>
      </c>
      <c r="AC971">
        <v>798</v>
      </c>
      <c r="AF971" s="2">
        <f t="shared" si="60"/>
        <v>1E-3</v>
      </c>
      <c r="AG971">
        <f t="shared" si="61"/>
        <v>0.79800000000000004</v>
      </c>
      <c r="AH971">
        <f t="shared" si="62"/>
        <v>0.85584084273568095</v>
      </c>
      <c r="AI971">
        <f t="shared" si="63"/>
        <v>-5.7840842735680909E-2</v>
      </c>
    </row>
    <row r="972" spans="28:35" x14ac:dyDescent="0.35">
      <c r="AB972">
        <v>2</v>
      </c>
      <c r="AC972">
        <v>784</v>
      </c>
      <c r="AF972" s="2">
        <f t="shared" si="60"/>
        <v>2E-3</v>
      </c>
      <c r="AG972">
        <f t="shared" si="61"/>
        <v>0.78400000000000003</v>
      </c>
      <c r="AH972">
        <f t="shared" si="62"/>
        <v>0.82206907754716119</v>
      </c>
      <c r="AI972">
        <f t="shared" si="63"/>
        <v>-3.8069077547161156E-2</v>
      </c>
    </row>
    <row r="973" spans="28:35" x14ac:dyDescent="0.35">
      <c r="AB973">
        <v>4</v>
      </c>
      <c r="AC973">
        <v>802</v>
      </c>
      <c r="AF973" s="2">
        <f t="shared" si="60"/>
        <v>4.0000000000000001E-3</v>
      </c>
      <c r="AG973">
        <f t="shared" si="61"/>
        <v>0.80200000000000005</v>
      </c>
      <c r="AH973">
        <f t="shared" si="62"/>
        <v>0.75847089591385031</v>
      </c>
      <c r="AI973">
        <f t="shared" si="63"/>
        <v>4.3529104086149739E-2</v>
      </c>
    </row>
    <row r="974" spans="28:35" x14ac:dyDescent="0.35">
      <c r="AB974">
        <v>0</v>
      </c>
      <c r="AC974">
        <v>994</v>
      </c>
      <c r="AF974" s="2">
        <f t="shared" si="60"/>
        <v>0</v>
      </c>
      <c r="AG974">
        <f t="shared" si="61"/>
        <v>0.99399999999999999</v>
      </c>
      <c r="AH974">
        <f t="shared" si="62"/>
        <v>0.89100000000000001</v>
      </c>
      <c r="AI974">
        <f t="shared" si="63"/>
        <v>0.10299999999999998</v>
      </c>
    </row>
    <row r="975" spans="28:35" x14ac:dyDescent="0.35">
      <c r="AB975">
        <v>2</v>
      </c>
      <c r="AC975">
        <v>785</v>
      </c>
      <c r="AF975" s="2">
        <f t="shared" si="60"/>
        <v>2E-3</v>
      </c>
      <c r="AG975">
        <f t="shared" si="61"/>
        <v>0.78500000000000003</v>
      </c>
      <c r="AH975">
        <f t="shared" si="62"/>
        <v>0.82206907754716119</v>
      </c>
      <c r="AI975">
        <f t="shared" si="63"/>
        <v>-3.7069077547161156E-2</v>
      </c>
    </row>
    <row r="976" spans="28:35" x14ac:dyDescent="0.35">
      <c r="AB976">
        <v>1</v>
      </c>
      <c r="AC976">
        <v>996</v>
      </c>
      <c r="AF976" s="2">
        <f t="shared" si="60"/>
        <v>1E-3</v>
      </c>
      <c r="AG976">
        <f t="shared" si="61"/>
        <v>0.996</v>
      </c>
      <c r="AH976">
        <f t="shared" si="62"/>
        <v>0.85584084273568095</v>
      </c>
      <c r="AI976">
        <f t="shared" si="63"/>
        <v>0.14015915726431905</v>
      </c>
    </row>
    <row r="977" spans="28:35" x14ac:dyDescent="0.35">
      <c r="AB977">
        <v>1</v>
      </c>
      <c r="AC977">
        <v>796</v>
      </c>
      <c r="AF977" s="2">
        <f t="shared" si="60"/>
        <v>1E-3</v>
      </c>
      <c r="AG977">
        <f t="shared" si="61"/>
        <v>0.79600000000000004</v>
      </c>
      <c r="AH977">
        <f t="shared" si="62"/>
        <v>0.85584084273568095</v>
      </c>
      <c r="AI977">
        <f t="shared" si="63"/>
        <v>-5.984084273568091E-2</v>
      </c>
    </row>
    <row r="978" spans="28:35" x14ac:dyDescent="0.35">
      <c r="AB978">
        <v>1</v>
      </c>
      <c r="AC978">
        <v>793</v>
      </c>
      <c r="AF978" s="2">
        <f t="shared" si="60"/>
        <v>1E-3</v>
      </c>
      <c r="AG978">
        <f t="shared" si="61"/>
        <v>0.79300000000000004</v>
      </c>
      <c r="AH978">
        <f t="shared" si="62"/>
        <v>0.85584084273568095</v>
      </c>
      <c r="AI978">
        <f t="shared" si="63"/>
        <v>-6.2840842735680913E-2</v>
      </c>
    </row>
    <row r="979" spans="28:35" x14ac:dyDescent="0.35">
      <c r="AB979">
        <v>1</v>
      </c>
      <c r="AC979">
        <v>791</v>
      </c>
      <c r="AF979" s="2">
        <f t="shared" si="60"/>
        <v>1E-3</v>
      </c>
      <c r="AG979">
        <f t="shared" si="61"/>
        <v>0.79100000000000004</v>
      </c>
      <c r="AH979">
        <f t="shared" si="62"/>
        <v>0.85584084273568095</v>
      </c>
      <c r="AI979">
        <f t="shared" si="63"/>
        <v>-6.4840842735680915E-2</v>
      </c>
    </row>
    <row r="980" spans="28:35" x14ac:dyDescent="0.35">
      <c r="AB980">
        <v>1</v>
      </c>
      <c r="AC980">
        <v>795</v>
      </c>
      <c r="AF980" s="2">
        <f t="shared" si="60"/>
        <v>1E-3</v>
      </c>
      <c r="AG980">
        <f t="shared" si="61"/>
        <v>0.79500000000000004</v>
      </c>
      <c r="AH980">
        <f t="shared" si="62"/>
        <v>0.85584084273568095</v>
      </c>
      <c r="AI980">
        <f t="shared" si="63"/>
        <v>-6.0840842735680911E-2</v>
      </c>
    </row>
    <row r="981" spans="28:35" x14ac:dyDescent="0.35">
      <c r="AB981">
        <v>0</v>
      </c>
      <c r="AC981">
        <v>997</v>
      </c>
      <c r="AF981" s="2">
        <f t="shared" si="60"/>
        <v>0</v>
      </c>
      <c r="AG981">
        <f t="shared" si="61"/>
        <v>0.997</v>
      </c>
      <c r="AH981">
        <f t="shared" si="62"/>
        <v>0.89100000000000001</v>
      </c>
      <c r="AI981">
        <f t="shared" si="63"/>
        <v>0.10599999999999998</v>
      </c>
    </row>
    <row r="982" spans="28:35" x14ac:dyDescent="0.35">
      <c r="AB982">
        <v>0</v>
      </c>
      <c r="AC982">
        <v>998</v>
      </c>
      <c r="AF982" s="2">
        <f t="shared" si="60"/>
        <v>0</v>
      </c>
      <c r="AG982">
        <f t="shared" si="61"/>
        <v>0.998</v>
      </c>
      <c r="AH982">
        <f t="shared" si="62"/>
        <v>0.89100000000000001</v>
      </c>
      <c r="AI982">
        <f t="shared" si="63"/>
        <v>0.10699999999999998</v>
      </c>
    </row>
    <row r="983" spans="28:35" x14ac:dyDescent="0.35">
      <c r="AB983">
        <v>0</v>
      </c>
      <c r="AC983">
        <v>998</v>
      </c>
      <c r="AF983" s="2">
        <f t="shared" si="60"/>
        <v>0</v>
      </c>
      <c r="AG983">
        <f t="shared" si="61"/>
        <v>0.998</v>
      </c>
      <c r="AH983">
        <f t="shared" si="62"/>
        <v>0.89100000000000001</v>
      </c>
      <c r="AI983">
        <f t="shared" si="63"/>
        <v>0.10699999999999998</v>
      </c>
    </row>
    <row r="984" spans="28:35" x14ac:dyDescent="0.35">
      <c r="AB984">
        <v>0</v>
      </c>
      <c r="AC984">
        <v>997</v>
      </c>
      <c r="AF984" s="2">
        <f t="shared" si="60"/>
        <v>0</v>
      </c>
      <c r="AG984">
        <f t="shared" si="61"/>
        <v>0.997</v>
      </c>
      <c r="AH984">
        <f t="shared" si="62"/>
        <v>0.89100000000000001</v>
      </c>
      <c r="AI984">
        <f t="shared" si="63"/>
        <v>0.10599999999999998</v>
      </c>
    </row>
    <row r="985" spans="28:35" x14ac:dyDescent="0.35">
      <c r="AB985">
        <v>1</v>
      </c>
      <c r="AC985">
        <v>790</v>
      </c>
      <c r="AF985" s="2">
        <f t="shared" si="60"/>
        <v>1E-3</v>
      </c>
      <c r="AG985">
        <f t="shared" si="61"/>
        <v>0.79</v>
      </c>
      <c r="AH985">
        <f t="shared" si="62"/>
        <v>0.85584084273568095</v>
      </c>
      <c r="AI985">
        <f t="shared" si="63"/>
        <v>-6.5840842735680916E-2</v>
      </c>
    </row>
    <row r="986" spans="28:35" x14ac:dyDescent="0.35">
      <c r="AB986">
        <v>0</v>
      </c>
      <c r="AC986">
        <v>997</v>
      </c>
      <c r="AF986" s="2">
        <f t="shared" si="60"/>
        <v>0</v>
      </c>
      <c r="AG986">
        <f t="shared" si="61"/>
        <v>0.997</v>
      </c>
      <c r="AH986">
        <f t="shared" si="62"/>
        <v>0.89100000000000001</v>
      </c>
      <c r="AI986">
        <f t="shared" si="63"/>
        <v>0.10599999999999998</v>
      </c>
    </row>
    <row r="987" spans="28:35" x14ac:dyDescent="0.35">
      <c r="AB987">
        <v>0</v>
      </c>
      <c r="AC987">
        <v>998</v>
      </c>
      <c r="AF987" s="2">
        <f t="shared" si="60"/>
        <v>0</v>
      </c>
      <c r="AG987">
        <f t="shared" si="61"/>
        <v>0.998</v>
      </c>
      <c r="AH987">
        <f t="shared" si="62"/>
        <v>0.89100000000000001</v>
      </c>
      <c r="AI987">
        <f t="shared" si="63"/>
        <v>0.10699999999999998</v>
      </c>
    </row>
  </sheetData>
  <mergeCells count="2">
    <mergeCell ref="A1:L1"/>
    <mergeCell ref="N1:Y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opLeftCell="A15" zoomScale="115" zoomScaleNormal="115" workbookViewId="0">
      <selection activeCell="F28" sqref="F28"/>
    </sheetView>
  </sheetViews>
  <sheetFormatPr defaultRowHeight="14.5" x14ac:dyDescent="0.35"/>
  <sheetData>
    <row r="1" spans="1:12" x14ac:dyDescent="0.35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5">
      <c r="A2" t="s">
        <v>10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12</v>
      </c>
    </row>
    <row r="3" spans="1:12" x14ac:dyDescent="0.35">
      <c r="A3">
        <v>0</v>
      </c>
      <c r="B3">
        <f>'[1]GABM_R03_Terry_no_fb-data'!$D2</f>
        <v>2</v>
      </c>
      <c r="C3">
        <f>'[2]GABM_R03_MitchellAPI_no_fb-data'!$D2</f>
        <v>2</v>
      </c>
      <c r="D3">
        <f>'[3]GABM_R03_NavidAPI_no_fb-data'!$D2</f>
        <v>2</v>
      </c>
      <c r="E3">
        <f>'[4]GABM_R03_RandiAPI_no_fb_runtwo-'!$D2</f>
        <v>2</v>
      </c>
      <c r="F3">
        <f>'[5]GABM_R03_SudipaAPI_no_fb-data'!$D2</f>
        <v>2</v>
      </c>
      <c r="G3">
        <f>'[6]GABM_R03_NavidAPI_no_fb_runtwo-'!$D2</f>
        <v>2</v>
      </c>
      <c r="H3">
        <f>'[7]GABM_R03_savannah_no_fb-data'!$D2</f>
        <v>2</v>
      </c>
      <c r="I3">
        <f>'[8]GABM_R03_Terry_no_fb_run_two-da'!$D2</f>
        <v>2</v>
      </c>
      <c r="J3">
        <f>[9]GABM_R03_MitchellAPI_no_fb_runt!$D2</f>
        <v>2</v>
      </c>
      <c r="K3">
        <f>'[10]R03_GABM_NiyoushaAPI_no_fb-data'!$D2</f>
        <v>2</v>
      </c>
      <c r="L3">
        <f>AVERAGE(B3:K3)</f>
        <v>2</v>
      </c>
    </row>
    <row r="4" spans="1:12" x14ac:dyDescent="0.35">
      <c r="A4">
        <v>1</v>
      </c>
      <c r="B4">
        <f>'[1]GABM_R03_Terry_no_fb-data'!$D3</f>
        <v>6</v>
      </c>
      <c r="C4">
        <f>'[2]GABM_R03_MitchellAPI_no_fb-data'!$D3</f>
        <v>4</v>
      </c>
      <c r="D4">
        <f>'[3]GABM_R03_NavidAPI_no_fb-data'!$D3</f>
        <v>4</v>
      </c>
      <c r="E4">
        <f>'[4]GABM_R03_RandiAPI_no_fb_runtwo-'!$D3</f>
        <v>2</v>
      </c>
      <c r="F4">
        <f>'[5]GABM_R03_SudipaAPI_no_fb-data'!$D3</f>
        <v>4</v>
      </c>
      <c r="G4">
        <f>'[6]GABM_R03_NavidAPI_no_fb_runtwo-'!$D3</f>
        <v>7</v>
      </c>
      <c r="H4">
        <f>'[7]GABM_R03_savannah_no_fb-data'!$D3</f>
        <v>2</v>
      </c>
      <c r="I4">
        <f>'[8]GABM_R03_Terry_no_fb_run_two-da'!$D3</f>
        <v>4</v>
      </c>
      <c r="J4">
        <f>[9]GABM_R03_MitchellAPI_no_fb_runt!$D3</f>
        <v>3</v>
      </c>
      <c r="K4">
        <f>'[10]R03_GABM_NiyoushaAPI_no_fb-data'!$D3</f>
        <v>5</v>
      </c>
      <c r="L4">
        <f t="shared" ref="L4:L29" si="0">AVERAGE(B4:K4)</f>
        <v>4.0999999999999996</v>
      </c>
    </row>
    <row r="5" spans="1:12" x14ac:dyDescent="0.35">
      <c r="A5">
        <v>2</v>
      </c>
      <c r="B5">
        <f>'[1]GABM_R03_Terry_no_fb-data'!$D4</f>
        <v>9</v>
      </c>
      <c r="C5">
        <f>'[2]GABM_R03_MitchellAPI_no_fb-data'!$D4</f>
        <v>8</v>
      </c>
      <c r="D5">
        <f>'[3]GABM_R03_NavidAPI_no_fb-data'!$D4</f>
        <v>7</v>
      </c>
      <c r="E5">
        <f>'[4]GABM_R03_RandiAPI_no_fb_runtwo-'!$D4</f>
        <v>6</v>
      </c>
      <c r="F5">
        <f>'[5]GABM_R03_SudipaAPI_no_fb-data'!$D4</f>
        <v>7</v>
      </c>
      <c r="G5">
        <f>'[6]GABM_R03_NavidAPI_no_fb_runtwo-'!$D4</f>
        <v>13</v>
      </c>
      <c r="H5">
        <f>'[7]GABM_R03_savannah_no_fb-data'!$D4</f>
        <v>6</v>
      </c>
      <c r="I5">
        <f>'[8]GABM_R03_Terry_no_fb_run_two-da'!$D4</f>
        <v>6</v>
      </c>
      <c r="J5">
        <f>[9]GABM_R03_MitchellAPI_no_fb_runt!$D4</f>
        <v>4</v>
      </c>
      <c r="K5">
        <f>'[10]R03_GABM_NiyoushaAPI_no_fb-data'!$D4</f>
        <v>12</v>
      </c>
      <c r="L5">
        <f t="shared" si="0"/>
        <v>7.8</v>
      </c>
    </row>
    <row r="6" spans="1:12" x14ac:dyDescent="0.35">
      <c r="A6">
        <v>3</v>
      </c>
      <c r="B6">
        <f>'[1]GABM_R03_Terry_no_fb-data'!$D5</f>
        <v>15</v>
      </c>
      <c r="C6">
        <f>'[2]GABM_R03_MitchellAPI_no_fb-data'!$D5</f>
        <v>15</v>
      </c>
      <c r="D6">
        <f>'[3]GABM_R03_NavidAPI_no_fb-data'!$D5</f>
        <v>12</v>
      </c>
      <c r="E6">
        <f>'[4]GABM_R03_RandiAPI_no_fb_runtwo-'!$D5</f>
        <v>13</v>
      </c>
      <c r="F6">
        <f>'[5]GABM_R03_SudipaAPI_no_fb-data'!$D5</f>
        <v>15</v>
      </c>
      <c r="G6">
        <f>'[6]GABM_R03_NavidAPI_no_fb_runtwo-'!$D5</f>
        <v>25</v>
      </c>
      <c r="H6">
        <f>'[7]GABM_R03_savannah_no_fb-data'!$D5</f>
        <v>14</v>
      </c>
      <c r="I6">
        <f>'[8]GABM_R03_Terry_no_fb_run_two-da'!$D5</f>
        <v>12</v>
      </c>
      <c r="J6">
        <f>[9]GABM_R03_MitchellAPI_no_fb_runt!$D5</f>
        <v>10</v>
      </c>
      <c r="K6">
        <f>'[10]R03_GABM_NiyoushaAPI_no_fb-data'!$D5</f>
        <v>19</v>
      </c>
      <c r="L6">
        <f t="shared" si="0"/>
        <v>15</v>
      </c>
    </row>
    <row r="7" spans="1:12" x14ac:dyDescent="0.35">
      <c r="A7">
        <v>4</v>
      </c>
      <c r="B7">
        <f>'[1]GABM_R03_Terry_no_fb-data'!$D6</f>
        <v>40</v>
      </c>
      <c r="C7">
        <f>'[2]GABM_R03_MitchellAPI_no_fb-data'!$D6</f>
        <v>24</v>
      </c>
      <c r="D7">
        <f>'[3]GABM_R03_NavidAPI_no_fb-data'!$D6</f>
        <v>21</v>
      </c>
      <c r="E7">
        <f>'[4]GABM_R03_RandiAPI_no_fb_runtwo-'!$D6</f>
        <v>26</v>
      </c>
      <c r="F7">
        <f>'[5]GABM_R03_SudipaAPI_no_fb-data'!$D6</f>
        <v>33</v>
      </c>
      <c r="G7">
        <f>'[6]GABM_R03_NavidAPI_no_fb_runtwo-'!$D6</f>
        <v>47</v>
      </c>
      <c r="H7">
        <f>'[7]GABM_R03_savannah_no_fb-data'!$D6</f>
        <v>27</v>
      </c>
      <c r="I7">
        <f>'[8]GABM_R03_Terry_no_fb_run_two-da'!$D6</f>
        <v>24</v>
      </c>
      <c r="J7">
        <f>[9]GABM_R03_MitchellAPI_no_fb_runt!$D6</f>
        <v>17</v>
      </c>
      <c r="K7">
        <f>'[10]R03_GABM_NiyoushaAPI_no_fb-data'!$D6</f>
        <v>44</v>
      </c>
      <c r="L7">
        <f t="shared" si="0"/>
        <v>30.3</v>
      </c>
    </row>
    <row r="8" spans="1:12" x14ac:dyDescent="0.35">
      <c r="A8">
        <v>5</v>
      </c>
      <c r="B8">
        <f>'[1]GABM_R03_Terry_no_fb-data'!$D7</f>
        <v>78</v>
      </c>
      <c r="C8">
        <f>'[2]GABM_R03_MitchellAPI_no_fb-data'!$D7</f>
        <v>58</v>
      </c>
      <c r="D8">
        <f>'[3]GABM_R03_NavidAPI_no_fb-data'!$D7</f>
        <v>43</v>
      </c>
      <c r="E8">
        <f>'[4]GABM_R03_RandiAPI_no_fb_runtwo-'!$D7</f>
        <v>42</v>
      </c>
      <c r="F8">
        <f>'[5]GABM_R03_SudipaAPI_no_fb-data'!$D7</f>
        <v>60</v>
      </c>
      <c r="G8">
        <f>'[6]GABM_R03_NavidAPI_no_fb_runtwo-'!$D7</f>
        <v>92</v>
      </c>
      <c r="H8">
        <f>'[7]GABM_R03_savannah_no_fb-data'!$D7</f>
        <v>52</v>
      </c>
      <c r="I8">
        <f>'[8]GABM_R03_Terry_no_fb_run_two-da'!$D7</f>
        <v>38</v>
      </c>
      <c r="J8">
        <f>[9]GABM_R03_MitchellAPI_no_fb_runt!$D7</f>
        <v>30</v>
      </c>
      <c r="K8">
        <f>'[10]R03_GABM_NiyoushaAPI_no_fb-data'!$D7</f>
        <v>83</v>
      </c>
      <c r="L8">
        <f t="shared" si="0"/>
        <v>57.6</v>
      </c>
    </row>
    <row r="9" spans="1:12" x14ac:dyDescent="0.35">
      <c r="A9">
        <v>6</v>
      </c>
      <c r="B9">
        <f>'[1]GABM_R03_Terry_no_fb-data'!$D8</f>
        <v>146</v>
      </c>
      <c r="C9">
        <f>'[2]GABM_R03_MitchellAPI_no_fb-data'!$D8</f>
        <v>121</v>
      </c>
      <c r="D9">
        <f>'[3]GABM_R03_NavidAPI_no_fb-data'!$D8</f>
        <v>73</v>
      </c>
      <c r="E9">
        <f>'[4]GABM_R03_RandiAPI_no_fb_runtwo-'!$D8</f>
        <v>84</v>
      </c>
      <c r="F9">
        <f>'[5]GABM_R03_SudipaAPI_no_fb-data'!$D8</f>
        <v>121</v>
      </c>
      <c r="G9">
        <f>'[6]GABM_R03_NavidAPI_no_fb_runtwo-'!$D8</f>
        <v>166</v>
      </c>
      <c r="H9">
        <f>'[7]GABM_R03_savannah_no_fb-data'!$D8</f>
        <v>87</v>
      </c>
      <c r="I9">
        <f>'[8]GABM_R03_Terry_no_fb_run_two-da'!$D8</f>
        <v>80</v>
      </c>
      <c r="J9">
        <f>[9]GABM_R03_MitchellAPI_no_fb_runt!$D8</f>
        <v>60</v>
      </c>
      <c r="K9">
        <f>'[10]R03_GABM_NiyoushaAPI_no_fb-data'!$D8</f>
        <v>164</v>
      </c>
      <c r="L9">
        <f t="shared" si="0"/>
        <v>110.2</v>
      </c>
    </row>
    <row r="10" spans="1:12" x14ac:dyDescent="0.35">
      <c r="A10">
        <v>7</v>
      </c>
      <c r="B10">
        <f>'[1]GABM_R03_Terry_no_fb-data'!$D9</f>
        <v>234</v>
      </c>
      <c r="C10">
        <f>'[2]GABM_R03_MitchellAPI_no_fb-data'!$D9</f>
        <v>212</v>
      </c>
      <c r="D10">
        <f>'[3]GABM_R03_NavidAPI_no_fb-data'!$D9</f>
        <v>133</v>
      </c>
      <c r="E10">
        <f>'[4]GABM_R03_RandiAPI_no_fb_runtwo-'!$D9</f>
        <v>146</v>
      </c>
      <c r="F10">
        <f>'[5]GABM_R03_SudipaAPI_no_fb-data'!$D9</f>
        <v>210</v>
      </c>
      <c r="G10">
        <f>'[6]GABM_R03_NavidAPI_no_fb_runtwo-'!$D9</f>
        <v>293</v>
      </c>
      <c r="H10">
        <f>'[7]GABM_R03_savannah_no_fb-data'!$D9</f>
        <v>160</v>
      </c>
      <c r="I10">
        <f>'[8]GABM_R03_Terry_no_fb_run_two-da'!$D9</f>
        <v>137</v>
      </c>
      <c r="J10">
        <f>[9]GABM_R03_MitchellAPI_no_fb_runt!$D9</f>
        <v>110</v>
      </c>
      <c r="K10">
        <f>'[10]R03_GABM_NiyoushaAPI_no_fb-data'!$D9</f>
        <v>289</v>
      </c>
      <c r="L10">
        <f t="shared" si="0"/>
        <v>192.4</v>
      </c>
    </row>
    <row r="11" spans="1:12" x14ac:dyDescent="0.35">
      <c r="A11">
        <v>8</v>
      </c>
      <c r="B11">
        <f>'[1]GABM_R03_Terry_no_fb-data'!$D10</f>
        <v>389</v>
      </c>
      <c r="C11">
        <f>'[2]GABM_R03_MitchellAPI_no_fb-data'!$D10</f>
        <v>372</v>
      </c>
      <c r="D11">
        <f>'[3]GABM_R03_NavidAPI_no_fb-data'!$D10</f>
        <v>231</v>
      </c>
      <c r="E11">
        <f>'[4]GABM_R03_RandiAPI_no_fb_runtwo-'!$D10</f>
        <v>265</v>
      </c>
      <c r="F11">
        <f>'[5]GABM_R03_SudipaAPI_no_fb-data'!$D10</f>
        <v>363</v>
      </c>
      <c r="G11">
        <f>'[6]GABM_R03_NavidAPI_no_fb_runtwo-'!$D10</f>
        <v>449</v>
      </c>
      <c r="H11">
        <f>'[7]GABM_R03_savannah_no_fb-data'!$D10</f>
        <v>275</v>
      </c>
      <c r="I11">
        <f>'[8]GABM_R03_Terry_no_fb_run_two-da'!$D10</f>
        <v>235</v>
      </c>
      <c r="J11">
        <f>[9]GABM_R03_MitchellAPI_no_fb_runt!$D10</f>
        <v>185</v>
      </c>
      <c r="K11">
        <f>'[10]R03_GABM_NiyoushaAPI_no_fb-data'!$D10</f>
        <v>448</v>
      </c>
      <c r="L11">
        <f t="shared" si="0"/>
        <v>321.2</v>
      </c>
    </row>
    <row r="12" spans="1:12" x14ac:dyDescent="0.35">
      <c r="A12">
        <v>9</v>
      </c>
      <c r="B12">
        <f>'[1]GABM_R03_Terry_no_fb-data'!$D11</f>
        <v>581</v>
      </c>
      <c r="C12">
        <f>'[2]GABM_R03_MitchellAPI_no_fb-data'!$D11</f>
        <v>555</v>
      </c>
      <c r="D12">
        <f>'[3]GABM_R03_NavidAPI_no_fb-data'!$D11</f>
        <v>390</v>
      </c>
      <c r="E12">
        <f>'[4]GABM_R03_RandiAPI_no_fb_runtwo-'!$D11</f>
        <v>434</v>
      </c>
      <c r="F12">
        <f>'[5]GABM_R03_SudipaAPI_no_fb-data'!$D11</f>
        <v>531</v>
      </c>
      <c r="G12">
        <f>'[6]GABM_R03_NavidAPI_no_fb_runtwo-'!$D11</f>
        <v>615</v>
      </c>
      <c r="H12">
        <f>'[7]GABM_R03_savannah_no_fb-data'!$D11</f>
        <v>443</v>
      </c>
      <c r="I12">
        <f>'[8]GABM_R03_Terry_no_fb_run_two-da'!$D11</f>
        <v>384</v>
      </c>
      <c r="J12">
        <f>[9]GABM_R03_MitchellAPI_no_fb_runt!$D11</f>
        <v>318</v>
      </c>
      <c r="K12">
        <f>'[10]R03_GABM_NiyoushaAPI_no_fb-data'!$D11</f>
        <v>643</v>
      </c>
      <c r="L12">
        <f t="shared" si="0"/>
        <v>489.4</v>
      </c>
    </row>
    <row r="13" spans="1:12" x14ac:dyDescent="0.35">
      <c r="A13">
        <v>10</v>
      </c>
      <c r="B13">
        <f>'[1]GABM_R03_Terry_no_fb-data'!$D12</f>
        <v>739</v>
      </c>
      <c r="C13">
        <f>'[2]GABM_R03_MitchellAPI_no_fb-data'!$D12</f>
        <v>732</v>
      </c>
      <c r="D13">
        <f>'[3]GABM_R03_NavidAPI_no_fb-data'!$D12</f>
        <v>565</v>
      </c>
      <c r="E13">
        <f>'[4]GABM_R03_RandiAPI_no_fb_runtwo-'!$D12</f>
        <v>599</v>
      </c>
      <c r="F13">
        <f>'[5]GABM_R03_SudipaAPI_no_fb-data'!$D12</f>
        <v>702</v>
      </c>
      <c r="G13">
        <f>'[6]GABM_R03_NavidAPI_no_fb_runtwo-'!$D12</f>
        <v>757</v>
      </c>
      <c r="H13">
        <f>'[7]GABM_R03_savannah_no_fb-data'!$D12</f>
        <v>625</v>
      </c>
      <c r="I13">
        <f>'[8]GABM_R03_Terry_no_fb_run_two-da'!$D12</f>
        <v>556</v>
      </c>
      <c r="J13">
        <f>[9]GABM_R03_MitchellAPI_no_fb_runt!$D12</f>
        <v>489</v>
      </c>
      <c r="K13">
        <f>'[10]R03_GABM_NiyoushaAPI_no_fb-data'!$D12</f>
        <v>793</v>
      </c>
      <c r="L13">
        <f t="shared" si="0"/>
        <v>655.7</v>
      </c>
    </row>
    <row r="14" spans="1:12" x14ac:dyDescent="0.35">
      <c r="A14">
        <v>11</v>
      </c>
      <c r="B14">
        <f>'[1]GABM_R03_Terry_no_fb-data'!$D13</f>
        <v>814</v>
      </c>
      <c r="C14">
        <f>'[2]GABM_R03_MitchellAPI_no_fb-data'!$D13</f>
        <v>829</v>
      </c>
      <c r="D14">
        <f>'[3]GABM_R03_NavidAPI_no_fb-data'!$D13</f>
        <v>716</v>
      </c>
      <c r="E14">
        <f>'[4]GABM_R03_RandiAPI_no_fb_runtwo-'!$D13</f>
        <v>748</v>
      </c>
      <c r="F14">
        <f>'[5]GABM_R03_SudipaAPI_no_fb-data'!$D13</f>
        <v>815</v>
      </c>
      <c r="G14">
        <f>'[6]GABM_R03_NavidAPI_no_fb_runtwo-'!$D13</f>
        <v>825</v>
      </c>
      <c r="H14">
        <f>'[7]GABM_R03_savannah_no_fb-data'!$D13</f>
        <v>757</v>
      </c>
      <c r="I14">
        <f>'[8]GABM_R03_Terry_no_fb_run_two-da'!$D13</f>
        <v>720</v>
      </c>
      <c r="J14">
        <f>[9]GABM_R03_MitchellAPI_no_fb_runt!$D13</f>
        <v>670</v>
      </c>
      <c r="K14">
        <f>'[10]R03_GABM_NiyoushaAPI_no_fb-data'!$D13</f>
        <v>856</v>
      </c>
      <c r="L14">
        <f t="shared" si="0"/>
        <v>775</v>
      </c>
    </row>
    <row r="15" spans="1:12" x14ac:dyDescent="0.35">
      <c r="A15">
        <v>12</v>
      </c>
      <c r="B15">
        <f>'[1]GABM_R03_Terry_no_fb-data'!$D14</f>
        <v>805</v>
      </c>
      <c r="C15">
        <f>'[2]GABM_R03_MitchellAPI_no_fb-data'!$D14</f>
        <v>833</v>
      </c>
      <c r="D15">
        <f>'[3]GABM_R03_NavidAPI_no_fb-data'!$D14</f>
        <v>804</v>
      </c>
      <c r="E15">
        <f>'[4]GABM_R03_RandiAPI_no_fb_runtwo-'!$D14</f>
        <v>801</v>
      </c>
      <c r="F15">
        <f>'[5]GABM_R03_SudipaAPI_no_fb-data'!$D14</f>
        <v>824</v>
      </c>
      <c r="G15">
        <f>'[6]GABM_R03_NavidAPI_no_fb_runtwo-'!$D14</f>
        <v>802</v>
      </c>
      <c r="H15">
        <f>'[7]GABM_R03_savannah_no_fb-data'!$D14</f>
        <v>821</v>
      </c>
      <c r="I15">
        <f>'[8]GABM_R03_Terry_no_fb_run_two-da'!$D14</f>
        <v>810</v>
      </c>
      <c r="J15">
        <f>[9]GABM_R03_MitchellAPI_no_fb_runt!$D14</f>
        <v>784</v>
      </c>
      <c r="K15">
        <f>'[10]R03_GABM_NiyoushaAPI_no_fb-data'!$D14</f>
        <v>813</v>
      </c>
      <c r="L15">
        <f t="shared" si="0"/>
        <v>809.7</v>
      </c>
    </row>
    <row r="16" spans="1:12" x14ac:dyDescent="0.35">
      <c r="A16">
        <v>13</v>
      </c>
      <c r="B16">
        <f>'[1]GABM_R03_Terry_no_fb-data'!$D15</f>
        <v>741</v>
      </c>
      <c r="C16">
        <f>'[2]GABM_R03_MitchellAPI_no_fb-data'!$D15</f>
        <v>764</v>
      </c>
      <c r="D16">
        <f>'[3]GABM_R03_NavidAPI_no_fb-data'!$D15</f>
        <v>811</v>
      </c>
      <c r="E16">
        <f>'[4]GABM_R03_RandiAPI_no_fb_runtwo-'!$D15</f>
        <v>812</v>
      </c>
      <c r="F16">
        <f>'[5]GABM_R03_SudipaAPI_no_fb-data'!$D15</f>
        <v>760</v>
      </c>
      <c r="G16">
        <f>'[6]GABM_R03_NavidAPI_no_fb_runtwo-'!$D15</f>
        <v>688</v>
      </c>
      <c r="H16">
        <f>'[7]GABM_R03_savannah_no_fb-data'!$D15</f>
        <v>790</v>
      </c>
      <c r="I16">
        <f>'[8]GABM_R03_Terry_no_fb_run_two-da'!$D15</f>
        <v>802</v>
      </c>
      <c r="J16">
        <f>[9]GABM_R03_MitchellAPI_no_fb_runt!$D15</f>
        <v>826</v>
      </c>
      <c r="K16">
        <f>'[10]R03_GABM_NiyoushaAPI_no_fb-data'!$D15</f>
        <v>699</v>
      </c>
      <c r="L16">
        <f t="shared" si="0"/>
        <v>769.3</v>
      </c>
    </row>
    <row r="17" spans="1:12" x14ac:dyDescent="0.35">
      <c r="A17">
        <v>14</v>
      </c>
      <c r="B17">
        <f>'[1]GABM_R03_Terry_no_fb-data'!$D16</f>
        <v>595</v>
      </c>
      <c r="C17">
        <f>'[2]GABM_R03_MitchellAPI_no_fb-data'!$D16</f>
        <v>611</v>
      </c>
      <c r="D17">
        <f>'[3]GABM_R03_NavidAPI_no_fb-data'!$D16</f>
        <v>742</v>
      </c>
      <c r="E17">
        <f>'[4]GABM_R03_RandiAPI_no_fb_runtwo-'!$D16</f>
        <v>706</v>
      </c>
      <c r="F17">
        <f>'[5]GABM_R03_SudipaAPI_no_fb-data'!$D16</f>
        <v>617</v>
      </c>
      <c r="G17">
        <f>'[6]GABM_R03_NavidAPI_no_fb_runtwo-'!$D16</f>
        <v>531</v>
      </c>
      <c r="H17">
        <f>'[7]GABM_R03_savannah_no_fb-data'!$D16</f>
        <v>702</v>
      </c>
      <c r="I17">
        <f>'[8]GABM_R03_Terry_no_fb_run_two-da'!$D16</f>
        <v>740</v>
      </c>
      <c r="J17">
        <f>[9]GABM_R03_MitchellAPI_no_fb_runt!$D16</f>
        <v>788</v>
      </c>
      <c r="K17">
        <f>'[10]R03_GABM_NiyoushaAPI_no_fb-data'!$D16</f>
        <v>536</v>
      </c>
      <c r="L17">
        <f t="shared" si="0"/>
        <v>656.8</v>
      </c>
    </row>
    <row r="18" spans="1:12" x14ac:dyDescent="0.35">
      <c r="A18">
        <v>15</v>
      </c>
      <c r="B18">
        <f>'[1]GABM_R03_Terry_no_fb-data'!$D17</f>
        <v>400</v>
      </c>
      <c r="C18">
        <f>'[2]GABM_R03_MitchellAPI_no_fb-data'!$D17</f>
        <v>425</v>
      </c>
      <c r="D18">
        <f>'[3]GABM_R03_NavidAPI_no_fb-data'!$D17</f>
        <v>585</v>
      </c>
      <c r="E18">
        <f>'[4]GABM_R03_RandiAPI_no_fb_runtwo-'!$D17</f>
        <v>542</v>
      </c>
      <c r="F18">
        <f>'[5]GABM_R03_SudipaAPI_no_fb-data'!$D17</f>
        <v>446</v>
      </c>
      <c r="G18">
        <f>'[6]GABM_R03_NavidAPI_no_fb_runtwo-'!$D17</f>
        <v>355</v>
      </c>
      <c r="H18">
        <f>'[7]GABM_R03_savannah_no_fb-data'!$D17</f>
        <v>535</v>
      </c>
      <c r="I18">
        <f>'[8]GABM_R03_Terry_no_fb_run_two-da'!$D17</f>
        <v>594</v>
      </c>
      <c r="J18">
        <f>[9]GABM_R03_MitchellAPI_no_fb_runt!$D17</f>
        <v>665</v>
      </c>
      <c r="K18">
        <f>'[10]R03_GABM_NiyoushaAPI_no_fb-data'!$D17</f>
        <v>335</v>
      </c>
      <c r="L18">
        <f t="shared" si="0"/>
        <v>488.2</v>
      </c>
    </row>
    <row r="19" spans="1:12" x14ac:dyDescent="0.35">
      <c r="A19">
        <v>16</v>
      </c>
      <c r="B19">
        <f>'[1]GABM_R03_Terry_no_fb-data'!$D18</f>
        <v>218</v>
      </c>
      <c r="C19">
        <f>'[2]GABM_R03_MitchellAPI_no_fb-data'!$D18</f>
        <v>240</v>
      </c>
      <c r="D19">
        <f>'[3]GABM_R03_NavidAPI_no_fb-data'!$D18</f>
        <v>408</v>
      </c>
      <c r="E19">
        <f>'[4]GABM_R03_RandiAPI_no_fb_runtwo-'!$D18</f>
        <v>367</v>
      </c>
      <c r="F19">
        <f>'[5]GABM_R03_SudipaAPI_no_fb-data'!$D18</f>
        <v>262</v>
      </c>
      <c r="G19">
        <f>'[6]GABM_R03_NavidAPI_no_fb_runtwo-'!$D18</f>
        <v>193</v>
      </c>
      <c r="H19">
        <f>'[7]GABM_R03_savannah_no_fb-data'!$D18</f>
        <v>342</v>
      </c>
      <c r="I19">
        <f>'[8]GABM_R03_Terry_no_fb_run_two-da'!$D18</f>
        <v>411</v>
      </c>
      <c r="J19">
        <f>[9]GABM_R03_MitchellAPI_no_fb_runt!$D18</f>
        <v>490</v>
      </c>
      <c r="K19">
        <f>'[10]R03_GABM_NiyoushaAPI_no_fb-data'!$D18</f>
        <v>161</v>
      </c>
      <c r="L19">
        <f t="shared" si="0"/>
        <v>309.2</v>
      </c>
    </row>
    <row r="20" spans="1:12" x14ac:dyDescent="0.35">
      <c r="A20">
        <v>17</v>
      </c>
      <c r="B20">
        <f>'[1]GABM_R03_Terry_no_fb-data'!$D19</f>
        <v>105</v>
      </c>
      <c r="C20">
        <f>'[2]GABM_R03_MitchellAPI_no_fb-data'!$D19</f>
        <v>109</v>
      </c>
      <c r="D20">
        <f>'[3]GABM_R03_NavidAPI_no_fb-data'!$D19</f>
        <v>237</v>
      </c>
      <c r="E20">
        <f>'[4]GABM_R03_RandiAPI_no_fb_runtwo-'!$D19</f>
        <v>203</v>
      </c>
      <c r="F20">
        <f>'[5]GABM_R03_SudipaAPI_no_fb-data'!$D19</f>
        <v>123</v>
      </c>
      <c r="G20">
        <f>'[6]GABM_R03_NavidAPI_no_fb_runtwo-'!$D19</f>
        <v>81</v>
      </c>
      <c r="H20">
        <f>'[7]GABM_R03_savannah_no_fb-data'!$D19</f>
        <v>189</v>
      </c>
      <c r="I20">
        <f>'[8]GABM_R03_Terry_no_fb_run_two-da'!$D19</f>
        <v>238</v>
      </c>
      <c r="J20">
        <f>[9]GABM_R03_MitchellAPI_no_fb_runt!$D19</f>
        <v>298</v>
      </c>
      <c r="K20">
        <f>'[10]R03_GABM_NiyoushaAPI_no_fb-data'!$D19</f>
        <v>59</v>
      </c>
      <c r="L20">
        <f t="shared" si="0"/>
        <v>164.2</v>
      </c>
    </row>
    <row r="21" spans="1:12" x14ac:dyDescent="0.35">
      <c r="A21">
        <v>18</v>
      </c>
      <c r="B21">
        <f>'[1]GABM_R03_Terry_no_fb-data'!$D20</f>
        <v>44</v>
      </c>
      <c r="C21">
        <f>'[2]GABM_R03_MitchellAPI_no_fb-data'!$D20</f>
        <v>41</v>
      </c>
      <c r="D21">
        <f>'[3]GABM_R03_NavidAPI_no_fb-data'!$D20</f>
        <v>117</v>
      </c>
      <c r="E21">
        <f>'[4]GABM_R03_RandiAPI_no_fb_runtwo-'!$D20</f>
        <v>106</v>
      </c>
      <c r="F21">
        <f>'[5]GABM_R03_SudipaAPI_no_fb-data'!$D20</f>
        <v>51</v>
      </c>
      <c r="G21">
        <f>'[6]GABM_R03_NavidAPI_no_fb_runtwo-'!$D20</f>
        <v>28</v>
      </c>
      <c r="H21">
        <f>'[7]GABM_R03_savannah_no_fb-data'!$D20</f>
        <v>88</v>
      </c>
      <c r="I21">
        <f>'[8]GABM_R03_Terry_no_fb_run_two-da'!$D20</f>
        <v>104</v>
      </c>
      <c r="J21">
        <f>[9]GABM_R03_MitchellAPI_no_fb_runt!$D20</f>
        <v>154</v>
      </c>
      <c r="K21">
        <f>'[10]R03_GABM_NiyoushaAPI_no_fb-data'!$D20</f>
        <v>19</v>
      </c>
      <c r="L21">
        <f t="shared" si="0"/>
        <v>75.2</v>
      </c>
    </row>
    <row r="22" spans="1:12" x14ac:dyDescent="0.35">
      <c r="A22">
        <v>19</v>
      </c>
      <c r="B22">
        <f>'[1]GABM_R03_Terry_no_fb-data'!$D21</f>
        <v>16</v>
      </c>
      <c r="C22">
        <f>'[2]GABM_R03_MitchellAPI_no_fb-data'!$D21</f>
        <v>17</v>
      </c>
      <c r="D22">
        <f>'[3]GABM_R03_NavidAPI_no_fb-data'!$D21</f>
        <v>50</v>
      </c>
      <c r="E22">
        <f>'[4]GABM_R03_RandiAPI_no_fb_runtwo-'!$D21</f>
        <v>33</v>
      </c>
      <c r="F22">
        <f>'[5]GABM_R03_SudipaAPI_no_fb-data'!$D21</f>
        <v>24</v>
      </c>
      <c r="G22">
        <f>'[6]GABM_R03_NavidAPI_no_fb_runtwo-'!$D21</f>
        <v>10</v>
      </c>
      <c r="H22">
        <f>'[7]GABM_R03_savannah_no_fb-data'!$D21</f>
        <v>47</v>
      </c>
      <c r="I22">
        <f>'[8]GABM_R03_Terry_no_fb_run_two-da'!$D21</f>
        <v>54</v>
      </c>
      <c r="J22">
        <f>[9]GABM_R03_MitchellAPI_no_fb_runt!$D21</f>
        <v>61</v>
      </c>
      <c r="K22">
        <f>'[10]R03_GABM_NiyoushaAPI_no_fb-data'!$D21</f>
        <v>5</v>
      </c>
      <c r="L22">
        <f t="shared" si="0"/>
        <v>31.7</v>
      </c>
    </row>
    <row r="23" spans="1:12" x14ac:dyDescent="0.35">
      <c r="A23">
        <v>20</v>
      </c>
      <c r="B23">
        <f>'[1]GABM_R03_Terry_no_fb-data'!$D22</f>
        <v>4</v>
      </c>
      <c r="C23">
        <f>'[2]GABM_R03_MitchellAPI_no_fb-data'!$D22</f>
        <v>6</v>
      </c>
      <c r="D23">
        <f>'[3]GABM_R03_NavidAPI_no_fb-data'!$D22</f>
        <v>18</v>
      </c>
      <c r="E23">
        <f>'[4]GABM_R03_RandiAPI_no_fb_runtwo-'!$D22</f>
        <v>16</v>
      </c>
      <c r="F23">
        <f>'[5]GABM_R03_SudipaAPI_no_fb-data'!$D22</f>
        <v>12</v>
      </c>
      <c r="G23">
        <f>'[6]GABM_R03_NavidAPI_no_fb_runtwo-'!$D22</f>
        <v>5</v>
      </c>
      <c r="H23">
        <f>'[7]GABM_R03_savannah_no_fb-data'!$D22</f>
        <v>16</v>
      </c>
      <c r="I23">
        <f>'[8]GABM_R03_Terry_no_fb_run_two-da'!$D22</f>
        <v>16</v>
      </c>
      <c r="J23">
        <f>[9]GABM_R03_MitchellAPI_no_fb_runt!$D22</f>
        <v>23</v>
      </c>
      <c r="K23">
        <f>'[10]R03_GABM_NiyoushaAPI_no_fb-data'!$D22</f>
        <v>2</v>
      </c>
      <c r="L23">
        <f t="shared" si="0"/>
        <v>11.8</v>
      </c>
    </row>
    <row r="24" spans="1:12" x14ac:dyDescent="0.35">
      <c r="A24">
        <v>21</v>
      </c>
      <c r="B24">
        <f>'[1]GABM_R03_Terry_no_fb-data'!$D23</f>
        <v>1</v>
      </c>
      <c r="C24">
        <f>'[2]GABM_R03_MitchellAPI_no_fb-data'!$D23</f>
        <v>2</v>
      </c>
      <c r="D24">
        <f>'[3]GABM_R03_NavidAPI_no_fb-data'!$D23</f>
        <v>11</v>
      </c>
      <c r="E24">
        <f>'[4]GABM_R03_RandiAPI_no_fb_runtwo-'!$D23</f>
        <v>4</v>
      </c>
      <c r="F24">
        <f>'[5]GABM_R03_SudipaAPI_no_fb-data'!$D23</f>
        <v>7</v>
      </c>
      <c r="G24">
        <f>'[6]GABM_R03_NavidAPI_no_fb_runtwo-'!$D23</f>
        <v>3</v>
      </c>
      <c r="H24">
        <f>'[7]GABM_R03_savannah_no_fb-data'!$D23</f>
        <v>7</v>
      </c>
      <c r="I24">
        <f>'[8]GABM_R03_Terry_no_fb_run_two-da'!$D23</f>
        <v>7</v>
      </c>
      <c r="J24">
        <f>[9]GABM_R03_MitchellAPI_no_fb_runt!$D23</f>
        <v>7</v>
      </c>
      <c r="K24">
        <f>'[10]R03_GABM_NiyoushaAPI_no_fb-data'!$D23</f>
        <v>1</v>
      </c>
      <c r="L24">
        <f t="shared" si="0"/>
        <v>5</v>
      </c>
    </row>
    <row r="25" spans="1:12" x14ac:dyDescent="0.35">
      <c r="A25">
        <v>22</v>
      </c>
      <c r="B25">
        <f>'[1]GABM_R03_Terry_no_fb-data'!$D24</f>
        <v>0</v>
      </c>
      <c r="C25">
        <f>'[2]GABM_R03_MitchellAPI_no_fb-data'!$D24</f>
        <v>1</v>
      </c>
      <c r="D25">
        <f>'[3]GABM_R03_NavidAPI_no_fb-data'!$D24</f>
        <v>4</v>
      </c>
      <c r="E25">
        <f>'[4]GABM_R03_RandiAPI_no_fb_runtwo-'!$D24</f>
        <v>1</v>
      </c>
      <c r="F25">
        <f>'[5]GABM_R03_SudipaAPI_no_fb-data'!$D24</f>
        <v>2</v>
      </c>
      <c r="G25">
        <f>'[6]GABM_R03_NavidAPI_no_fb_runtwo-'!$D24</f>
        <v>1</v>
      </c>
      <c r="H25">
        <f>'[7]GABM_R03_savannah_no_fb-data'!$D24</f>
        <v>5</v>
      </c>
      <c r="I25">
        <f>'[8]GABM_R03_Terry_no_fb_run_two-da'!$D24</f>
        <v>6</v>
      </c>
      <c r="J25">
        <f>[9]GABM_R03_MitchellAPI_no_fb_runt!$D24</f>
        <v>4</v>
      </c>
      <c r="K25">
        <f>'[10]R03_GABM_NiyoushaAPI_no_fb-data'!$D24</f>
        <v>0</v>
      </c>
      <c r="L25">
        <f t="shared" si="0"/>
        <v>2.4</v>
      </c>
    </row>
    <row r="26" spans="1:12" x14ac:dyDescent="0.35">
      <c r="A26">
        <v>23</v>
      </c>
      <c r="B26">
        <v>0</v>
      </c>
      <c r="C26">
        <f>'[2]GABM_R03_MitchellAPI_no_fb-data'!$D25</f>
        <v>1</v>
      </c>
      <c r="D26">
        <f>'[3]GABM_R03_NavidAPI_no_fb-data'!$D25</f>
        <v>2</v>
      </c>
      <c r="E26">
        <f>'[4]GABM_R03_RandiAPI_no_fb_runtwo-'!$D25</f>
        <v>0</v>
      </c>
      <c r="F26">
        <f>'[5]GABM_R03_SudipaAPI_no_fb-data'!$D25</f>
        <v>1</v>
      </c>
      <c r="G26">
        <f>'[6]GABM_R03_NavidAPI_no_fb_runtwo-'!$D25</f>
        <v>0</v>
      </c>
      <c r="H26">
        <f>'[7]GABM_R03_savannah_no_fb-data'!$D25</f>
        <v>1</v>
      </c>
      <c r="I26">
        <f>'[8]GABM_R03_Terry_no_fb_run_two-da'!$D25</f>
        <v>1</v>
      </c>
      <c r="J26">
        <f>[9]GABM_R03_MitchellAPI_no_fb_runt!$D25</f>
        <v>2</v>
      </c>
      <c r="K26">
        <v>0</v>
      </c>
      <c r="L26">
        <f t="shared" si="0"/>
        <v>0.8</v>
      </c>
    </row>
    <row r="27" spans="1:12" x14ac:dyDescent="0.35">
      <c r="A27">
        <v>24</v>
      </c>
      <c r="B27">
        <v>0</v>
      </c>
      <c r="C27">
        <f>'[2]GABM_R03_MitchellAPI_no_fb-data'!$D26</f>
        <v>0</v>
      </c>
      <c r="D27">
        <f>'[3]GABM_R03_NavidAPI_no_fb-data'!$D26</f>
        <v>2</v>
      </c>
      <c r="E27">
        <v>0</v>
      </c>
      <c r="F27">
        <f>'[5]GABM_R03_SudipaAPI_no_fb-data'!$D26</f>
        <v>1</v>
      </c>
      <c r="G27">
        <v>0</v>
      </c>
      <c r="H27">
        <f>'[7]GABM_R03_savannah_no_fb-data'!$D26</f>
        <v>1</v>
      </c>
      <c r="I27">
        <f>'[8]GABM_R03_Terry_no_fb_run_two-da'!$D26</f>
        <v>1</v>
      </c>
      <c r="J27">
        <f>[9]GABM_R03_MitchellAPI_no_fb_runt!$D26</f>
        <v>0</v>
      </c>
      <c r="K27">
        <v>0</v>
      </c>
      <c r="L27">
        <f t="shared" si="0"/>
        <v>0.5</v>
      </c>
    </row>
    <row r="28" spans="1:12" x14ac:dyDescent="0.35">
      <c r="A28">
        <v>25</v>
      </c>
      <c r="B28">
        <v>0</v>
      </c>
      <c r="C28">
        <v>0</v>
      </c>
      <c r="D28">
        <f>'[3]GABM_R03_NavidAPI_no_fb-data'!$D27</f>
        <v>0</v>
      </c>
      <c r="E28">
        <v>0</v>
      </c>
      <c r="F28">
        <f>'[5]GABM_R03_SudipaAPI_no_fb-data'!$D27</f>
        <v>1</v>
      </c>
      <c r="G28">
        <v>0</v>
      </c>
      <c r="H28">
        <f>'[7]GABM_R03_savannah_no_fb-data'!$D27</f>
        <v>0</v>
      </c>
      <c r="I28">
        <f>'[8]GABM_R03_Terry_no_fb_run_two-da'!$D27</f>
        <v>0</v>
      </c>
      <c r="J28">
        <v>0</v>
      </c>
      <c r="K28">
        <v>0</v>
      </c>
      <c r="L28">
        <f t="shared" si="0"/>
        <v>0.1</v>
      </c>
    </row>
    <row r="29" spans="1:12" x14ac:dyDescent="0.35">
      <c r="A29">
        <v>26</v>
      </c>
      <c r="B29">
        <v>0</v>
      </c>
      <c r="C29">
        <v>0</v>
      </c>
      <c r="D29">
        <v>0</v>
      </c>
      <c r="E29">
        <v>0</v>
      </c>
      <c r="F29">
        <f>'[5]GABM_R03_SudipaAPI_no_fb-data'!$D28</f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f t="shared" si="0"/>
        <v>0</v>
      </c>
    </row>
  </sheetData>
  <mergeCells count="1">
    <mergeCell ref="A1:L1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772B9-B79E-436E-86C3-FB557610AD30}">
  <dimension ref="A1:L37"/>
  <sheetViews>
    <sheetView topLeftCell="A16" workbookViewId="0">
      <selection activeCell="AH30" sqref="AH30"/>
    </sheetView>
  </sheetViews>
  <sheetFormatPr defaultRowHeight="14.5" x14ac:dyDescent="0.35"/>
  <sheetData>
    <row r="1" spans="1:12" x14ac:dyDescent="0.35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5">
      <c r="A2" t="s">
        <v>10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12</v>
      </c>
    </row>
    <row r="3" spans="1:12" x14ac:dyDescent="0.35">
      <c r="A3">
        <v>0</v>
      </c>
      <c r="B3">
        <f>'[11]GABM_R03_NavidAPI_sf_fb-data'!$D2</f>
        <v>2</v>
      </c>
      <c r="C3">
        <f>'[12]GABM_R03_savannah_sf_fb-data'!$D2</f>
        <v>2</v>
      </c>
      <c r="D3">
        <f>'[13]GABM_R03_MitchellAPI_sf_fb-data'!$D2</f>
        <v>2</v>
      </c>
      <c r="E3">
        <f>'[14]GABM_R03_RandiAPI_sf_fb-data'!$D2</f>
        <v>2</v>
      </c>
      <c r="F3">
        <f>'[15]GABM_R03_Terry_sf_fb-data'!$D2</f>
        <v>2</v>
      </c>
      <c r="G3">
        <f>'[16]R03_GABM_NiyoushaAPI_sf_fb-data'!$D2</f>
        <v>2</v>
      </c>
      <c r="H3">
        <f>'[17]GABM_R03_SudipaAPI_sf_fb-data'!$D2</f>
        <v>2</v>
      </c>
      <c r="I3">
        <f>'[18]GABM_R03_Terry_sf_fb_2-data'!$D2</f>
        <v>2</v>
      </c>
      <c r="J3">
        <f>'[19]GABM_R03_NavidAPI_sf_fb_2-data'!$D2</f>
        <v>2</v>
      </c>
      <c r="K3">
        <f>'[20]R03_GABM_NiyoushaAPI_sf_fb_2-da'!$D2</f>
        <v>2</v>
      </c>
      <c r="L3">
        <f>AVERAGE(B3:K3)</f>
        <v>2</v>
      </c>
    </row>
    <row r="4" spans="1:12" x14ac:dyDescent="0.35">
      <c r="A4">
        <v>1</v>
      </c>
      <c r="B4">
        <f>'[11]GABM_R03_NavidAPI_sf_fb-data'!$D3</f>
        <v>6</v>
      </c>
      <c r="C4">
        <f>'[12]GABM_R03_savannah_sf_fb-data'!$D3</f>
        <v>4</v>
      </c>
      <c r="D4">
        <f>'[13]GABM_R03_MitchellAPI_sf_fb-data'!$D3</f>
        <v>4</v>
      </c>
      <c r="E4">
        <f>'[14]GABM_R03_RandiAPI_sf_fb-data'!$D3</f>
        <v>2</v>
      </c>
      <c r="F4">
        <f>'[15]GABM_R03_Terry_sf_fb-data'!$D3</f>
        <v>5</v>
      </c>
      <c r="G4">
        <f>'[16]R03_GABM_NiyoushaAPI_sf_fb-data'!$D3</f>
        <v>4</v>
      </c>
      <c r="H4">
        <f>'[17]GABM_R03_SudipaAPI_sf_fb-data'!$D3</f>
        <v>3</v>
      </c>
      <c r="I4">
        <f>'[18]GABM_R03_Terry_sf_fb_2-data'!$D3</f>
        <v>6</v>
      </c>
      <c r="J4">
        <f>'[19]GABM_R03_NavidAPI_sf_fb_2-data'!$D3</f>
        <v>4</v>
      </c>
      <c r="K4">
        <f>'[20]R03_GABM_NiyoushaAPI_sf_fb_2-da'!$D3</f>
        <v>2</v>
      </c>
      <c r="L4">
        <f t="shared" ref="L4:L37" si="0">AVERAGE(B4:K4)</f>
        <v>4</v>
      </c>
    </row>
    <row r="5" spans="1:12" x14ac:dyDescent="0.35">
      <c r="A5">
        <v>2</v>
      </c>
      <c r="B5">
        <f>'[11]GABM_R03_NavidAPI_sf_fb-data'!$D4</f>
        <v>10</v>
      </c>
      <c r="C5">
        <f>'[12]GABM_R03_savannah_sf_fb-data'!$D4</f>
        <v>12</v>
      </c>
      <c r="D5">
        <f>'[13]GABM_R03_MitchellAPI_sf_fb-data'!$D4</f>
        <v>7</v>
      </c>
      <c r="E5">
        <f>'[14]GABM_R03_RandiAPI_sf_fb-data'!$D4</f>
        <v>2</v>
      </c>
      <c r="F5">
        <f>'[15]GABM_R03_Terry_sf_fb-data'!$D4</f>
        <v>11</v>
      </c>
      <c r="G5">
        <f>'[16]R03_GABM_NiyoushaAPI_sf_fb-data'!$D4</f>
        <v>9</v>
      </c>
      <c r="H5">
        <f>'[17]GABM_R03_SudipaAPI_sf_fb-data'!$D4</f>
        <v>6</v>
      </c>
      <c r="I5">
        <f>'[18]GABM_R03_Terry_sf_fb_2-data'!$D4</f>
        <v>11</v>
      </c>
      <c r="J5">
        <f>'[19]GABM_R03_NavidAPI_sf_fb_2-data'!$D4</f>
        <v>11</v>
      </c>
      <c r="K5">
        <f>'[20]R03_GABM_NiyoushaAPI_sf_fb_2-da'!$D4</f>
        <v>6</v>
      </c>
      <c r="L5">
        <f t="shared" si="0"/>
        <v>8.5</v>
      </c>
    </row>
    <row r="6" spans="1:12" x14ac:dyDescent="0.35">
      <c r="A6">
        <v>3</v>
      </c>
      <c r="B6">
        <f>'[11]GABM_R03_NavidAPI_sf_fb-data'!$D5</f>
        <v>21</v>
      </c>
      <c r="C6">
        <f>'[12]GABM_R03_savannah_sf_fb-data'!$D5</f>
        <v>17</v>
      </c>
      <c r="D6">
        <f>'[13]GABM_R03_MitchellAPI_sf_fb-data'!$D5</f>
        <v>11</v>
      </c>
      <c r="E6">
        <f>'[14]GABM_R03_RandiAPI_sf_fb-data'!$D5</f>
        <v>2</v>
      </c>
      <c r="F6">
        <f>'[15]GABM_R03_Terry_sf_fb-data'!$D5</f>
        <v>18</v>
      </c>
      <c r="G6">
        <f>'[16]R03_GABM_NiyoushaAPI_sf_fb-data'!$D5</f>
        <v>20</v>
      </c>
      <c r="H6">
        <f>'[17]GABM_R03_SudipaAPI_sf_fb-data'!$D5</f>
        <v>13</v>
      </c>
      <c r="I6">
        <f>'[18]GABM_R03_Terry_sf_fb_2-data'!$D5</f>
        <v>22</v>
      </c>
      <c r="J6">
        <f>'[19]GABM_R03_NavidAPI_sf_fb_2-data'!$D5</f>
        <v>17</v>
      </c>
      <c r="K6">
        <f>'[20]R03_GABM_NiyoushaAPI_sf_fb_2-da'!$D5</f>
        <v>9</v>
      </c>
      <c r="L6">
        <f t="shared" si="0"/>
        <v>15</v>
      </c>
    </row>
    <row r="7" spans="1:12" x14ac:dyDescent="0.35">
      <c r="A7">
        <v>4</v>
      </c>
      <c r="B7">
        <f>'[11]GABM_R03_NavidAPI_sf_fb-data'!$D6</f>
        <v>37</v>
      </c>
      <c r="C7">
        <f>'[12]GABM_R03_savannah_sf_fb-data'!$D6</f>
        <v>26</v>
      </c>
      <c r="D7">
        <f>'[13]GABM_R03_MitchellAPI_sf_fb-data'!$D6</f>
        <v>19</v>
      </c>
      <c r="E7">
        <f>'[14]GABM_R03_RandiAPI_sf_fb-data'!$D6</f>
        <v>2</v>
      </c>
      <c r="F7">
        <f>'[15]GABM_R03_Terry_sf_fb-data'!$D6</f>
        <v>25</v>
      </c>
      <c r="G7">
        <f>'[16]R03_GABM_NiyoushaAPI_sf_fb-data'!$D6</f>
        <v>30</v>
      </c>
      <c r="H7">
        <f>'[17]GABM_R03_SudipaAPI_sf_fb-data'!$D6</f>
        <v>20</v>
      </c>
      <c r="I7">
        <f>'[18]GABM_R03_Terry_sf_fb_2-data'!$D6</f>
        <v>38</v>
      </c>
      <c r="J7">
        <f>'[19]GABM_R03_NavidAPI_sf_fb_2-data'!$D6</f>
        <v>27</v>
      </c>
      <c r="K7">
        <f>'[20]R03_GABM_NiyoushaAPI_sf_fb_2-da'!$D6</f>
        <v>14</v>
      </c>
      <c r="L7">
        <f t="shared" si="0"/>
        <v>23.8</v>
      </c>
    </row>
    <row r="8" spans="1:12" x14ac:dyDescent="0.35">
      <c r="A8">
        <v>5</v>
      </c>
      <c r="B8">
        <f>'[11]GABM_R03_NavidAPI_sf_fb-data'!$D7</f>
        <v>66</v>
      </c>
      <c r="C8">
        <f>'[12]GABM_R03_savannah_sf_fb-data'!$D7</f>
        <v>40</v>
      </c>
      <c r="D8">
        <f>'[13]GABM_R03_MitchellAPI_sf_fb-data'!$D7</f>
        <v>30</v>
      </c>
      <c r="E8">
        <f>'[14]GABM_R03_RandiAPI_sf_fb-data'!$D7</f>
        <v>2</v>
      </c>
      <c r="F8">
        <f>'[15]GABM_R03_Terry_sf_fb-data'!$D7</f>
        <v>41</v>
      </c>
      <c r="G8">
        <f>'[16]R03_GABM_NiyoushaAPI_sf_fb-data'!$D7</f>
        <v>47</v>
      </c>
      <c r="H8">
        <f>'[17]GABM_R03_SudipaAPI_sf_fb-data'!$D7</f>
        <v>34</v>
      </c>
      <c r="I8">
        <f>'[18]GABM_R03_Terry_sf_fb_2-data'!$D7</f>
        <v>63</v>
      </c>
      <c r="J8">
        <f>'[19]GABM_R03_NavidAPI_sf_fb_2-data'!$D7</f>
        <v>41</v>
      </c>
      <c r="K8">
        <f>'[20]R03_GABM_NiyoushaAPI_sf_fb_2-da'!$D7</f>
        <v>22</v>
      </c>
      <c r="L8">
        <f t="shared" si="0"/>
        <v>38.6</v>
      </c>
    </row>
    <row r="9" spans="1:12" x14ac:dyDescent="0.35">
      <c r="A9">
        <v>6</v>
      </c>
      <c r="B9">
        <f>'[11]GABM_R03_NavidAPI_sf_fb-data'!$D8</f>
        <v>101</v>
      </c>
      <c r="C9">
        <f>'[12]GABM_R03_savannah_sf_fb-data'!$D8</f>
        <v>53</v>
      </c>
      <c r="D9">
        <f>'[13]GABM_R03_MitchellAPI_sf_fb-data'!$D8</f>
        <v>47</v>
      </c>
      <c r="E9">
        <f>'[14]GABM_R03_RandiAPI_sf_fb-data'!$D8</f>
        <v>0</v>
      </c>
      <c r="F9">
        <f>'[15]GABM_R03_Terry_sf_fb-data'!$D8</f>
        <v>64</v>
      </c>
      <c r="G9">
        <f>'[16]R03_GABM_NiyoushaAPI_sf_fb-data'!$D8</f>
        <v>71</v>
      </c>
      <c r="H9">
        <f>'[17]GABM_R03_SudipaAPI_sf_fb-data'!$D8</f>
        <v>56</v>
      </c>
      <c r="I9">
        <f>'[18]GABM_R03_Terry_sf_fb_2-data'!$D8</f>
        <v>102</v>
      </c>
      <c r="J9">
        <f>'[19]GABM_R03_NavidAPI_sf_fb_2-data'!$D8</f>
        <v>55</v>
      </c>
      <c r="K9">
        <f>'[20]R03_GABM_NiyoushaAPI_sf_fb_2-da'!$D8</f>
        <v>32</v>
      </c>
      <c r="L9">
        <f t="shared" si="0"/>
        <v>58.1</v>
      </c>
    </row>
    <row r="10" spans="1:12" x14ac:dyDescent="0.35">
      <c r="A10">
        <v>7</v>
      </c>
      <c r="B10">
        <f>'[11]GABM_R03_NavidAPI_sf_fb-data'!$D9</f>
        <v>154</v>
      </c>
      <c r="C10">
        <f>'[12]GABM_R03_savannah_sf_fb-data'!$D9</f>
        <v>79</v>
      </c>
      <c r="D10">
        <f>'[13]GABM_R03_MitchellAPI_sf_fb-data'!$D9</f>
        <v>64</v>
      </c>
      <c r="E10">
        <f>'[14]GABM_R03_RandiAPI_sf_fb-data'!$D9</f>
        <v>0</v>
      </c>
      <c r="F10">
        <f>'[15]GABM_R03_Terry_sf_fb-data'!$D9</f>
        <v>101</v>
      </c>
      <c r="G10">
        <f>'[16]R03_GABM_NiyoushaAPI_sf_fb-data'!$D9</f>
        <v>118</v>
      </c>
      <c r="H10">
        <f>'[17]GABM_R03_SudipaAPI_sf_fb-data'!$D9</f>
        <v>93</v>
      </c>
      <c r="I10">
        <f>'[18]GABM_R03_Terry_sf_fb_2-data'!$D9</f>
        <v>159</v>
      </c>
      <c r="J10">
        <f>'[19]GABM_R03_NavidAPI_sf_fb_2-data'!$D9</f>
        <v>84</v>
      </c>
      <c r="K10">
        <f>'[20]R03_GABM_NiyoushaAPI_sf_fb_2-da'!$D9</f>
        <v>45</v>
      </c>
      <c r="L10">
        <f t="shared" si="0"/>
        <v>89.7</v>
      </c>
    </row>
    <row r="11" spans="1:12" x14ac:dyDescent="0.35">
      <c r="A11">
        <v>8</v>
      </c>
      <c r="B11">
        <f>'[11]GABM_R03_NavidAPI_sf_fb-data'!$D10</f>
        <v>212</v>
      </c>
      <c r="C11">
        <f>'[12]GABM_R03_savannah_sf_fb-data'!$D10</f>
        <v>107</v>
      </c>
      <c r="D11">
        <f>'[13]GABM_R03_MitchellAPI_sf_fb-data'!$D10</f>
        <v>94</v>
      </c>
      <c r="E11">
        <f>'[14]GABM_R03_RandiAPI_sf_fb-data'!$D10</f>
        <v>0</v>
      </c>
      <c r="F11">
        <f>'[15]GABM_R03_Terry_sf_fb-data'!$D10</f>
        <v>155</v>
      </c>
      <c r="G11">
        <f>'[16]R03_GABM_NiyoushaAPI_sf_fb-data'!$D10</f>
        <v>169</v>
      </c>
      <c r="H11">
        <f>'[17]GABM_R03_SudipaAPI_sf_fb-data'!$D10</f>
        <v>136</v>
      </c>
      <c r="I11">
        <f>'[18]GABM_R03_Terry_sf_fb_2-data'!$D10</f>
        <v>231</v>
      </c>
      <c r="J11">
        <f>'[19]GABM_R03_NavidAPI_sf_fb_2-data'!$D10</f>
        <v>109</v>
      </c>
      <c r="K11">
        <f>'[20]R03_GABM_NiyoushaAPI_sf_fb_2-da'!$D10</f>
        <v>66</v>
      </c>
      <c r="L11">
        <f t="shared" si="0"/>
        <v>127.9</v>
      </c>
    </row>
    <row r="12" spans="1:12" x14ac:dyDescent="0.35">
      <c r="A12">
        <v>9</v>
      </c>
      <c r="B12">
        <f>'[11]GABM_R03_NavidAPI_sf_fb-data'!$D11</f>
        <v>273</v>
      </c>
      <c r="C12">
        <f>'[12]GABM_R03_savannah_sf_fb-data'!$D11</f>
        <v>152</v>
      </c>
      <c r="D12">
        <f>'[13]GABM_R03_MitchellAPI_sf_fb-data'!$D11</f>
        <v>132</v>
      </c>
      <c r="E12">
        <f>'[14]GABM_R03_RandiAPI_sf_fb-data'!$D11</f>
        <v>0</v>
      </c>
      <c r="F12">
        <f>'[15]GABM_R03_Terry_sf_fb-data'!$D11</f>
        <v>219</v>
      </c>
      <c r="G12">
        <f>'[16]R03_GABM_NiyoushaAPI_sf_fb-data'!$D11</f>
        <v>241</v>
      </c>
      <c r="H12">
        <f>'[17]GABM_R03_SudipaAPI_sf_fb-data'!$D11</f>
        <v>200</v>
      </c>
      <c r="I12">
        <f>'[18]GABM_R03_Terry_sf_fb_2-data'!$D11</f>
        <v>315</v>
      </c>
      <c r="J12">
        <f>'[19]GABM_R03_NavidAPI_sf_fb_2-data'!$D11</f>
        <v>157</v>
      </c>
      <c r="K12">
        <f>'[20]R03_GABM_NiyoushaAPI_sf_fb_2-da'!$D11</f>
        <v>97</v>
      </c>
      <c r="L12">
        <f t="shared" si="0"/>
        <v>178.6</v>
      </c>
    </row>
    <row r="13" spans="1:12" x14ac:dyDescent="0.35">
      <c r="A13">
        <v>10</v>
      </c>
      <c r="B13">
        <f>'[11]GABM_R03_NavidAPI_sf_fb-data'!$D12</f>
        <v>344</v>
      </c>
      <c r="C13">
        <f>'[12]GABM_R03_savannah_sf_fb-data'!$D12</f>
        <v>208</v>
      </c>
      <c r="D13">
        <f>'[13]GABM_R03_MitchellAPI_sf_fb-data'!$D12</f>
        <v>183</v>
      </c>
      <c r="E13">
        <f>'[14]GABM_R03_RandiAPI_sf_fb-data'!$D12</f>
        <v>0</v>
      </c>
      <c r="F13">
        <f>'[15]GABM_R03_Terry_sf_fb-data'!$D12</f>
        <v>316</v>
      </c>
      <c r="G13">
        <f>'[16]R03_GABM_NiyoushaAPI_sf_fb-data'!$D12</f>
        <v>316</v>
      </c>
      <c r="H13">
        <f>'[17]GABM_R03_SudipaAPI_sf_fb-data'!$D12</f>
        <v>269</v>
      </c>
      <c r="I13">
        <f>'[18]GABM_R03_Terry_sf_fb_2-data'!$D12</f>
        <v>392</v>
      </c>
      <c r="J13">
        <f>'[19]GABM_R03_NavidAPI_sf_fb_2-data'!$D12</f>
        <v>214</v>
      </c>
      <c r="K13">
        <f>'[20]R03_GABM_NiyoushaAPI_sf_fb_2-da'!$D12</f>
        <v>131</v>
      </c>
      <c r="L13">
        <f t="shared" si="0"/>
        <v>237.3</v>
      </c>
    </row>
    <row r="14" spans="1:12" x14ac:dyDescent="0.35">
      <c r="A14">
        <v>11</v>
      </c>
      <c r="B14">
        <f>'[11]GABM_R03_NavidAPI_sf_fb-data'!$D13</f>
        <v>397</v>
      </c>
      <c r="C14">
        <f>'[12]GABM_R03_savannah_sf_fb-data'!$D13</f>
        <v>269</v>
      </c>
      <c r="D14">
        <f>'[13]GABM_R03_MitchellAPI_sf_fb-data'!$D13</f>
        <v>231</v>
      </c>
      <c r="E14">
        <f>'[14]GABM_R03_RandiAPI_sf_fb-data'!$D13</f>
        <v>0</v>
      </c>
      <c r="F14">
        <f>'[15]GABM_R03_Terry_sf_fb-data'!$D13</f>
        <v>399</v>
      </c>
      <c r="G14">
        <f>'[16]R03_GABM_NiyoushaAPI_sf_fb-data'!$D13</f>
        <v>413</v>
      </c>
      <c r="H14">
        <f>'[17]GABM_R03_SudipaAPI_sf_fb-data'!$D13</f>
        <v>348</v>
      </c>
      <c r="I14">
        <f>'[18]GABM_R03_Terry_sf_fb_2-data'!$D13</f>
        <v>466</v>
      </c>
      <c r="J14">
        <f>'[19]GABM_R03_NavidAPI_sf_fb_2-data'!$D13</f>
        <v>278</v>
      </c>
      <c r="K14">
        <f>'[20]R03_GABM_NiyoushaAPI_sf_fb_2-da'!$D13</f>
        <v>182</v>
      </c>
      <c r="L14">
        <f t="shared" si="0"/>
        <v>298.3</v>
      </c>
    </row>
    <row r="15" spans="1:12" x14ac:dyDescent="0.35">
      <c r="A15">
        <v>12</v>
      </c>
      <c r="B15">
        <f>'[11]GABM_R03_NavidAPI_sf_fb-data'!$D14</f>
        <v>449</v>
      </c>
      <c r="C15">
        <f>'[12]GABM_R03_savannah_sf_fb-data'!$D14</f>
        <v>343</v>
      </c>
      <c r="D15">
        <f>'[13]GABM_R03_MitchellAPI_sf_fb-data'!$D14</f>
        <v>296</v>
      </c>
      <c r="E15">
        <f>'[14]GABM_R03_RandiAPI_sf_fb-data'!$D14</f>
        <v>0</v>
      </c>
      <c r="F15">
        <f>'[15]GABM_R03_Terry_sf_fb-data'!$D14</f>
        <v>466</v>
      </c>
      <c r="G15">
        <f>'[16]R03_GABM_NiyoushaAPI_sf_fb-data'!$D14</f>
        <v>498</v>
      </c>
      <c r="H15">
        <f>'[17]GABM_R03_SudipaAPI_sf_fb-data'!$D14</f>
        <v>411</v>
      </c>
      <c r="I15">
        <f>'[18]GABM_R03_Terry_sf_fb_2-data'!$D14</f>
        <v>513</v>
      </c>
      <c r="J15">
        <f>'[19]GABM_R03_NavidAPI_sf_fb_2-data'!$D14</f>
        <v>356</v>
      </c>
      <c r="K15">
        <f>'[20]R03_GABM_NiyoushaAPI_sf_fb_2-da'!$D14</f>
        <v>253</v>
      </c>
      <c r="L15">
        <f t="shared" si="0"/>
        <v>358.5</v>
      </c>
    </row>
    <row r="16" spans="1:12" x14ac:dyDescent="0.35">
      <c r="A16">
        <v>13</v>
      </c>
      <c r="B16">
        <f>'[11]GABM_R03_NavidAPI_sf_fb-data'!$D15</f>
        <v>466</v>
      </c>
      <c r="C16">
        <f>'[12]GABM_R03_savannah_sf_fb-data'!$D15</f>
        <v>410</v>
      </c>
      <c r="D16">
        <f>'[13]GABM_R03_MitchellAPI_sf_fb-data'!$D15</f>
        <v>363</v>
      </c>
      <c r="E16">
        <f>'[14]GABM_R03_RandiAPI_sf_fb-data'!$D15</f>
        <v>0</v>
      </c>
      <c r="F16">
        <f>'[15]GABM_R03_Terry_sf_fb-data'!$D15</f>
        <v>505</v>
      </c>
      <c r="G16">
        <f>'[16]R03_GABM_NiyoushaAPI_sf_fb-data'!$D15</f>
        <v>532</v>
      </c>
      <c r="H16">
        <f>'[17]GABM_R03_SudipaAPI_sf_fb-data'!$D15</f>
        <v>463</v>
      </c>
      <c r="I16">
        <f>'[18]GABM_R03_Terry_sf_fb_2-data'!$D15</f>
        <v>521</v>
      </c>
      <c r="J16">
        <f>'[19]GABM_R03_NavidAPI_sf_fb_2-data'!$D15</f>
        <v>399</v>
      </c>
      <c r="K16">
        <f>'[20]R03_GABM_NiyoushaAPI_sf_fb_2-da'!$D15</f>
        <v>342</v>
      </c>
      <c r="L16">
        <f t="shared" si="0"/>
        <v>400.1</v>
      </c>
    </row>
    <row r="17" spans="1:12" x14ac:dyDescent="0.35">
      <c r="A17">
        <v>14</v>
      </c>
      <c r="B17">
        <f>'[11]GABM_R03_NavidAPI_sf_fb-data'!$D16</f>
        <v>456</v>
      </c>
      <c r="C17">
        <f>'[12]GABM_R03_savannah_sf_fb-data'!$D16</f>
        <v>455</v>
      </c>
      <c r="D17">
        <f>'[13]GABM_R03_MitchellAPI_sf_fb-data'!$D16</f>
        <v>417</v>
      </c>
      <c r="E17">
        <f>'[14]GABM_R03_RandiAPI_sf_fb-data'!$D16</f>
        <v>0</v>
      </c>
      <c r="F17">
        <f>'[15]GABM_R03_Terry_sf_fb-data'!$D16</f>
        <v>490</v>
      </c>
      <c r="G17">
        <f>'[16]R03_GABM_NiyoushaAPI_sf_fb-data'!$D16</f>
        <v>543</v>
      </c>
      <c r="H17">
        <f>'[17]GABM_R03_SudipaAPI_sf_fb-data'!$D16</f>
        <v>488</v>
      </c>
      <c r="I17">
        <f>'[18]GABM_R03_Terry_sf_fb_2-data'!$D16</f>
        <v>496</v>
      </c>
      <c r="J17">
        <f>'[19]GABM_R03_NavidAPI_sf_fb_2-data'!$D16</f>
        <v>448</v>
      </c>
      <c r="K17">
        <f>'[20]R03_GABM_NiyoushaAPI_sf_fb_2-da'!$D16</f>
        <v>415</v>
      </c>
      <c r="L17">
        <f t="shared" si="0"/>
        <v>420.8</v>
      </c>
    </row>
    <row r="18" spans="1:12" x14ac:dyDescent="0.35">
      <c r="A18">
        <v>15</v>
      </c>
      <c r="B18">
        <f>'[11]GABM_R03_NavidAPI_sf_fb-data'!$D17</f>
        <v>427</v>
      </c>
      <c r="C18">
        <f>'[12]GABM_R03_savannah_sf_fb-data'!$D17</f>
        <v>472</v>
      </c>
      <c r="D18">
        <f>'[13]GABM_R03_MitchellAPI_sf_fb-data'!$D17</f>
        <v>451</v>
      </c>
      <c r="E18">
        <f>'[14]GABM_R03_RandiAPI_sf_fb-data'!$D17</f>
        <v>0</v>
      </c>
      <c r="F18">
        <f>'[15]GABM_R03_Terry_sf_fb-data'!$D17</f>
        <v>458</v>
      </c>
      <c r="G18">
        <f>'[16]R03_GABM_NiyoushaAPI_sf_fb-data'!$D17</f>
        <v>500</v>
      </c>
      <c r="H18">
        <f>'[17]GABM_R03_SudipaAPI_sf_fb-data'!$D17</f>
        <v>473</v>
      </c>
      <c r="I18">
        <f>'[18]GABM_R03_Terry_sf_fb_2-data'!$D17</f>
        <v>428</v>
      </c>
      <c r="J18">
        <f>'[19]GABM_R03_NavidAPI_sf_fb_2-data'!$D17</f>
        <v>455</v>
      </c>
      <c r="K18">
        <f>'[20]R03_GABM_NiyoushaAPI_sf_fb_2-da'!$D17</f>
        <v>469</v>
      </c>
      <c r="L18">
        <f t="shared" si="0"/>
        <v>413.3</v>
      </c>
    </row>
    <row r="19" spans="1:12" x14ac:dyDescent="0.35">
      <c r="A19">
        <v>16</v>
      </c>
      <c r="B19">
        <f>'[11]GABM_R03_NavidAPI_sf_fb-data'!$D18</f>
        <v>362</v>
      </c>
      <c r="C19">
        <f>'[12]GABM_R03_savannah_sf_fb-data'!$D18</f>
        <v>460</v>
      </c>
      <c r="D19">
        <f>'[13]GABM_R03_MitchellAPI_sf_fb-data'!$D18</f>
        <v>450</v>
      </c>
      <c r="E19">
        <f>'[14]GABM_R03_RandiAPI_sf_fb-data'!$D18</f>
        <v>0</v>
      </c>
      <c r="F19">
        <f>'[15]GABM_R03_Terry_sf_fb-data'!$D18</f>
        <v>373</v>
      </c>
      <c r="G19">
        <f>'[16]R03_GABM_NiyoushaAPI_sf_fb-data'!$D18</f>
        <v>438</v>
      </c>
      <c r="H19">
        <f>'[17]GABM_R03_SudipaAPI_sf_fb-data'!$D18</f>
        <v>434</v>
      </c>
      <c r="I19">
        <f>'[18]GABM_R03_Terry_sf_fb_2-data'!$D18</f>
        <v>343</v>
      </c>
      <c r="J19">
        <f>'[19]GABM_R03_NavidAPI_sf_fb_2-data'!$D18</f>
        <v>438</v>
      </c>
      <c r="K19">
        <f>'[20]R03_GABM_NiyoushaAPI_sf_fb_2-da'!$D18</f>
        <v>500</v>
      </c>
      <c r="L19">
        <f t="shared" si="0"/>
        <v>379.8</v>
      </c>
    </row>
    <row r="20" spans="1:12" x14ac:dyDescent="0.35">
      <c r="A20">
        <v>17</v>
      </c>
      <c r="B20">
        <f>'[11]GABM_R03_NavidAPI_sf_fb-data'!$D19</f>
        <v>298</v>
      </c>
      <c r="C20">
        <f>'[12]GABM_R03_savannah_sf_fb-data'!$D19</f>
        <v>419</v>
      </c>
      <c r="D20">
        <f>'[13]GABM_R03_MitchellAPI_sf_fb-data'!$D19</f>
        <v>434</v>
      </c>
      <c r="E20">
        <f>'[14]GABM_R03_RandiAPI_sf_fb-data'!$D19</f>
        <v>0</v>
      </c>
      <c r="F20">
        <f>'[15]GABM_R03_Terry_sf_fb-data'!$D19</f>
        <v>289</v>
      </c>
      <c r="G20">
        <f>'[16]R03_GABM_NiyoushaAPI_sf_fb-data'!$D19</f>
        <v>341</v>
      </c>
      <c r="H20">
        <f>'[17]GABM_R03_SudipaAPI_sf_fb-data'!$D19</f>
        <v>358</v>
      </c>
      <c r="I20">
        <f>'[18]GABM_R03_Terry_sf_fb_2-data'!$D19</f>
        <v>252</v>
      </c>
      <c r="J20">
        <f>'[19]GABM_R03_NavidAPI_sf_fb_2-data'!$D19</f>
        <v>397</v>
      </c>
      <c r="K20">
        <f>'[20]R03_GABM_NiyoushaAPI_sf_fb_2-da'!$D19</f>
        <v>490</v>
      </c>
      <c r="L20">
        <f t="shared" si="0"/>
        <v>327.8</v>
      </c>
    </row>
    <row r="21" spans="1:12" x14ac:dyDescent="0.35">
      <c r="A21">
        <v>18</v>
      </c>
      <c r="B21">
        <f>'[11]GABM_R03_NavidAPI_sf_fb-data'!$D20</f>
        <v>216</v>
      </c>
      <c r="C21">
        <f>'[12]GABM_R03_savannah_sf_fb-data'!$D20</f>
        <v>354</v>
      </c>
      <c r="D21">
        <f>'[13]GABM_R03_MitchellAPI_sf_fb-data'!$D20</f>
        <v>378</v>
      </c>
      <c r="E21">
        <f>'[14]GABM_R03_RandiAPI_sf_fb-data'!$D20</f>
        <v>0</v>
      </c>
      <c r="F21">
        <f>'[15]GABM_R03_Terry_sf_fb-data'!$D20</f>
        <v>211</v>
      </c>
      <c r="G21">
        <f>'[16]R03_GABM_NiyoushaAPI_sf_fb-data'!$D20</f>
        <v>237</v>
      </c>
      <c r="H21">
        <f>'[17]GABM_R03_SudipaAPI_sf_fb-data'!$D20</f>
        <v>281</v>
      </c>
      <c r="I21">
        <f>'[18]GABM_R03_Terry_sf_fb_2-data'!$D20</f>
        <v>166</v>
      </c>
      <c r="J21">
        <f>'[19]GABM_R03_NavidAPI_sf_fb_2-data'!$D20</f>
        <v>326</v>
      </c>
      <c r="K21">
        <f>'[20]R03_GABM_NiyoushaAPI_sf_fb_2-da'!$D20</f>
        <v>439</v>
      </c>
      <c r="L21">
        <f t="shared" si="0"/>
        <v>260.8</v>
      </c>
    </row>
    <row r="22" spans="1:12" x14ac:dyDescent="0.35">
      <c r="A22">
        <v>19</v>
      </c>
      <c r="B22">
        <f>'[11]GABM_R03_NavidAPI_sf_fb-data'!$D21</f>
        <v>148</v>
      </c>
      <c r="C22">
        <f>'[12]GABM_R03_savannah_sf_fb-data'!$D21</f>
        <v>274</v>
      </c>
      <c r="D22">
        <f>'[13]GABM_R03_MitchellAPI_sf_fb-data'!$D21</f>
        <v>311</v>
      </c>
      <c r="E22">
        <f>'[14]GABM_R03_RandiAPI_sf_fb-data'!$D21</f>
        <v>0</v>
      </c>
      <c r="F22">
        <f>'[15]GABM_R03_Terry_sf_fb-data'!$D21</f>
        <v>138</v>
      </c>
      <c r="G22">
        <f>'[16]R03_GABM_NiyoushaAPI_sf_fb-data'!$D21</f>
        <v>156</v>
      </c>
      <c r="H22">
        <f>'[17]GABM_R03_SudipaAPI_sf_fb-data'!$D21</f>
        <v>203</v>
      </c>
      <c r="I22">
        <f>'[18]GABM_R03_Terry_sf_fb_2-data'!$D21</f>
        <v>101</v>
      </c>
      <c r="J22">
        <f>'[19]GABM_R03_NavidAPI_sf_fb_2-data'!$D21</f>
        <v>266</v>
      </c>
      <c r="K22">
        <f>'[20]R03_GABM_NiyoushaAPI_sf_fb_2-da'!$D21</f>
        <v>350</v>
      </c>
      <c r="L22">
        <f t="shared" si="0"/>
        <v>194.7</v>
      </c>
    </row>
    <row r="23" spans="1:12" x14ac:dyDescent="0.35">
      <c r="A23">
        <v>20</v>
      </c>
      <c r="B23">
        <f>'[11]GABM_R03_NavidAPI_sf_fb-data'!$D22</f>
        <v>100</v>
      </c>
      <c r="C23">
        <f>'[12]GABM_R03_savannah_sf_fb-data'!$D22</f>
        <v>198</v>
      </c>
      <c r="D23">
        <f>'[13]GABM_R03_MitchellAPI_sf_fb-data'!$D22</f>
        <v>234</v>
      </c>
      <c r="E23">
        <f>'[14]GABM_R03_RandiAPI_sf_fb-data'!$D22</f>
        <v>0</v>
      </c>
      <c r="F23">
        <f>'[15]GABM_R03_Terry_sf_fb-data'!$D22</f>
        <v>99</v>
      </c>
      <c r="G23">
        <f>'[16]R03_GABM_NiyoushaAPI_sf_fb-data'!$D22</f>
        <v>91</v>
      </c>
      <c r="H23">
        <f>'[17]GABM_R03_SudipaAPI_sf_fb-data'!$D22</f>
        <v>136</v>
      </c>
      <c r="I23">
        <f>'[18]GABM_R03_Terry_sf_fb_2-data'!$D22</f>
        <v>50</v>
      </c>
      <c r="J23">
        <f>'[19]GABM_R03_NavidAPI_sf_fb_2-data'!$D22</f>
        <v>190</v>
      </c>
      <c r="K23">
        <f>'[20]R03_GABM_NiyoushaAPI_sf_fb_2-da'!$D22</f>
        <v>263</v>
      </c>
      <c r="L23">
        <f t="shared" si="0"/>
        <v>136.1</v>
      </c>
    </row>
    <row r="24" spans="1:12" x14ac:dyDescent="0.35">
      <c r="A24">
        <v>21</v>
      </c>
      <c r="B24">
        <f>'[11]GABM_R03_NavidAPI_sf_fb-data'!$D23</f>
        <v>58</v>
      </c>
      <c r="C24">
        <f>'[12]GABM_R03_savannah_sf_fb-data'!$D23</f>
        <v>135</v>
      </c>
      <c r="D24">
        <f>'[13]GABM_R03_MitchellAPI_sf_fb-data'!$D23</f>
        <v>169</v>
      </c>
      <c r="E24">
        <f>'[14]GABM_R03_RandiAPI_sf_fb-data'!$D23</f>
        <v>0</v>
      </c>
      <c r="F24">
        <f>'[15]GABM_R03_Terry_sf_fb-data'!$D23</f>
        <v>63</v>
      </c>
      <c r="G24">
        <f>'[16]R03_GABM_NiyoushaAPI_sf_fb-data'!$D23</f>
        <v>51</v>
      </c>
      <c r="H24">
        <f>'[17]GABM_R03_SudipaAPI_sf_fb-data'!$D23</f>
        <v>83</v>
      </c>
      <c r="I24">
        <f>'[18]GABM_R03_Terry_sf_fb_2-data'!$D23</f>
        <v>24</v>
      </c>
      <c r="J24">
        <f>'[19]GABM_R03_NavidAPI_sf_fb_2-data'!$D23</f>
        <v>131</v>
      </c>
      <c r="K24">
        <f>'[20]R03_GABM_NiyoushaAPI_sf_fb_2-da'!$D23</f>
        <v>181</v>
      </c>
      <c r="L24">
        <f t="shared" si="0"/>
        <v>89.5</v>
      </c>
    </row>
    <row r="25" spans="1:12" x14ac:dyDescent="0.35">
      <c r="A25">
        <v>22</v>
      </c>
      <c r="B25">
        <f>'[11]GABM_R03_NavidAPI_sf_fb-data'!$D24</f>
        <v>36</v>
      </c>
      <c r="C25">
        <f>'[12]GABM_R03_savannah_sf_fb-data'!$D24</f>
        <v>86</v>
      </c>
      <c r="D25">
        <f>'[13]GABM_R03_MitchellAPI_sf_fb-data'!$D24</f>
        <v>115</v>
      </c>
      <c r="E25">
        <f>'[14]GABM_R03_RandiAPI_sf_fb-data'!$D24</f>
        <v>0</v>
      </c>
      <c r="F25">
        <f>'[15]GABM_R03_Terry_sf_fb-data'!$D24</f>
        <v>46</v>
      </c>
      <c r="G25">
        <f>'[16]R03_GABM_NiyoushaAPI_sf_fb-data'!$D24</f>
        <v>28</v>
      </c>
      <c r="H25">
        <f>'[17]GABM_R03_SudipaAPI_sf_fb-data'!$D24</f>
        <v>49</v>
      </c>
      <c r="I25">
        <f>'[18]GABM_R03_Terry_sf_fb_2-data'!$D24</f>
        <v>17</v>
      </c>
      <c r="J25">
        <f>'[19]GABM_R03_NavidAPI_sf_fb_2-data'!$D24</f>
        <v>82</v>
      </c>
      <c r="K25">
        <f>'[20]R03_GABM_NiyoushaAPI_sf_fb_2-da'!$D24</f>
        <v>117</v>
      </c>
      <c r="L25">
        <f t="shared" si="0"/>
        <v>57.6</v>
      </c>
    </row>
    <row r="26" spans="1:12" x14ac:dyDescent="0.35">
      <c r="A26">
        <v>23</v>
      </c>
      <c r="B26">
        <f>'[11]GABM_R03_NavidAPI_sf_fb-data'!$D25</f>
        <v>19</v>
      </c>
      <c r="C26">
        <f>'[12]GABM_R03_savannah_sf_fb-data'!$D25</f>
        <v>53</v>
      </c>
      <c r="D26">
        <f>'[13]GABM_R03_MitchellAPI_sf_fb-data'!$D25</f>
        <v>75</v>
      </c>
      <c r="E26">
        <f>'[14]GABM_R03_RandiAPI_sf_fb-data'!$D25</f>
        <v>0</v>
      </c>
      <c r="F26">
        <f>'[15]GABM_R03_Terry_sf_fb-data'!$D25</f>
        <v>32</v>
      </c>
      <c r="G26">
        <f>'[16]R03_GABM_NiyoushaAPI_sf_fb-data'!$D25</f>
        <v>11</v>
      </c>
      <c r="H26">
        <f>'[17]GABM_R03_SudipaAPI_sf_fb-data'!$D25</f>
        <v>34</v>
      </c>
      <c r="I26">
        <f>'[18]GABM_R03_Terry_sf_fb_2-data'!$D25</f>
        <v>10</v>
      </c>
      <c r="J26">
        <f>'[19]GABM_R03_NavidAPI_sf_fb_2-data'!$D25</f>
        <v>45</v>
      </c>
      <c r="K26">
        <f>'[20]R03_GABM_NiyoushaAPI_sf_fb_2-da'!$D25</f>
        <v>71</v>
      </c>
      <c r="L26">
        <f t="shared" si="0"/>
        <v>35</v>
      </c>
    </row>
    <row r="27" spans="1:12" x14ac:dyDescent="0.35">
      <c r="A27">
        <v>24</v>
      </c>
      <c r="B27">
        <f>'[11]GABM_R03_NavidAPI_sf_fb-data'!$D26</f>
        <v>13</v>
      </c>
      <c r="C27">
        <f>'[12]GABM_R03_savannah_sf_fb-data'!$D26</f>
        <v>29</v>
      </c>
      <c r="D27">
        <f>'[13]GABM_R03_MitchellAPI_sf_fb-data'!$D26</f>
        <v>49</v>
      </c>
      <c r="E27">
        <f>'[14]GABM_R03_RandiAPI_sf_fb-data'!$D26</f>
        <v>0</v>
      </c>
      <c r="F27">
        <f>'[15]GABM_R03_Terry_sf_fb-data'!$D26</f>
        <v>19</v>
      </c>
      <c r="G27">
        <f>'[16]R03_GABM_NiyoushaAPI_sf_fb-data'!$D26</f>
        <v>4</v>
      </c>
      <c r="H27">
        <f>'[17]GABM_R03_SudipaAPI_sf_fb-data'!$D26</f>
        <v>25</v>
      </c>
      <c r="I27">
        <f>'[18]GABM_R03_Terry_sf_fb_2-data'!$D26</f>
        <v>9</v>
      </c>
      <c r="J27">
        <f>'[19]GABM_R03_NavidAPI_sf_fb_2-data'!$D26</f>
        <v>22</v>
      </c>
      <c r="K27">
        <f>'[20]R03_GABM_NiyoushaAPI_sf_fb_2-da'!$D26</f>
        <v>41</v>
      </c>
      <c r="L27">
        <f t="shared" si="0"/>
        <v>21.1</v>
      </c>
    </row>
    <row r="28" spans="1:12" x14ac:dyDescent="0.35">
      <c r="A28">
        <v>25</v>
      </c>
      <c r="B28">
        <f>'[11]GABM_R03_NavidAPI_sf_fb-data'!$D27</f>
        <v>9</v>
      </c>
      <c r="C28">
        <f>'[12]GABM_R03_savannah_sf_fb-data'!$D27</f>
        <v>14</v>
      </c>
      <c r="D28">
        <f>'[13]GABM_R03_MitchellAPI_sf_fb-data'!$D27</f>
        <v>31</v>
      </c>
      <c r="E28">
        <f>'[14]GABM_R03_RandiAPI_sf_fb-data'!$D27</f>
        <v>0</v>
      </c>
      <c r="F28">
        <f>'[15]GABM_R03_Terry_sf_fb-data'!$D27</f>
        <v>13</v>
      </c>
      <c r="G28">
        <f>'[16]R03_GABM_NiyoushaAPI_sf_fb-data'!$D27</f>
        <v>2</v>
      </c>
      <c r="H28">
        <f>'[17]GABM_R03_SudipaAPI_sf_fb-data'!$D27</f>
        <v>14</v>
      </c>
      <c r="I28">
        <f>'[18]GABM_R03_Terry_sf_fb_2-data'!$D27</f>
        <v>5</v>
      </c>
      <c r="J28">
        <f>'[19]GABM_R03_NavidAPI_sf_fb_2-data'!$D27</f>
        <v>8</v>
      </c>
      <c r="K28">
        <f>'[20]R03_GABM_NiyoushaAPI_sf_fb_2-da'!$D27</f>
        <v>29</v>
      </c>
      <c r="L28">
        <f t="shared" si="0"/>
        <v>12.5</v>
      </c>
    </row>
    <row r="29" spans="1:12" x14ac:dyDescent="0.35">
      <c r="A29">
        <v>26</v>
      </c>
      <c r="B29">
        <f>'[11]GABM_R03_NavidAPI_sf_fb-data'!$D28</f>
        <v>5</v>
      </c>
      <c r="C29">
        <f>'[12]GABM_R03_savannah_sf_fb-data'!$D28</f>
        <v>9</v>
      </c>
      <c r="D29">
        <f>'[13]GABM_R03_MitchellAPI_sf_fb-data'!$D28</f>
        <v>21</v>
      </c>
      <c r="E29">
        <f>'[14]GABM_R03_RandiAPI_sf_fb-data'!$D28</f>
        <v>0</v>
      </c>
      <c r="F29">
        <f>'[15]GABM_R03_Terry_sf_fb-data'!$D28</f>
        <v>7</v>
      </c>
      <c r="G29">
        <f>'[16]R03_GABM_NiyoushaAPI_sf_fb-data'!$D28</f>
        <v>0</v>
      </c>
      <c r="H29">
        <f>'[17]GABM_R03_SudipaAPI_sf_fb-data'!$D28</f>
        <v>10</v>
      </c>
      <c r="I29">
        <f>'[18]GABM_R03_Terry_sf_fb_2-data'!$D28</f>
        <v>5</v>
      </c>
      <c r="J29">
        <f>'[19]GABM_R03_NavidAPI_sf_fb_2-data'!$D28</f>
        <v>3</v>
      </c>
      <c r="K29">
        <f>'[20]R03_GABM_NiyoushaAPI_sf_fb_2-da'!$D28</f>
        <v>19</v>
      </c>
      <c r="L29">
        <f t="shared" si="0"/>
        <v>7.9</v>
      </c>
    </row>
    <row r="30" spans="1:12" x14ac:dyDescent="0.35">
      <c r="A30">
        <v>27</v>
      </c>
      <c r="B30">
        <f>'[11]GABM_R03_NavidAPI_sf_fb-data'!$D29</f>
        <v>4</v>
      </c>
      <c r="C30">
        <f>'[12]GABM_R03_savannah_sf_fb-data'!$D29</f>
        <v>5</v>
      </c>
      <c r="D30">
        <f>'[13]GABM_R03_MitchellAPI_sf_fb-data'!$D29</f>
        <v>10</v>
      </c>
      <c r="E30">
        <f>'[14]GABM_R03_RandiAPI_sf_fb-data'!$D29</f>
        <v>0</v>
      </c>
      <c r="F30">
        <f>'[15]GABM_R03_Terry_sf_fb-data'!$D29</f>
        <v>4</v>
      </c>
      <c r="G30">
        <f>'[16]R03_GABM_NiyoushaAPI_sf_fb-data'!$D29</f>
        <v>0</v>
      </c>
      <c r="H30">
        <f>'[17]GABM_R03_SudipaAPI_sf_fb-data'!$D29</f>
        <v>8</v>
      </c>
      <c r="I30">
        <f>'[18]GABM_R03_Terry_sf_fb_2-data'!$D29</f>
        <v>4</v>
      </c>
      <c r="J30">
        <f>'[19]GABM_R03_NavidAPI_sf_fb_2-data'!$D29</f>
        <v>1</v>
      </c>
      <c r="K30">
        <f>'[20]R03_GABM_NiyoushaAPI_sf_fb_2-da'!$D29</f>
        <v>13</v>
      </c>
      <c r="L30">
        <f t="shared" si="0"/>
        <v>4.9000000000000004</v>
      </c>
    </row>
    <row r="31" spans="1:12" x14ac:dyDescent="0.35">
      <c r="A31">
        <v>28</v>
      </c>
      <c r="B31">
        <f>'[11]GABM_R03_NavidAPI_sf_fb-data'!$D30</f>
        <v>4</v>
      </c>
      <c r="C31">
        <f>'[12]GABM_R03_savannah_sf_fb-data'!$D30</f>
        <v>1</v>
      </c>
      <c r="D31">
        <f>'[13]GABM_R03_MitchellAPI_sf_fb-data'!$D30</f>
        <v>6</v>
      </c>
      <c r="E31">
        <f>'[14]GABM_R03_RandiAPI_sf_fb-data'!$D30</f>
        <v>0</v>
      </c>
      <c r="F31">
        <f>'[15]GABM_R03_Terry_sf_fb-data'!$D30</f>
        <v>2</v>
      </c>
      <c r="G31">
        <f>'[16]R03_GABM_NiyoushaAPI_sf_fb-data'!$D30</f>
        <v>0</v>
      </c>
      <c r="H31">
        <f>'[17]GABM_R03_SudipaAPI_sf_fb-data'!$D30</f>
        <v>5</v>
      </c>
      <c r="I31">
        <f>'[18]GABM_R03_Terry_sf_fb_2-data'!$D30</f>
        <v>3</v>
      </c>
      <c r="J31">
        <f>'[19]GABM_R03_NavidAPI_sf_fb_2-data'!$D30</f>
        <v>0</v>
      </c>
      <c r="K31">
        <f>'[20]R03_GABM_NiyoushaAPI_sf_fb_2-da'!$D30</f>
        <v>8</v>
      </c>
      <c r="L31">
        <f t="shared" si="0"/>
        <v>2.9</v>
      </c>
    </row>
    <row r="32" spans="1:12" x14ac:dyDescent="0.35">
      <c r="A32">
        <v>29</v>
      </c>
      <c r="B32">
        <f>'[11]GABM_R03_NavidAPI_sf_fb-data'!$D31</f>
        <v>3</v>
      </c>
      <c r="C32">
        <f>'[12]GABM_R03_savannah_sf_fb-data'!$D31</f>
        <v>0</v>
      </c>
      <c r="D32">
        <f>'[13]GABM_R03_MitchellAPI_sf_fb-data'!$D31</f>
        <v>3</v>
      </c>
      <c r="E32">
        <f>'[14]GABM_R03_RandiAPI_sf_fb-data'!$D31</f>
        <v>0</v>
      </c>
      <c r="F32">
        <f>'[15]GABM_R03_Terry_sf_fb-data'!$D31</f>
        <v>1</v>
      </c>
      <c r="G32">
        <f>'[16]R03_GABM_NiyoushaAPI_sf_fb-data'!$D31</f>
        <v>0</v>
      </c>
      <c r="H32">
        <f>'[17]GABM_R03_SudipaAPI_sf_fb-data'!$D31</f>
        <v>3</v>
      </c>
      <c r="I32">
        <f>'[18]GABM_R03_Terry_sf_fb_2-data'!$D31</f>
        <v>2</v>
      </c>
      <c r="J32">
        <f>'[19]GABM_R03_NavidAPI_sf_fb_2-data'!$D31</f>
        <v>0</v>
      </c>
      <c r="K32">
        <f>'[20]R03_GABM_NiyoushaAPI_sf_fb_2-da'!$D31</f>
        <v>5</v>
      </c>
      <c r="L32">
        <f t="shared" si="0"/>
        <v>1.7</v>
      </c>
    </row>
    <row r="33" spans="1:12" x14ac:dyDescent="0.35">
      <c r="A33">
        <v>30</v>
      </c>
      <c r="B33">
        <f>'[11]GABM_R03_NavidAPI_sf_fb-data'!$D32</f>
        <v>2</v>
      </c>
      <c r="C33">
        <f>'[12]GABM_R03_savannah_sf_fb-data'!$D32</f>
        <v>0</v>
      </c>
      <c r="D33">
        <f>'[13]GABM_R03_MitchellAPI_sf_fb-data'!$D32</f>
        <v>1</v>
      </c>
      <c r="E33">
        <f>'[14]GABM_R03_RandiAPI_sf_fb-data'!$D32</f>
        <v>0</v>
      </c>
      <c r="F33">
        <f>'[15]GABM_R03_Terry_sf_fb-data'!$D32</f>
        <v>0</v>
      </c>
      <c r="G33">
        <f>'[16]R03_GABM_NiyoushaAPI_sf_fb-data'!$D32</f>
        <v>0</v>
      </c>
      <c r="H33">
        <f>'[17]GABM_R03_SudipaAPI_sf_fb-data'!$D32</f>
        <v>2</v>
      </c>
      <c r="I33">
        <f>'[18]GABM_R03_Terry_sf_fb_2-data'!$D32</f>
        <v>1</v>
      </c>
      <c r="J33">
        <f>'[19]GABM_R03_NavidAPI_sf_fb_2-data'!$D32</f>
        <v>0</v>
      </c>
      <c r="K33">
        <f>'[20]R03_GABM_NiyoushaAPI_sf_fb_2-da'!$D32</f>
        <v>3</v>
      </c>
      <c r="L33">
        <f t="shared" si="0"/>
        <v>0.9</v>
      </c>
    </row>
    <row r="34" spans="1:12" x14ac:dyDescent="0.35">
      <c r="A34">
        <v>31</v>
      </c>
      <c r="B34">
        <f>'[11]GABM_R03_NavidAPI_sf_fb-data'!$D33</f>
        <v>0</v>
      </c>
      <c r="C34">
        <f>'[12]GABM_R03_savannah_sf_fb-data'!$D33</f>
        <v>0</v>
      </c>
      <c r="D34">
        <f>'[13]GABM_R03_MitchellAPI_sf_fb-data'!$D33</f>
        <v>0</v>
      </c>
      <c r="E34">
        <f>'[14]GABM_R03_RandiAPI_sf_fb-data'!$D33</f>
        <v>0</v>
      </c>
      <c r="F34">
        <f>'[15]GABM_R03_Terry_sf_fb-data'!$D33</f>
        <v>0</v>
      </c>
      <c r="G34">
        <f>'[16]R03_GABM_NiyoushaAPI_sf_fb-data'!$D33</f>
        <v>0</v>
      </c>
      <c r="H34">
        <f>'[17]GABM_R03_SudipaAPI_sf_fb-data'!$D33</f>
        <v>1</v>
      </c>
      <c r="I34">
        <f>'[18]GABM_R03_Terry_sf_fb_2-data'!$D33</f>
        <v>1</v>
      </c>
      <c r="J34">
        <f>'[19]GABM_R03_NavidAPI_sf_fb_2-data'!$D33</f>
        <v>0</v>
      </c>
      <c r="K34">
        <f>'[20]R03_GABM_NiyoushaAPI_sf_fb_2-da'!$D33</f>
        <v>2</v>
      </c>
      <c r="L34">
        <f t="shared" si="0"/>
        <v>0.4</v>
      </c>
    </row>
    <row r="35" spans="1:12" x14ac:dyDescent="0.35">
      <c r="A35">
        <v>32</v>
      </c>
      <c r="B35">
        <f>'[11]GABM_R03_NavidAPI_sf_fb-data'!$D34</f>
        <v>0</v>
      </c>
      <c r="C35">
        <f>'[12]GABM_R03_savannah_sf_fb-data'!$D34</f>
        <v>0</v>
      </c>
      <c r="D35">
        <f>'[13]GABM_R03_MitchellAPI_sf_fb-data'!$D34</f>
        <v>0</v>
      </c>
      <c r="E35">
        <f>'[14]GABM_R03_RandiAPI_sf_fb-data'!$D34</f>
        <v>0</v>
      </c>
      <c r="F35">
        <f>'[15]GABM_R03_Terry_sf_fb-data'!$D34</f>
        <v>0</v>
      </c>
      <c r="G35">
        <f>'[16]R03_GABM_NiyoushaAPI_sf_fb-data'!$D34</f>
        <v>0</v>
      </c>
      <c r="H35">
        <f>'[17]GABM_R03_SudipaAPI_sf_fb-data'!$D34</f>
        <v>1</v>
      </c>
      <c r="I35">
        <f>'[18]GABM_R03_Terry_sf_fb_2-data'!$D34</f>
        <v>0</v>
      </c>
      <c r="J35">
        <f>'[19]GABM_R03_NavidAPI_sf_fb_2-data'!$D34</f>
        <v>0</v>
      </c>
      <c r="K35">
        <f>'[20]R03_GABM_NiyoushaAPI_sf_fb_2-da'!$D34</f>
        <v>1</v>
      </c>
      <c r="L35">
        <f t="shared" si="0"/>
        <v>0.2</v>
      </c>
    </row>
    <row r="36" spans="1:12" x14ac:dyDescent="0.35">
      <c r="A36">
        <v>33</v>
      </c>
      <c r="B36">
        <f>'[11]GABM_R03_NavidAPI_sf_fb-data'!$D35</f>
        <v>0</v>
      </c>
      <c r="C36">
        <f>'[12]GABM_R03_savannah_sf_fb-data'!$D35</f>
        <v>0</v>
      </c>
      <c r="D36">
        <f>'[13]GABM_R03_MitchellAPI_sf_fb-data'!$D35</f>
        <v>0</v>
      </c>
      <c r="E36">
        <f>'[14]GABM_R03_RandiAPI_sf_fb-data'!$D35</f>
        <v>0</v>
      </c>
      <c r="F36">
        <f>'[15]GABM_R03_Terry_sf_fb-data'!$D35</f>
        <v>0</v>
      </c>
      <c r="G36">
        <f>'[16]R03_GABM_NiyoushaAPI_sf_fb-data'!$D35</f>
        <v>0</v>
      </c>
      <c r="H36">
        <f>'[17]GABM_R03_SudipaAPI_sf_fb-data'!$D35</f>
        <v>0</v>
      </c>
      <c r="I36">
        <f>'[18]GABM_R03_Terry_sf_fb_2-data'!$D35</f>
        <v>0</v>
      </c>
      <c r="J36">
        <f>'[19]GABM_R03_NavidAPI_sf_fb_2-data'!$D35</f>
        <v>0</v>
      </c>
      <c r="K36">
        <f>'[20]R03_GABM_NiyoushaAPI_sf_fb_2-da'!$D35</f>
        <v>1</v>
      </c>
      <c r="L36">
        <f t="shared" si="0"/>
        <v>0.1</v>
      </c>
    </row>
    <row r="37" spans="1:12" x14ac:dyDescent="0.35">
      <c r="A37">
        <v>34</v>
      </c>
      <c r="B37">
        <f>'[11]GABM_R03_NavidAPI_sf_fb-data'!$D36</f>
        <v>0</v>
      </c>
      <c r="C37">
        <f>'[12]GABM_R03_savannah_sf_fb-data'!$D36</f>
        <v>0</v>
      </c>
      <c r="D37">
        <f>'[13]GABM_R03_MitchellAPI_sf_fb-data'!$D36</f>
        <v>0</v>
      </c>
      <c r="E37">
        <f>'[14]GABM_R03_RandiAPI_sf_fb-data'!$D36</f>
        <v>0</v>
      </c>
      <c r="F37">
        <f>'[15]GABM_R03_Terry_sf_fb-data'!$D36</f>
        <v>0</v>
      </c>
      <c r="G37">
        <f>'[16]R03_GABM_NiyoushaAPI_sf_fb-data'!$D36</f>
        <v>0</v>
      </c>
      <c r="H37">
        <f>'[17]GABM_R03_SudipaAPI_sf_fb-data'!$D36</f>
        <v>0</v>
      </c>
      <c r="I37">
        <f>'[18]GABM_R03_Terry_sf_fb_2-data'!$D36</f>
        <v>0</v>
      </c>
      <c r="J37">
        <f>'[19]GABM_R03_NavidAPI_sf_fb_2-data'!$D36</f>
        <v>0</v>
      </c>
      <c r="K37">
        <f>'[20]R03_GABM_NiyoushaAPI_sf_fb_2-da'!$D36</f>
        <v>0</v>
      </c>
      <c r="L37">
        <f t="shared" si="0"/>
        <v>0</v>
      </c>
    </row>
  </sheetData>
  <mergeCells count="1">
    <mergeCell ref="A1:L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B537-4065-47F9-9FE5-E2CE2D8C2E51}">
  <dimension ref="A1:L200"/>
  <sheetViews>
    <sheetView zoomScale="115" zoomScaleNormal="115" workbookViewId="0">
      <selection activeCell="A2" sqref="A2:K200"/>
    </sheetView>
  </sheetViews>
  <sheetFormatPr defaultRowHeight="14.5" x14ac:dyDescent="0.35"/>
  <sheetData>
    <row r="1" spans="1:12" x14ac:dyDescent="0.35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5">
      <c r="A2" t="s">
        <v>10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12</v>
      </c>
    </row>
    <row r="3" spans="1:12" x14ac:dyDescent="0.35">
      <c r="A3">
        <v>0</v>
      </c>
      <c r="B3">
        <f>'[21]R03_GABM-data'!$D2</f>
        <v>2</v>
      </c>
      <c r="C3">
        <f>'[22]GABM_R03_RossAPI-data'!$D2</f>
        <v>2</v>
      </c>
      <c r="D3">
        <f>'[23]GABM_R03_RandiAPI-data'!$D2</f>
        <v>2</v>
      </c>
      <c r="E3">
        <f>'[24]GABM_R03_NavidAPI-data'!$D2</f>
        <v>2</v>
      </c>
      <c r="F3">
        <f>'[25]GABM_R03_Terry-data'!$D2</f>
        <v>2</v>
      </c>
      <c r="G3">
        <f>'[26]GABM_R03_SarahAPI-data'!$D2</f>
        <v>2</v>
      </c>
      <c r="H3">
        <f>'[27]GABM_R03_savannah-data'!$D2</f>
        <v>2</v>
      </c>
      <c r="I3">
        <f>'[28]GABM_R03_MitchellAPI-data'!$D2</f>
        <v>2</v>
      </c>
      <c r="J3">
        <f>'[29]GABM_R03_SudipaAPI-data'!$D2</f>
        <v>2</v>
      </c>
      <c r="K3">
        <f>'[30]R03_GABM_run2-data'!$D2</f>
        <v>2</v>
      </c>
      <c r="L3">
        <f>AVERAGE(B3:K3)</f>
        <v>2</v>
      </c>
    </row>
    <row r="4" spans="1:12" x14ac:dyDescent="0.35">
      <c r="A4">
        <v>1</v>
      </c>
      <c r="B4">
        <f>'[21]R03_GABM-data'!$D3</f>
        <v>5</v>
      </c>
      <c r="C4">
        <f>'[22]GABM_R03_RossAPI-data'!$D3</f>
        <v>3</v>
      </c>
      <c r="D4">
        <f>'[23]GABM_R03_RandiAPI-data'!$D3</f>
        <v>6</v>
      </c>
      <c r="E4">
        <f>'[24]GABM_R03_NavidAPI-data'!$D3</f>
        <v>2</v>
      </c>
      <c r="F4">
        <f>'[25]GABM_R03_Terry-data'!$D3</f>
        <v>4</v>
      </c>
      <c r="G4">
        <f>'[26]GABM_R03_SarahAPI-data'!$D3</f>
        <v>2</v>
      </c>
      <c r="H4">
        <f>'[27]GABM_R03_savannah-data'!$D3</f>
        <v>3</v>
      </c>
      <c r="I4">
        <f>'[28]GABM_R03_MitchellAPI-data'!$D3</f>
        <v>5</v>
      </c>
      <c r="J4">
        <f>'[29]GABM_R03_SudipaAPI-data'!$D3</f>
        <v>5</v>
      </c>
      <c r="K4">
        <f>'[30]R03_GABM_run2-data'!$D3</f>
        <v>7</v>
      </c>
      <c r="L4">
        <f t="shared" ref="L4:L67" si="0">AVERAGE(B4:K4)</f>
        <v>4.2</v>
      </c>
    </row>
    <row r="5" spans="1:12" x14ac:dyDescent="0.35">
      <c r="A5">
        <v>2</v>
      </c>
      <c r="B5">
        <f>'[21]R03_GABM-data'!$D4</f>
        <v>14</v>
      </c>
      <c r="C5">
        <f>'[22]GABM_R03_RossAPI-data'!$D4</f>
        <v>7</v>
      </c>
      <c r="D5">
        <f>'[23]GABM_R03_RandiAPI-data'!$D4</f>
        <v>11</v>
      </c>
      <c r="E5">
        <f>'[24]GABM_R03_NavidAPI-data'!$D4</f>
        <v>5</v>
      </c>
      <c r="F5">
        <f>'[25]GABM_R03_Terry-data'!$D4</f>
        <v>9</v>
      </c>
      <c r="G5">
        <f>'[26]GABM_R03_SarahAPI-data'!$D4</f>
        <v>4</v>
      </c>
      <c r="H5">
        <f>'[27]GABM_R03_savannah-data'!$D4</f>
        <v>5</v>
      </c>
      <c r="I5">
        <f>'[28]GABM_R03_MitchellAPI-data'!$D4</f>
        <v>12</v>
      </c>
      <c r="J5">
        <f>'[29]GABM_R03_SudipaAPI-data'!$D4</f>
        <v>7</v>
      </c>
      <c r="K5">
        <f>'[30]R03_GABM_run2-data'!$D4</f>
        <v>10</v>
      </c>
      <c r="L5">
        <f t="shared" si="0"/>
        <v>8.4</v>
      </c>
    </row>
    <row r="6" spans="1:12" x14ac:dyDescent="0.35">
      <c r="A6">
        <v>3</v>
      </c>
      <c r="B6">
        <f>'[21]R03_GABM-data'!$D5</f>
        <v>22</v>
      </c>
      <c r="C6">
        <f>'[22]GABM_R03_RossAPI-data'!$D5</f>
        <v>17</v>
      </c>
      <c r="D6">
        <f>'[23]GABM_R03_RandiAPI-data'!$D5</f>
        <v>20</v>
      </c>
      <c r="E6">
        <f>'[24]GABM_R03_NavidAPI-data'!$D5</f>
        <v>13</v>
      </c>
      <c r="F6">
        <f>'[25]GABM_R03_Terry-data'!$D5</f>
        <v>15</v>
      </c>
      <c r="G6">
        <f>'[26]GABM_R03_SarahAPI-data'!$D5</f>
        <v>6</v>
      </c>
      <c r="H6">
        <f>'[27]GABM_R03_savannah-data'!$D5</f>
        <v>10</v>
      </c>
      <c r="I6">
        <f>'[28]GABM_R03_MitchellAPI-data'!$D5</f>
        <v>23</v>
      </c>
      <c r="J6">
        <f>'[29]GABM_R03_SudipaAPI-data'!$D5</f>
        <v>12</v>
      </c>
      <c r="K6">
        <f>'[30]R03_GABM_run2-data'!$D5</f>
        <v>15</v>
      </c>
      <c r="L6">
        <f t="shared" si="0"/>
        <v>15.3</v>
      </c>
    </row>
    <row r="7" spans="1:12" x14ac:dyDescent="0.35">
      <c r="A7">
        <v>4</v>
      </c>
      <c r="B7">
        <f>'[21]R03_GABM-data'!$D6</f>
        <v>35</v>
      </c>
      <c r="C7">
        <f>'[22]GABM_R03_RossAPI-data'!$D6</f>
        <v>33</v>
      </c>
      <c r="D7">
        <f>'[23]GABM_R03_RandiAPI-data'!$D6</f>
        <v>27</v>
      </c>
      <c r="E7">
        <f>'[24]GABM_R03_NavidAPI-data'!$D6</f>
        <v>20</v>
      </c>
      <c r="F7">
        <f>'[25]GABM_R03_Terry-data'!$D6</f>
        <v>23</v>
      </c>
      <c r="G7">
        <f>'[26]GABM_R03_SarahAPI-data'!$D6</f>
        <v>9</v>
      </c>
      <c r="H7">
        <f>'[27]GABM_R03_savannah-data'!$D6</f>
        <v>14</v>
      </c>
      <c r="I7">
        <f>'[28]GABM_R03_MitchellAPI-data'!$D6</f>
        <v>31</v>
      </c>
      <c r="J7">
        <f>'[29]GABM_R03_SudipaAPI-data'!$D6</f>
        <v>13</v>
      </c>
      <c r="K7">
        <f>'[30]R03_GABM_run2-data'!$D6</f>
        <v>20</v>
      </c>
      <c r="L7">
        <f t="shared" si="0"/>
        <v>22.5</v>
      </c>
    </row>
    <row r="8" spans="1:12" x14ac:dyDescent="0.35">
      <c r="A8">
        <v>5</v>
      </c>
      <c r="B8">
        <f>'[21]R03_GABM-data'!$D7</f>
        <v>50</v>
      </c>
      <c r="C8">
        <f>'[22]GABM_R03_RossAPI-data'!$D7</f>
        <v>48</v>
      </c>
      <c r="D8">
        <f>'[23]GABM_R03_RandiAPI-data'!$D7</f>
        <v>34</v>
      </c>
      <c r="E8">
        <f>'[24]GABM_R03_NavidAPI-data'!$D7</f>
        <v>39</v>
      </c>
      <c r="F8">
        <f>'[25]GABM_R03_Terry-data'!$D7</f>
        <v>33</v>
      </c>
      <c r="G8">
        <f>'[26]GABM_R03_SarahAPI-data'!$D7</f>
        <v>17</v>
      </c>
      <c r="H8">
        <f>'[27]GABM_R03_savannah-data'!$D7</f>
        <v>16</v>
      </c>
      <c r="I8">
        <f>'[28]GABM_R03_MitchellAPI-data'!$D7</f>
        <v>44</v>
      </c>
      <c r="J8">
        <f>'[29]GABM_R03_SudipaAPI-data'!$D7</f>
        <v>17</v>
      </c>
      <c r="K8">
        <f>'[30]R03_GABM_run2-data'!$D7</f>
        <v>22</v>
      </c>
      <c r="L8">
        <f t="shared" si="0"/>
        <v>32</v>
      </c>
    </row>
    <row r="9" spans="1:12" x14ac:dyDescent="0.35">
      <c r="A9">
        <v>6</v>
      </c>
      <c r="B9">
        <f>'[21]R03_GABM-data'!$D8</f>
        <v>68</v>
      </c>
      <c r="C9">
        <f>'[22]GABM_R03_RossAPI-data'!$D8</f>
        <v>64</v>
      </c>
      <c r="D9">
        <f>'[23]GABM_R03_RandiAPI-data'!$D8</f>
        <v>38</v>
      </c>
      <c r="E9">
        <f>'[24]GABM_R03_NavidAPI-data'!$D8</f>
        <v>52</v>
      </c>
      <c r="F9">
        <f>'[25]GABM_R03_Terry-data'!$D8</f>
        <v>41</v>
      </c>
      <c r="G9">
        <f>'[26]GABM_R03_SarahAPI-data'!$D8</f>
        <v>19</v>
      </c>
      <c r="H9">
        <f>'[27]GABM_R03_savannah-data'!$D8</f>
        <v>19</v>
      </c>
      <c r="I9">
        <f>'[28]GABM_R03_MitchellAPI-data'!$D8</f>
        <v>56</v>
      </c>
      <c r="J9">
        <f>'[29]GABM_R03_SudipaAPI-data'!$D8</f>
        <v>18</v>
      </c>
      <c r="K9">
        <f>'[30]R03_GABM_run2-data'!$D8</f>
        <v>24</v>
      </c>
      <c r="L9">
        <f t="shared" si="0"/>
        <v>39.9</v>
      </c>
    </row>
    <row r="10" spans="1:12" x14ac:dyDescent="0.35">
      <c r="A10">
        <v>7</v>
      </c>
      <c r="B10">
        <f>'[21]R03_GABM-data'!$D9</f>
        <v>81</v>
      </c>
      <c r="C10">
        <f>'[22]GABM_R03_RossAPI-data'!$D9</f>
        <v>89</v>
      </c>
      <c r="D10">
        <f>'[23]GABM_R03_RandiAPI-data'!$D9</f>
        <v>46</v>
      </c>
      <c r="E10">
        <f>'[24]GABM_R03_NavidAPI-data'!$D9</f>
        <v>67</v>
      </c>
      <c r="F10">
        <f>'[25]GABM_R03_Terry-data'!$D9</f>
        <v>48</v>
      </c>
      <c r="G10">
        <f>'[26]GABM_R03_SarahAPI-data'!$D9</f>
        <v>29</v>
      </c>
      <c r="H10">
        <f>'[27]GABM_R03_savannah-data'!$D9</f>
        <v>20</v>
      </c>
      <c r="I10">
        <f>'[28]GABM_R03_MitchellAPI-data'!$D9</f>
        <v>67</v>
      </c>
      <c r="J10">
        <f>'[29]GABM_R03_SudipaAPI-data'!$D9</f>
        <v>18</v>
      </c>
      <c r="K10">
        <f>'[30]R03_GABM_run2-data'!$D9</f>
        <v>21</v>
      </c>
      <c r="L10">
        <f t="shared" si="0"/>
        <v>48.6</v>
      </c>
    </row>
    <row r="11" spans="1:12" x14ac:dyDescent="0.35">
      <c r="A11">
        <v>8</v>
      </c>
      <c r="B11">
        <f>'[21]R03_GABM-data'!$D10</f>
        <v>85</v>
      </c>
      <c r="C11">
        <f>'[22]GABM_R03_RossAPI-data'!$D10</f>
        <v>92</v>
      </c>
      <c r="D11">
        <f>'[23]GABM_R03_RandiAPI-data'!$D10</f>
        <v>52</v>
      </c>
      <c r="E11">
        <f>'[24]GABM_R03_NavidAPI-data'!$D10</f>
        <v>84</v>
      </c>
      <c r="F11">
        <f>'[25]GABM_R03_Terry-data'!$D10</f>
        <v>58</v>
      </c>
      <c r="G11">
        <f>'[26]GABM_R03_SarahAPI-data'!$D10</f>
        <v>39</v>
      </c>
      <c r="H11">
        <f>'[27]GABM_R03_savannah-data'!$D10</f>
        <v>25</v>
      </c>
      <c r="I11">
        <f>'[28]GABM_R03_MitchellAPI-data'!$D10</f>
        <v>67</v>
      </c>
      <c r="J11">
        <f>'[29]GABM_R03_SudipaAPI-data'!$D10</f>
        <v>19</v>
      </c>
      <c r="K11">
        <f>'[30]R03_GABM_run2-data'!$D10</f>
        <v>22</v>
      </c>
      <c r="L11">
        <f t="shared" si="0"/>
        <v>54.3</v>
      </c>
    </row>
    <row r="12" spans="1:12" x14ac:dyDescent="0.35">
      <c r="A12">
        <v>9</v>
      </c>
      <c r="B12">
        <f>'[21]R03_GABM-data'!$D11</f>
        <v>82</v>
      </c>
      <c r="C12">
        <f>'[22]GABM_R03_RossAPI-data'!$D11</f>
        <v>86</v>
      </c>
      <c r="D12">
        <f>'[23]GABM_R03_RandiAPI-data'!$D11</f>
        <v>61</v>
      </c>
      <c r="E12">
        <f>'[24]GABM_R03_NavidAPI-data'!$D11</f>
        <v>90</v>
      </c>
      <c r="F12">
        <f>'[25]GABM_R03_Terry-data'!$D11</f>
        <v>69</v>
      </c>
      <c r="G12">
        <f>'[26]GABM_R03_SarahAPI-data'!$D11</f>
        <v>51</v>
      </c>
      <c r="H12">
        <f>'[27]GABM_R03_savannah-data'!$D11</f>
        <v>26</v>
      </c>
      <c r="I12">
        <f>'[28]GABM_R03_MitchellAPI-data'!$D11</f>
        <v>64</v>
      </c>
      <c r="J12">
        <f>'[29]GABM_R03_SudipaAPI-data'!$D11</f>
        <v>16</v>
      </c>
      <c r="K12">
        <f>'[30]R03_GABM_run2-data'!$D11</f>
        <v>21</v>
      </c>
      <c r="L12">
        <f t="shared" si="0"/>
        <v>56.6</v>
      </c>
    </row>
    <row r="13" spans="1:12" x14ac:dyDescent="0.35">
      <c r="A13">
        <v>10</v>
      </c>
      <c r="B13">
        <f>'[21]R03_GABM-data'!$D12</f>
        <v>74</v>
      </c>
      <c r="C13">
        <f>'[22]GABM_R03_RossAPI-data'!$D12</f>
        <v>74</v>
      </c>
      <c r="D13">
        <f>'[23]GABM_R03_RandiAPI-data'!$D12</f>
        <v>71</v>
      </c>
      <c r="E13">
        <f>'[24]GABM_R03_NavidAPI-data'!$D12</f>
        <v>89</v>
      </c>
      <c r="F13">
        <f>'[25]GABM_R03_Terry-data'!$D12</f>
        <v>95</v>
      </c>
      <c r="G13">
        <f>'[26]GABM_R03_SarahAPI-data'!$D12</f>
        <v>68</v>
      </c>
      <c r="H13">
        <f>'[27]GABM_R03_savannah-data'!$D12</f>
        <v>29</v>
      </c>
      <c r="I13">
        <f>'[28]GABM_R03_MitchellAPI-data'!$D12</f>
        <v>61</v>
      </c>
      <c r="J13">
        <f>'[29]GABM_R03_SudipaAPI-data'!$D12</f>
        <v>21</v>
      </c>
      <c r="K13">
        <f>'[30]R03_GABM_run2-data'!$D12</f>
        <v>21</v>
      </c>
      <c r="L13">
        <f t="shared" si="0"/>
        <v>60.3</v>
      </c>
    </row>
    <row r="14" spans="1:12" x14ac:dyDescent="0.35">
      <c r="A14">
        <v>11</v>
      </c>
      <c r="B14">
        <f>'[21]R03_GABM-data'!$D13</f>
        <v>63</v>
      </c>
      <c r="C14">
        <f>'[22]GABM_R03_RossAPI-data'!$D13</f>
        <v>61</v>
      </c>
      <c r="D14">
        <f>'[23]GABM_R03_RandiAPI-data'!$D13</f>
        <v>70</v>
      </c>
      <c r="E14">
        <f>'[24]GABM_R03_NavidAPI-data'!$D13</f>
        <v>73</v>
      </c>
      <c r="F14">
        <f>'[25]GABM_R03_Terry-data'!$D13</f>
        <v>112</v>
      </c>
      <c r="G14">
        <f>'[26]GABM_R03_SarahAPI-data'!$D13</f>
        <v>89</v>
      </c>
      <c r="H14">
        <f>'[27]GABM_R03_savannah-data'!$D13</f>
        <v>31</v>
      </c>
      <c r="I14">
        <f>'[28]GABM_R03_MitchellAPI-data'!$D13</f>
        <v>54</v>
      </c>
      <c r="J14">
        <f>'[29]GABM_R03_SudipaAPI-data'!$D13</f>
        <v>22</v>
      </c>
      <c r="K14">
        <f>'[30]R03_GABM_run2-data'!$D13</f>
        <v>26</v>
      </c>
      <c r="L14">
        <f t="shared" si="0"/>
        <v>60.1</v>
      </c>
    </row>
    <row r="15" spans="1:12" x14ac:dyDescent="0.35">
      <c r="A15">
        <v>12</v>
      </c>
      <c r="B15">
        <f>'[21]R03_GABM-data'!$D14</f>
        <v>49</v>
      </c>
      <c r="C15">
        <f>'[22]GABM_R03_RossAPI-data'!$D14</f>
        <v>45</v>
      </c>
      <c r="D15">
        <f>'[23]GABM_R03_RandiAPI-data'!$D14</f>
        <v>74</v>
      </c>
      <c r="E15">
        <f>'[24]GABM_R03_NavidAPI-data'!$D14</f>
        <v>60</v>
      </c>
      <c r="F15">
        <f>'[25]GABM_R03_Terry-data'!$D14</f>
        <v>109</v>
      </c>
      <c r="G15">
        <f>'[26]GABM_R03_SarahAPI-data'!$D14</f>
        <v>103</v>
      </c>
      <c r="H15">
        <f>'[27]GABM_R03_savannah-data'!$D14</f>
        <v>33</v>
      </c>
      <c r="I15">
        <f>'[28]GABM_R03_MitchellAPI-data'!$D14</f>
        <v>44</v>
      </c>
      <c r="J15">
        <f>'[29]GABM_R03_SudipaAPI-data'!$D14</f>
        <v>34</v>
      </c>
      <c r="K15">
        <f>'[30]R03_GABM_run2-data'!$D14</f>
        <v>27</v>
      </c>
      <c r="L15">
        <f t="shared" si="0"/>
        <v>57.8</v>
      </c>
    </row>
    <row r="16" spans="1:12" x14ac:dyDescent="0.35">
      <c r="A16">
        <v>13</v>
      </c>
      <c r="B16">
        <f>'[21]R03_GABM-data'!$D15</f>
        <v>40</v>
      </c>
      <c r="C16">
        <f>'[22]GABM_R03_RossAPI-data'!$D15</f>
        <v>25</v>
      </c>
      <c r="D16">
        <f>'[23]GABM_R03_RandiAPI-data'!$D15</f>
        <v>70</v>
      </c>
      <c r="E16">
        <f>'[24]GABM_R03_NavidAPI-data'!$D15</f>
        <v>49</v>
      </c>
      <c r="F16">
        <f>'[25]GABM_R03_Terry-data'!$D15</f>
        <v>108</v>
      </c>
      <c r="G16">
        <f>'[26]GABM_R03_SarahAPI-data'!$D15</f>
        <v>102</v>
      </c>
      <c r="H16">
        <f>'[27]GABM_R03_savannah-data'!$D15</f>
        <v>34</v>
      </c>
      <c r="I16">
        <f>'[28]GABM_R03_MitchellAPI-data'!$D15</f>
        <v>35</v>
      </c>
      <c r="J16">
        <f>'[29]GABM_R03_SudipaAPI-data'!$D15</f>
        <v>44</v>
      </c>
      <c r="K16">
        <f>'[30]R03_GABM_run2-data'!$D15</f>
        <v>35</v>
      </c>
      <c r="L16">
        <f t="shared" si="0"/>
        <v>54.2</v>
      </c>
    </row>
    <row r="17" spans="1:12" x14ac:dyDescent="0.35">
      <c r="A17">
        <v>14</v>
      </c>
      <c r="B17">
        <f>'[21]R03_GABM-data'!$D16</f>
        <v>35</v>
      </c>
      <c r="C17">
        <f>'[22]GABM_R03_RossAPI-data'!$D16</f>
        <v>23</v>
      </c>
      <c r="D17">
        <f>'[23]GABM_R03_RandiAPI-data'!$D16</f>
        <v>62</v>
      </c>
      <c r="E17">
        <f>'[24]GABM_R03_NavidAPI-data'!$D16</f>
        <v>31</v>
      </c>
      <c r="F17">
        <f>'[25]GABM_R03_Terry-data'!$D16</f>
        <v>94</v>
      </c>
      <c r="G17">
        <f>'[26]GABM_R03_SarahAPI-data'!$D16</f>
        <v>99</v>
      </c>
      <c r="H17">
        <f>'[27]GABM_R03_savannah-data'!$D16</f>
        <v>33</v>
      </c>
      <c r="I17">
        <f>'[28]GABM_R03_MitchellAPI-data'!$D16</f>
        <v>30</v>
      </c>
      <c r="J17">
        <f>'[29]GABM_R03_SudipaAPI-data'!$D16</f>
        <v>65</v>
      </c>
      <c r="K17">
        <f>'[30]R03_GABM_run2-data'!$D16</f>
        <v>34</v>
      </c>
      <c r="L17">
        <f t="shared" si="0"/>
        <v>50.6</v>
      </c>
    </row>
    <row r="18" spans="1:12" x14ac:dyDescent="0.35">
      <c r="A18">
        <v>15</v>
      </c>
      <c r="B18">
        <f>'[21]R03_GABM-data'!$D17</f>
        <v>39</v>
      </c>
      <c r="C18">
        <f>'[22]GABM_R03_RossAPI-data'!$D17</f>
        <v>24</v>
      </c>
      <c r="D18">
        <f>'[23]GABM_R03_RandiAPI-data'!$D17</f>
        <v>51</v>
      </c>
      <c r="E18">
        <f>'[24]GABM_R03_NavidAPI-data'!$D17</f>
        <v>20</v>
      </c>
      <c r="F18">
        <f>'[25]GABM_R03_Terry-data'!$D17</f>
        <v>81</v>
      </c>
      <c r="G18">
        <f>'[26]GABM_R03_SarahAPI-data'!$D17</f>
        <v>88</v>
      </c>
      <c r="H18">
        <f>'[27]GABM_R03_savannah-data'!$D17</f>
        <v>32</v>
      </c>
      <c r="I18">
        <f>'[28]GABM_R03_MitchellAPI-data'!$D17</f>
        <v>25</v>
      </c>
      <c r="J18">
        <f>'[29]GABM_R03_SudipaAPI-data'!$D17</f>
        <v>75</v>
      </c>
      <c r="K18">
        <f>'[30]R03_GABM_run2-data'!$D17</f>
        <v>38</v>
      </c>
      <c r="L18">
        <f t="shared" si="0"/>
        <v>47.3</v>
      </c>
    </row>
    <row r="19" spans="1:12" x14ac:dyDescent="0.35">
      <c r="A19">
        <v>16</v>
      </c>
      <c r="B19">
        <f>'[21]R03_GABM-data'!$D18</f>
        <v>44</v>
      </c>
      <c r="C19">
        <f>'[22]GABM_R03_RossAPI-data'!$D18</f>
        <v>29</v>
      </c>
      <c r="D19">
        <f>'[23]GABM_R03_RandiAPI-data'!$D18</f>
        <v>46</v>
      </c>
      <c r="E19">
        <f>'[24]GABM_R03_NavidAPI-data'!$D18</f>
        <v>20</v>
      </c>
      <c r="F19">
        <f>'[25]GABM_R03_Terry-data'!$D18</f>
        <v>49</v>
      </c>
      <c r="G19">
        <f>'[26]GABM_R03_SarahAPI-data'!$D18</f>
        <v>71</v>
      </c>
      <c r="H19">
        <f>'[27]GABM_R03_savannah-data'!$D18</f>
        <v>28</v>
      </c>
      <c r="I19">
        <f>'[28]GABM_R03_MitchellAPI-data'!$D18</f>
        <v>25</v>
      </c>
      <c r="J19">
        <f>'[29]GABM_R03_SudipaAPI-data'!$D18</f>
        <v>73</v>
      </c>
      <c r="K19">
        <f>'[30]R03_GABM_run2-data'!$D18</f>
        <v>41</v>
      </c>
      <c r="L19">
        <f t="shared" si="0"/>
        <v>42.6</v>
      </c>
    </row>
    <row r="20" spans="1:12" x14ac:dyDescent="0.35">
      <c r="A20">
        <v>17</v>
      </c>
      <c r="B20">
        <f>'[21]R03_GABM-data'!$D19</f>
        <v>52</v>
      </c>
      <c r="C20">
        <f>'[22]GABM_R03_RossAPI-data'!$D19</f>
        <v>36</v>
      </c>
      <c r="D20">
        <f>'[23]GABM_R03_RandiAPI-data'!$D19</f>
        <v>46</v>
      </c>
      <c r="E20">
        <f>'[24]GABM_R03_NavidAPI-data'!$D19</f>
        <v>24</v>
      </c>
      <c r="F20">
        <f>'[25]GABM_R03_Terry-data'!$D19</f>
        <v>24</v>
      </c>
      <c r="G20">
        <f>'[26]GABM_R03_SarahAPI-data'!$D19</f>
        <v>44</v>
      </c>
      <c r="H20">
        <f>'[27]GABM_R03_savannah-data'!$D19</f>
        <v>28</v>
      </c>
      <c r="I20">
        <f>'[28]GABM_R03_MitchellAPI-data'!$D19</f>
        <v>21</v>
      </c>
      <c r="J20">
        <f>'[29]GABM_R03_SudipaAPI-data'!$D19</f>
        <v>74</v>
      </c>
      <c r="K20">
        <f>'[30]R03_GABM_run2-data'!$D19</f>
        <v>51</v>
      </c>
      <c r="L20">
        <f t="shared" si="0"/>
        <v>40</v>
      </c>
    </row>
    <row r="21" spans="1:12" x14ac:dyDescent="0.35">
      <c r="A21">
        <v>18</v>
      </c>
      <c r="B21">
        <f>'[21]R03_GABM-data'!$D20</f>
        <v>53</v>
      </c>
      <c r="C21">
        <f>'[22]GABM_R03_RossAPI-data'!$D20</f>
        <v>42</v>
      </c>
      <c r="D21">
        <f>'[23]GABM_R03_RandiAPI-data'!$D20</f>
        <v>44</v>
      </c>
      <c r="E21">
        <f>'[24]GABM_R03_NavidAPI-data'!$D20</f>
        <v>31</v>
      </c>
      <c r="F21">
        <f>'[25]GABM_R03_Terry-data'!$D20</f>
        <v>22</v>
      </c>
      <c r="G21">
        <f>'[26]GABM_R03_SarahAPI-data'!$D20</f>
        <v>30</v>
      </c>
      <c r="H21">
        <f>'[27]GABM_R03_savannah-data'!$D20</f>
        <v>27</v>
      </c>
      <c r="I21">
        <f>'[28]GABM_R03_MitchellAPI-data'!$D20</f>
        <v>20</v>
      </c>
      <c r="J21">
        <f>'[29]GABM_R03_SudipaAPI-data'!$D20</f>
        <v>59</v>
      </c>
      <c r="K21">
        <f>'[30]R03_GABM_run2-data'!$D20</f>
        <v>63</v>
      </c>
      <c r="L21">
        <f t="shared" si="0"/>
        <v>39.1</v>
      </c>
    </row>
    <row r="22" spans="1:12" x14ac:dyDescent="0.35">
      <c r="A22">
        <v>19</v>
      </c>
      <c r="B22">
        <f>'[21]R03_GABM-data'!$D21</f>
        <v>61</v>
      </c>
      <c r="C22">
        <f>'[22]GABM_R03_RossAPI-data'!$D21</f>
        <v>41</v>
      </c>
      <c r="D22">
        <f>'[23]GABM_R03_RandiAPI-data'!$D21</f>
        <v>42</v>
      </c>
      <c r="E22">
        <f>'[24]GABM_R03_NavidAPI-data'!$D21</f>
        <v>36</v>
      </c>
      <c r="F22">
        <f>'[25]GABM_R03_Terry-data'!$D21</f>
        <v>23</v>
      </c>
      <c r="G22">
        <f>'[26]GABM_R03_SarahAPI-data'!$D21</f>
        <v>22</v>
      </c>
      <c r="H22">
        <f>'[27]GABM_R03_savannah-data'!$D21</f>
        <v>29</v>
      </c>
      <c r="I22">
        <f>'[28]GABM_R03_MitchellAPI-data'!$D21</f>
        <v>22</v>
      </c>
      <c r="J22">
        <f>'[29]GABM_R03_SudipaAPI-data'!$D21</f>
        <v>48</v>
      </c>
      <c r="K22">
        <f>'[30]R03_GABM_run2-data'!$D21</f>
        <v>66</v>
      </c>
      <c r="L22">
        <f t="shared" si="0"/>
        <v>39</v>
      </c>
    </row>
    <row r="23" spans="1:12" x14ac:dyDescent="0.35">
      <c r="A23">
        <v>20</v>
      </c>
      <c r="B23">
        <f>'[21]R03_GABM-data'!$D22</f>
        <v>68</v>
      </c>
      <c r="C23">
        <f>'[22]GABM_R03_RossAPI-data'!$D22</f>
        <v>42</v>
      </c>
      <c r="D23">
        <f>'[23]GABM_R03_RandiAPI-data'!$D22</f>
        <v>44</v>
      </c>
      <c r="E23">
        <f>'[24]GABM_R03_NavidAPI-data'!$D22</f>
        <v>43</v>
      </c>
      <c r="F23">
        <f>'[25]GABM_R03_Terry-data'!$D22</f>
        <v>33</v>
      </c>
      <c r="G23">
        <f>'[26]GABM_R03_SarahAPI-data'!$D22</f>
        <v>18</v>
      </c>
      <c r="H23">
        <f>'[27]GABM_R03_savannah-data'!$D22</f>
        <v>31</v>
      </c>
      <c r="I23">
        <f>'[28]GABM_R03_MitchellAPI-data'!$D22</f>
        <v>21</v>
      </c>
      <c r="J23">
        <f>'[29]GABM_R03_SudipaAPI-data'!$D22</f>
        <v>26</v>
      </c>
      <c r="K23">
        <f>'[30]R03_GABM_run2-data'!$D22</f>
        <v>73</v>
      </c>
      <c r="L23">
        <f t="shared" si="0"/>
        <v>39.9</v>
      </c>
    </row>
    <row r="24" spans="1:12" x14ac:dyDescent="0.35">
      <c r="A24">
        <v>21</v>
      </c>
      <c r="B24">
        <f>'[21]R03_GABM-data'!$D23</f>
        <v>67</v>
      </c>
      <c r="C24">
        <f>'[22]GABM_R03_RossAPI-data'!$D23</f>
        <v>41</v>
      </c>
      <c r="D24">
        <f>'[23]GABM_R03_RandiAPI-data'!$D23</f>
        <v>41</v>
      </c>
      <c r="E24">
        <f>'[24]GABM_R03_NavidAPI-data'!$D23</f>
        <v>46</v>
      </c>
      <c r="F24">
        <f>'[25]GABM_R03_Terry-data'!$D23</f>
        <v>39</v>
      </c>
      <c r="G24">
        <f>'[26]GABM_R03_SarahAPI-data'!$D23</f>
        <v>20</v>
      </c>
      <c r="H24">
        <f>'[27]GABM_R03_savannah-data'!$D23</f>
        <v>36</v>
      </c>
      <c r="I24">
        <f>'[28]GABM_R03_MitchellAPI-data'!$D23</f>
        <v>22</v>
      </c>
      <c r="J24">
        <f>'[29]GABM_R03_SudipaAPI-data'!$D23</f>
        <v>14</v>
      </c>
      <c r="K24">
        <f>'[30]R03_GABM_run2-data'!$D23</f>
        <v>72</v>
      </c>
      <c r="L24">
        <f t="shared" si="0"/>
        <v>39.799999999999997</v>
      </c>
    </row>
    <row r="25" spans="1:12" x14ac:dyDescent="0.35">
      <c r="A25">
        <v>22</v>
      </c>
      <c r="B25">
        <f>'[21]R03_GABM-data'!$D24</f>
        <v>63</v>
      </c>
      <c r="C25">
        <f>'[22]GABM_R03_RossAPI-data'!$D24</f>
        <v>35</v>
      </c>
      <c r="D25">
        <f>'[23]GABM_R03_RandiAPI-data'!$D24</f>
        <v>33</v>
      </c>
      <c r="E25">
        <f>'[24]GABM_R03_NavidAPI-data'!$D24</f>
        <v>50</v>
      </c>
      <c r="F25">
        <f>'[25]GABM_R03_Terry-data'!$D24</f>
        <v>42</v>
      </c>
      <c r="G25">
        <f>'[26]GABM_R03_SarahAPI-data'!$D24</f>
        <v>22</v>
      </c>
      <c r="H25">
        <f>'[27]GABM_R03_savannah-data'!$D24</f>
        <v>43</v>
      </c>
      <c r="I25">
        <f>'[28]GABM_R03_MitchellAPI-data'!$D24</f>
        <v>21</v>
      </c>
      <c r="J25">
        <f>'[29]GABM_R03_SudipaAPI-data'!$D24</f>
        <v>19</v>
      </c>
      <c r="K25">
        <f>'[30]R03_GABM_run2-data'!$D24</f>
        <v>71</v>
      </c>
      <c r="L25">
        <f t="shared" si="0"/>
        <v>39.9</v>
      </c>
    </row>
    <row r="26" spans="1:12" x14ac:dyDescent="0.35">
      <c r="A26">
        <v>23</v>
      </c>
      <c r="B26">
        <f>'[21]R03_GABM-data'!$D25</f>
        <v>52</v>
      </c>
      <c r="C26">
        <f>'[22]GABM_R03_RossAPI-data'!$D25</f>
        <v>28</v>
      </c>
      <c r="D26">
        <f>'[23]GABM_R03_RandiAPI-data'!$D25</f>
        <v>31</v>
      </c>
      <c r="E26">
        <f>'[24]GABM_R03_NavidAPI-data'!$D25</f>
        <v>50</v>
      </c>
      <c r="F26">
        <f>'[25]GABM_R03_Terry-data'!$D25</f>
        <v>49</v>
      </c>
      <c r="G26">
        <f>'[26]GABM_R03_SarahAPI-data'!$D25</f>
        <v>25</v>
      </c>
      <c r="H26">
        <f>'[27]GABM_R03_savannah-data'!$D25</f>
        <v>46</v>
      </c>
      <c r="I26">
        <f>'[28]GABM_R03_MitchellAPI-data'!$D25</f>
        <v>22</v>
      </c>
      <c r="J26">
        <f>'[29]GABM_R03_SudipaAPI-data'!$D25</f>
        <v>19</v>
      </c>
      <c r="K26">
        <f>'[30]R03_GABM_run2-data'!$D25</f>
        <v>59</v>
      </c>
      <c r="L26">
        <f t="shared" si="0"/>
        <v>38.1</v>
      </c>
    </row>
    <row r="27" spans="1:12" x14ac:dyDescent="0.35">
      <c r="A27">
        <v>24</v>
      </c>
      <c r="B27">
        <f>'[21]R03_GABM-data'!$D26</f>
        <v>45</v>
      </c>
      <c r="C27">
        <f>'[22]GABM_R03_RossAPI-data'!$D26</f>
        <v>24</v>
      </c>
      <c r="D27">
        <f>'[23]GABM_R03_RandiAPI-data'!$D26</f>
        <v>26</v>
      </c>
      <c r="E27">
        <f>'[24]GABM_R03_NavidAPI-data'!$D26</f>
        <v>52</v>
      </c>
      <c r="F27">
        <f>'[25]GABM_R03_Terry-data'!$D26</f>
        <v>48</v>
      </c>
      <c r="G27">
        <f>'[26]GABM_R03_SarahAPI-data'!$D26</f>
        <v>23</v>
      </c>
      <c r="H27">
        <f>'[27]GABM_R03_savannah-data'!$D26</f>
        <v>47</v>
      </c>
      <c r="I27">
        <f>'[28]GABM_R03_MitchellAPI-data'!$D26</f>
        <v>22</v>
      </c>
      <c r="J27">
        <f>'[29]GABM_R03_SudipaAPI-data'!$D26</f>
        <v>28</v>
      </c>
      <c r="K27">
        <f>'[30]R03_GABM_run2-data'!$D26</f>
        <v>53</v>
      </c>
      <c r="L27">
        <f t="shared" si="0"/>
        <v>36.799999999999997</v>
      </c>
    </row>
    <row r="28" spans="1:12" x14ac:dyDescent="0.35">
      <c r="A28">
        <v>25</v>
      </c>
      <c r="B28">
        <f>'[21]R03_GABM-data'!$D27</f>
        <v>32</v>
      </c>
      <c r="C28">
        <f>'[22]GABM_R03_RossAPI-data'!$D27</f>
        <v>25</v>
      </c>
      <c r="D28">
        <f>'[23]GABM_R03_RandiAPI-data'!$D27</f>
        <v>25</v>
      </c>
      <c r="E28">
        <f>'[24]GABM_R03_NavidAPI-data'!$D27</f>
        <v>50</v>
      </c>
      <c r="F28">
        <f>'[25]GABM_R03_Terry-data'!$D27</f>
        <v>52</v>
      </c>
      <c r="G28">
        <f>'[26]GABM_R03_SarahAPI-data'!$D27</f>
        <v>26</v>
      </c>
      <c r="H28">
        <f>'[27]GABM_R03_savannah-data'!$D27</f>
        <v>54</v>
      </c>
      <c r="I28">
        <f>'[28]GABM_R03_MitchellAPI-data'!$D27</f>
        <v>15</v>
      </c>
      <c r="J28">
        <f>'[29]GABM_R03_SudipaAPI-data'!$D27</f>
        <v>47</v>
      </c>
      <c r="K28">
        <f>'[30]R03_GABM_run2-data'!$D27</f>
        <v>47</v>
      </c>
      <c r="L28">
        <f t="shared" si="0"/>
        <v>37.299999999999997</v>
      </c>
    </row>
    <row r="29" spans="1:12" x14ac:dyDescent="0.35">
      <c r="A29">
        <v>26</v>
      </c>
      <c r="B29">
        <f>'[21]R03_GABM-data'!$D28</f>
        <v>17</v>
      </c>
      <c r="C29">
        <f>'[22]GABM_R03_RossAPI-data'!$D28</f>
        <v>27</v>
      </c>
      <c r="D29">
        <f>'[23]GABM_R03_RandiAPI-data'!$D28</f>
        <v>24</v>
      </c>
      <c r="E29">
        <f>'[24]GABM_R03_NavidAPI-data'!$D28</f>
        <v>53</v>
      </c>
      <c r="F29">
        <f>'[25]GABM_R03_Terry-data'!$D28</f>
        <v>45</v>
      </c>
      <c r="G29">
        <f>'[26]GABM_R03_SarahAPI-data'!$D28</f>
        <v>22</v>
      </c>
      <c r="H29">
        <f>'[27]GABM_R03_savannah-data'!$D28</f>
        <v>64</v>
      </c>
      <c r="I29">
        <f>'[28]GABM_R03_MitchellAPI-data'!$D28</f>
        <v>16</v>
      </c>
      <c r="J29">
        <f>'[29]GABM_R03_SudipaAPI-data'!$D28</f>
        <v>54</v>
      </c>
      <c r="K29">
        <f>'[30]R03_GABM_run2-data'!$D28</f>
        <v>49</v>
      </c>
      <c r="L29">
        <f t="shared" si="0"/>
        <v>37.1</v>
      </c>
    </row>
    <row r="30" spans="1:12" x14ac:dyDescent="0.35">
      <c r="A30">
        <v>27</v>
      </c>
      <c r="B30">
        <f>'[21]R03_GABM-data'!$D29</f>
        <v>10</v>
      </c>
      <c r="C30">
        <f>'[22]GABM_R03_RossAPI-data'!$D29</f>
        <v>34</v>
      </c>
      <c r="D30">
        <f>'[23]GABM_R03_RandiAPI-data'!$D29</f>
        <v>27</v>
      </c>
      <c r="E30">
        <f>'[24]GABM_R03_NavidAPI-data'!$D29</f>
        <v>59</v>
      </c>
      <c r="F30">
        <f>'[25]GABM_R03_Terry-data'!$D29</f>
        <v>43</v>
      </c>
      <c r="G30">
        <f>'[26]GABM_R03_SarahAPI-data'!$D29</f>
        <v>19</v>
      </c>
      <c r="H30">
        <f>'[27]GABM_R03_savannah-data'!$D29</f>
        <v>70</v>
      </c>
      <c r="I30">
        <f>'[28]GABM_R03_MitchellAPI-data'!$D29</f>
        <v>13</v>
      </c>
      <c r="J30">
        <f>'[29]GABM_R03_SudipaAPI-data'!$D29</f>
        <v>69</v>
      </c>
      <c r="K30">
        <f>'[30]R03_GABM_run2-data'!$D29</f>
        <v>47</v>
      </c>
      <c r="L30">
        <f t="shared" si="0"/>
        <v>39.1</v>
      </c>
    </row>
    <row r="31" spans="1:12" x14ac:dyDescent="0.35">
      <c r="A31">
        <v>28</v>
      </c>
      <c r="B31">
        <f>'[21]R03_GABM-data'!$D30</f>
        <v>9</v>
      </c>
      <c r="C31">
        <f>'[22]GABM_R03_RossAPI-data'!$D30</f>
        <v>44</v>
      </c>
      <c r="D31">
        <f>'[23]GABM_R03_RandiAPI-data'!$D30</f>
        <v>28</v>
      </c>
      <c r="E31">
        <f>'[24]GABM_R03_NavidAPI-data'!$D30</f>
        <v>58</v>
      </c>
      <c r="F31">
        <f>'[25]GABM_R03_Terry-data'!$D30</f>
        <v>41</v>
      </c>
      <c r="G31">
        <f>'[26]GABM_R03_SarahAPI-data'!$D30</f>
        <v>15</v>
      </c>
      <c r="H31">
        <f>'[27]GABM_R03_savannah-data'!$D30</f>
        <v>79</v>
      </c>
      <c r="I31">
        <f>'[28]GABM_R03_MitchellAPI-data'!$D30</f>
        <v>9</v>
      </c>
      <c r="J31">
        <f>'[29]GABM_R03_SudipaAPI-data'!$D30</f>
        <v>75</v>
      </c>
      <c r="K31">
        <f>'[30]R03_GABM_run2-data'!$D30</f>
        <v>48</v>
      </c>
      <c r="L31">
        <f t="shared" si="0"/>
        <v>40.6</v>
      </c>
    </row>
    <row r="32" spans="1:12" x14ac:dyDescent="0.35">
      <c r="A32">
        <v>29</v>
      </c>
      <c r="B32">
        <f>'[21]R03_GABM-data'!$D31</f>
        <v>14</v>
      </c>
      <c r="C32">
        <f>'[22]GABM_R03_RossAPI-data'!$D31</f>
        <v>54</v>
      </c>
      <c r="D32">
        <f>'[23]GABM_R03_RandiAPI-data'!$D31</f>
        <v>27</v>
      </c>
      <c r="E32">
        <f>'[24]GABM_R03_NavidAPI-data'!$D31</f>
        <v>68</v>
      </c>
      <c r="F32">
        <f>'[25]GABM_R03_Terry-data'!$D31</f>
        <v>32</v>
      </c>
      <c r="G32">
        <f>'[26]GABM_R03_SarahAPI-data'!$D31</f>
        <v>11</v>
      </c>
      <c r="H32">
        <f>'[27]GABM_R03_savannah-data'!$D31</f>
        <v>85</v>
      </c>
      <c r="I32">
        <f>'[28]GABM_R03_MitchellAPI-data'!$D31</f>
        <v>11</v>
      </c>
      <c r="J32">
        <f>'[29]GABM_R03_SudipaAPI-data'!$D31</f>
        <v>74</v>
      </c>
      <c r="K32">
        <f>'[30]R03_GABM_run2-data'!$D31</f>
        <v>51</v>
      </c>
      <c r="L32">
        <f t="shared" si="0"/>
        <v>42.7</v>
      </c>
    </row>
    <row r="33" spans="1:12" x14ac:dyDescent="0.35">
      <c r="A33">
        <v>30</v>
      </c>
      <c r="B33">
        <f>'[21]R03_GABM-data'!$D32</f>
        <v>21</v>
      </c>
      <c r="C33">
        <f>'[22]GABM_R03_RossAPI-data'!$D32</f>
        <v>56</v>
      </c>
      <c r="D33">
        <f>'[23]GABM_R03_RandiAPI-data'!$D32</f>
        <v>26</v>
      </c>
      <c r="E33">
        <f>'[24]GABM_R03_NavidAPI-data'!$D32</f>
        <v>67</v>
      </c>
      <c r="F33">
        <f>'[25]GABM_R03_Terry-data'!$D32</f>
        <v>32</v>
      </c>
      <c r="G33">
        <f>'[26]GABM_R03_SarahAPI-data'!$D32</f>
        <v>11</v>
      </c>
      <c r="H33">
        <f>'[27]GABM_R03_savannah-data'!$D32</f>
        <v>88</v>
      </c>
      <c r="I33">
        <f>'[28]GABM_R03_MitchellAPI-data'!$D32</f>
        <v>13</v>
      </c>
      <c r="J33">
        <f>'[29]GABM_R03_SudipaAPI-data'!$D32</f>
        <v>71</v>
      </c>
      <c r="K33">
        <f>'[30]R03_GABM_run2-data'!$D32</f>
        <v>43</v>
      </c>
      <c r="L33">
        <f t="shared" si="0"/>
        <v>42.8</v>
      </c>
    </row>
    <row r="34" spans="1:12" x14ac:dyDescent="0.35">
      <c r="A34">
        <v>31</v>
      </c>
      <c r="B34">
        <f>'[21]R03_GABM-data'!$D33</f>
        <v>22</v>
      </c>
      <c r="C34">
        <f>'[22]GABM_R03_RossAPI-data'!$D33</f>
        <v>54</v>
      </c>
      <c r="D34">
        <f>'[23]GABM_R03_RandiAPI-data'!$D33</f>
        <v>23</v>
      </c>
      <c r="E34">
        <f>'[24]GABM_R03_NavidAPI-data'!$D33</f>
        <v>68</v>
      </c>
      <c r="F34">
        <f>'[25]GABM_R03_Terry-data'!$D33</f>
        <v>20</v>
      </c>
      <c r="G34">
        <f>'[26]GABM_R03_SarahAPI-data'!$D33</f>
        <v>8</v>
      </c>
      <c r="H34">
        <f>'[27]GABM_R03_savannah-data'!$D33</f>
        <v>82</v>
      </c>
      <c r="I34">
        <f>'[28]GABM_R03_MitchellAPI-data'!$D33</f>
        <v>19</v>
      </c>
      <c r="J34">
        <f>'[29]GABM_R03_SudipaAPI-data'!$D33</f>
        <v>52</v>
      </c>
      <c r="K34">
        <f>'[30]R03_GABM_run2-data'!$D33</f>
        <v>38</v>
      </c>
      <c r="L34">
        <f t="shared" si="0"/>
        <v>38.6</v>
      </c>
    </row>
    <row r="35" spans="1:12" x14ac:dyDescent="0.35">
      <c r="A35">
        <v>32</v>
      </c>
      <c r="B35">
        <f>'[21]R03_GABM-data'!$D34</f>
        <v>24</v>
      </c>
      <c r="C35">
        <f>'[22]GABM_R03_RossAPI-data'!$D34</f>
        <v>48</v>
      </c>
      <c r="D35">
        <f>'[23]GABM_R03_RandiAPI-data'!$D34</f>
        <v>19</v>
      </c>
      <c r="E35">
        <f>'[24]GABM_R03_NavidAPI-data'!$D34</f>
        <v>63</v>
      </c>
      <c r="F35">
        <f>'[25]GABM_R03_Terry-data'!$D34</f>
        <v>17</v>
      </c>
      <c r="G35">
        <f>'[26]GABM_R03_SarahAPI-data'!$D34</f>
        <v>11</v>
      </c>
      <c r="H35">
        <f>'[27]GABM_R03_savannah-data'!$D34</f>
        <v>71</v>
      </c>
      <c r="I35">
        <f>'[28]GABM_R03_MitchellAPI-data'!$D34</f>
        <v>33</v>
      </c>
      <c r="J35">
        <f>'[29]GABM_R03_SudipaAPI-data'!$D34</f>
        <v>43</v>
      </c>
      <c r="K35">
        <f>'[30]R03_GABM_run2-data'!$D34</f>
        <v>33</v>
      </c>
      <c r="L35">
        <f t="shared" si="0"/>
        <v>36.200000000000003</v>
      </c>
    </row>
    <row r="36" spans="1:12" x14ac:dyDescent="0.35">
      <c r="A36">
        <v>33</v>
      </c>
      <c r="B36">
        <f>'[21]R03_GABM-data'!$D35</f>
        <v>27</v>
      </c>
      <c r="C36">
        <f>'[22]GABM_R03_RossAPI-data'!$D35</f>
        <v>41</v>
      </c>
      <c r="D36">
        <f>'[23]GABM_R03_RandiAPI-data'!$D35</f>
        <v>14</v>
      </c>
      <c r="E36">
        <f>'[24]GABM_R03_NavidAPI-data'!$D35</f>
        <v>56</v>
      </c>
      <c r="F36">
        <f>'[25]GABM_R03_Terry-data'!$D35</f>
        <v>19</v>
      </c>
      <c r="G36">
        <f>'[26]GABM_R03_SarahAPI-data'!$D35</f>
        <v>11</v>
      </c>
      <c r="H36">
        <f>'[27]GABM_R03_savannah-data'!$D35</f>
        <v>60</v>
      </c>
      <c r="I36">
        <f>'[28]GABM_R03_MitchellAPI-data'!$D35</f>
        <v>36</v>
      </c>
      <c r="J36">
        <f>'[29]GABM_R03_SudipaAPI-data'!$D35</f>
        <v>28</v>
      </c>
      <c r="K36">
        <f>'[30]R03_GABM_run2-data'!$D35</f>
        <v>31</v>
      </c>
      <c r="L36">
        <f t="shared" si="0"/>
        <v>32.299999999999997</v>
      </c>
    </row>
    <row r="37" spans="1:12" x14ac:dyDescent="0.35">
      <c r="A37">
        <v>34</v>
      </c>
      <c r="B37">
        <f>'[21]R03_GABM-data'!$D36</f>
        <v>24</v>
      </c>
      <c r="C37">
        <f>'[22]GABM_R03_RossAPI-data'!$D36</f>
        <v>30</v>
      </c>
      <c r="D37">
        <f>'[23]GABM_R03_RandiAPI-data'!$D36</f>
        <v>9</v>
      </c>
      <c r="E37">
        <f>'[24]GABM_R03_NavidAPI-data'!$D36</f>
        <v>56</v>
      </c>
      <c r="F37">
        <f>'[25]GABM_R03_Terry-data'!$D36</f>
        <v>20</v>
      </c>
      <c r="G37">
        <f>'[26]GABM_R03_SarahAPI-data'!$D36</f>
        <v>12</v>
      </c>
      <c r="H37">
        <f>'[27]GABM_R03_savannah-data'!$D36</f>
        <v>48</v>
      </c>
      <c r="I37">
        <f>'[28]GABM_R03_MitchellAPI-data'!$D36</f>
        <v>44</v>
      </c>
      <c r="J37">
        <f>'[29]GABM_R03_SudipaAPI-data'!$D36</f>
        <v>13</v>
      </c>
      <c r="K37">
        <f>'[30]R03_GABM_run2-data'!$D36</f>
        <v>30</v>
      </c>
      <c r="L37">
        <f t="shared" si="0"/>
        <v>28.6</v>
      </c>
    </row>
    <row r="38" spans="1:12" x14ac:dyDescent="0.35">
      <c r="A38">
        <v>35</v>
      </c>
      <c r="B38">
        <f>'[21]R03_GABM-data'!$D37</f>
        <v>20</v>
      </c>
      <c r="C38">
        <f>'[22]GABM_R03_RossAPI-data'!$D37</f>
        <v>24</v>
      </c>
      <c r="D38">
        <f>'[23]GABM_R03_RandiAPI-data'!$D37</f>
        <v>8</v>
      </c>
      <c r="E38">
        <f>'[24]GABM_R03_NavidAPI-data'!$D37</f>
        <v>44</v>
      </c>
      <c r="F38">
        <f>'[25]GABM_R03_Terry-data'!$D37</f>
        <v>28</v>
      </c>
      <c r="G38">
        <f>'[26]GABM_R03_SarahAPI-data'!$D37</f>
        <v>12</v>
      </c>
      <c r="H38">
        <f>'[27]GABM_R03_savannah-data'!$D37</f>
        <v>42</v>
      </c>
      <c r="I38">
        <f>'[28]GABM_R03_MitchellAPI-data'!$D37</f>
        <v>50</v>
      </c>
      <c r="J38">
        <f>'[29]GABM_R03_SudipaAPI-data'!$D37</f>
        <v>8</v>
      </c>
      <c r="K38">
        <f>'[30]R03_GABM_run2-data'!$D37</f>
        <v>30</v>
      </c>
      <c r="L38">
        <f t="shared" si="0"/>
        <v>26.6</v>
      </c>
    </row>
    <row r="39" spans="1:12" x14ac:dyDescent="0.35">
      <c r="A39">
        <v>36</v>
      </c>
      <c r="B39">
        <f>'[21]R03_GABM-data'!$D38</f>
        <v>17</v>
      </c>
      <c r="C39">
        <f>'[22]GABM_R03_RossAPI-data'!$D38</f>
        <v>22</v>
      </c>
      <c r="D39">
        <f>'[23]GABM_R03_RandiAPI-data'!$D38</f>
        <v>9</v>
      </c>
      <c r="E39">
        <f>'[24]GABM_R03_NavidAPI-data'!$D38</f>
        <v>38</v>
      </c>
      <c r="F39">
        <f>'[25]GABM_R03_Terry-data'!$D38</f>
        <v>31</v>
      </c>
      <c r="G39">
        <f>'[26]GABM_R03_SarahAPI-data'!$D38</f>
        <v>12</v>
      </c>
      <c r="H39">
        <f>'[27]GABM_R03_savannah-data'!$D38</f>
        <v>41</v>
      </c>
      <c r="I39">
        <f>'[28]GABM_R03_MitchellAPI-data'!$D38</f>
        <v>49</v>
      </c>
      <c r="J39">
        <f>'[29]GABM_R03_SudipaAPI-data'!$D38</f>
        <v>4</v>
      </c>
      <c r="K39">
        <f>'[30]R03_GABM_run2-data'!$D38</f>
        <v>32</v>
      </c>
      <c r="L39">
        <f t="shared" si="0"/>
        <v>25.5</v>
      </c>
    </row>
    <row r="40" spans="1:12" x14ac:dyDescent="0.35">
      <c r="A40">
        <v>37</v>
      </c>
      <c r="B40">
        <f>'[21]R03_GABM-data'!$D39</f>
        <v>15</v>
      </c>
      <c r="C40">
        <f>'[22]GABM_R03_RossAPI-data'!$D39</f>
        <v>20</v>
      </c>
      <c r="D40">
        <f>'[23]GABM_R03_RandiAPI-data'!$D39</f>
        <v>8</v>
      </c>
      <c r="E40">
        <f>'[24]GABM_R03_NavidAPI-data'!$D39</f>
        <v>30</v>
      </c>
      <c r="F40">
        <f>'[25]GABM_R03_Terry-data'!$D39</f>
        <v>39</v>
      </c>
      <c r="G40">
        <f>'[26]GABM_R03_SarahAPI-data'!$D39</f>
        <v>13</v>
      </c>
      <c r="H40">
        <f>'[27]GABM_R03_savannah-data'!$D39</f>
        <v>38</v>
      </c>
      <c r="I40">
        <f>'[28]GABM_R03_MitchellAPI-data'!$D39</f>
        <v>48</v>
      </c>
      <c r="J40">
        <f>'[29]GABM_R03_SudipaAPI-data'!$D39</f>
        <v>3</v>
      </c>
      <c r="K40">
        <f>'[30]R03_GABM_run2-data'!$D39</f>
        <v>36</v>
      </c>
      <c r="L40">
        <f t="shared" si="0"/>
        <v>25</v>
      </c>
    </row>
    <row r="41" spans="1:12" x14ac:dyDescent="0.35">
      <c r="A41">
        <v>38</v>
      </c>
      <c r="B41">
        <f>'[21]R03_GABM-data'!$D40</f>
        <v>16</v>
      </c>
      <c r="C41">
        <f>'[22]GABM_R03_RossAPI-data'!$D40</f>
        <v>24</v>
      </c>
      <c r="D41">
        <f>'[23]GABM_R03_RandiAPI-data'!$D40</f>
        <v>12</v>
      </c>
      <c r="E41">
        <f>'[24]GABM_R03_NavidAPI-data'!$D40</f>
        <v>24</v>
      </c>
      <c r="F41">
        <f>'[25]GABM_R03_Terry-data'!$D40</f>
        <v>51</v>
      </c>
      <c r="G41">
        <f>'[26]GABM_R03_SarahAPI-data'!$D40</f>
        <v>12</v>
      </c>
      <c r="H41">
        <f>'[27]GABM_R03_savannah-data'!$D40</f>
        <v>39</v>
      </c>
      <c r="I41">
        <f>'[28]GABM_R03_MitchellAPI-data'!$D40</f>
        <v>39</v>
      </c>
      <c r="J41">
        <f>'[29]GABM_R03_SudipaAPI-data'!$D40</f>
        <v>3</v>
      </c>
      <c r="K41">
        <f>'[30]R03_GABM_run2-data'!$D40</f>
        <v>35</v>
      </c>
      <c r="L41">
        <f t="shared" si="0"/>
        <v>25.5</v>
      </c>
    </row>
    <row r="42" spans="1:12" x14ac:dyDescent="0.35">
      <c r="A42">
        <v>39</v>
      </c>
      <c r="B42">
        <f>'[21]R03_GABM-data'!$D41</f>
        <v>15</v>
      </c>
      <c r="C42">
        <f>'[22]GABM_R03_RossAPI-data'!$D41</f>
        <v>28</v>
      </c>
      <c r="D42">
        <f>'[23]GABM_R03_RandiAPI-data'!$D41</f>
        <v>12</v>
      </c>
      <c r="E42">
        <f>'[24]GABM_R03_NavidAPI-data'!$D41</f>
        <v>19</v>
      </c>
      <c r="F42">
        <f>'[25]GABM_R03_Terry-data'!$D41</f>
        <v>45</v>
      </c>
      <c r="G42">
        <f>'[26]GABM_R03_SarahAPI-data'!$D41</f>
        <v>14</v>
      </c>
      <c r="H42">
        <f>'[27]GABM_R03_savannah-data'!$D41</f>
        <v>37</v>
      </c>
      <c r="I42">
        <f>'[28]GABM_R03_MitchellAPI-data'!$D41</f>
        <v>39</v>
      </c>
      <c r="J42">
        <f>'[29]GABM_R03_SudipaAPI-data'!$D41</f>
        <v>3</v>
      </c>
      <c r="K42">
        <f>'[30]R03_GABM_run2-data'!$D41</f>
        <v>38</v>
      </c>
      <c r="L42">
        <f t="shared" si="0"/>
        <v>25</v>
      </c>
    </row>
    <row r="43" spans="1:12" x14ac:dyDescent="0.35">
      <c r="A43">
        <v>40</v>
      </c>
      <c r="B43">
        <f>'[21]R03_GABM-data'!$D42</f>
        <v>17</v>
      </c>
      <c r="C43">
        <f>'[22]GABM_R03_RossAPI-data'!$D42</f>
        <v>34</v>
      </c>
      <c r="D43">
        <f>'[23]GABM_R03_RandiAPI-data'!$D42</f>
        <v>16</v>
      </c>
      <c r="E43">
        <f>'[24]GABM_R03_NavidAPI-data'!$D42</f>
        <v>12</v>
      </c>
      <c r="F43">
        <f>'[25]GABM_R03_Terry-data'!$D42</f>
        <v>53</v>
      </c>
      <c r="G43">
        <f>'[26]GABM_R03_SarahAPI-data'!$D42</f>
        <v>14</v>
      </c>
      <c r="H43">
        <f>'[27]GABM_R03_savannah-data'!$D42</f>
        <v>35</v>
      </c>
      <c r="I43">
        <f>'[28]GABM_R03_MitchellAPI-data'!$D42</f>
        <v>41</v>
      </c>
      <c r="J43">
        <f>'[29]GABM_R03_SudipaAPI-data'!$D42</f>
        <v>3</v>
      </c>
      <c r="K43">
        <f>'[30]R03_GABM_run2-data'!$D42</f>
        <v>32</v>
      </c>
      <c r="L43">
        <f t="shared" si="0"/>
        <v>25.7</v>
      </c>
    </row>
    <row r="44" spans="1:12" x14ac:dyDescent="0.35">
      <c r="A44">
        <v>41</v>
      </c>
      <c r="B44">
        <f>'[21]R03_GABM-data'!$D43</f>
        <v>17</v>
      </c>
      <c r="C44">
        <f>'[22]GABM_R03_RossAPI-data'!$D43</f>
        <v>37</v>
      </c>
      <c r="D44">
        <f>'[23]GABM_R03_RandiAPI-data'!$D43</f>
        <v>16</v>
      </c>
      <c r="E44">
        <f>'[24]GABM_R03_NavidAPI-data'!$D43</f>
        <v>11</v>
      </c>
      <c r="F44">
        <f>'[25]GABM_R03_Terry-data'!$D43</f>
        <v>52</v>
      </c>
      <c r="G44">
        <f>'[26]GABM_R03_SarahAPI-data'!$D43</f>
        <v>16</v>
      </c>
      <c r="H44">
        <f>'[27]GABM_R03_savannah-data'!$D43</f>
        <v>33</v>
      </c>
      <c r="I44">
        <f>'[28]GABM_R03_MitchellAPI-data'!$D43</f>
        <v>33</v>
      </c>
      <c r="J44">
        <f>'[29]GABM_R03_SudipaAPI-data'!$D43</f>
        <v>3</v>
      </c>
      <c r="K44">
        <f>'[30]R03_GABM_run2-data'!$D43</f>
        <v>28</v>
      </c>
      <c r="L44">
        <f t="shared" si="0"/>
        <v>24.6</v>
      </c>
    </row>
    <row r="45" spans="1:12" x14ac:dyDescent="0.35">
      <c r="A45">
        <v>42</v>
      </c>
      <c r="B45">
        <f>'[21]R03_GABM-data'!$D44</f>
        <v>14</v>
      </c>
      <c r="C45">
        <f>'[22]GABM_R03_RossAPI-data'!$D44</f>
        <v>44</v>
      </c>
      <c r="D45">
        <f>'[23]GABM_R03_RandiAPI-data'!$D44</f>
        <v>15</v>
      </c>
      <c r="E45">
        <f>'[24]GABM_R03_NavidAPI-data'!$D44</f>
        <v>10</v>
      </c>
      <c r="F45">
        <f>'[25]GABM_R03_Terry-data'!$D44</f>
        <v>49</v>
      </c>
      <c r="G45">
        <f>'[26]GABM_R03_SarahAPI-data'!$D44</f>
        <v>16</v>
      </c>
      <c r="H45">
        <f>'[27]GABM_R03_savannah-data'!$D44</f>
        <v>27</v>
      </c>
      <c r="I45">
        <f>'[28]GABM_R03_MitchellAPI-data'!$D44</f>
        <v>35</v>
      </c>
      <c r="J45">
        <f>'[29]GABM_R03_SudipaAPI-data'!$D44</f>
        <v>5</v>
      </c>
      <c r="K45">
        <f>'[30]R03_GABM_run2-data'!$D44</f>
        <v>24</v>
      </c>
      <c r="L45">
        <f t="shared" si="0"/>
        <v>23.9</v>
      </c>
    </row>
    <row r="46" spans="1:12" x14ac:dyDescent="0.35">
      <c r="A46">
        <v>43</v>
      </c>
      <c r="B46">
        <f>'[21]R03_GABM-data'!$D45</f>
        <v>13</v>
      </c>
      <c r="C46">
        <f>'[22]GABM_R03_RossAPI-data'!$D45</f>
        <v>50</v>
      </c>
      <c r="D46">
        <f>'[23]GABM_R03_RandiAPI-data'!$D45</f>
        <v>14</v>
      </c>
      <c r="E46">
        <f>'[24]GABM_R03_NavidAPI-data'!$D45</f>
        <v>15</v>
      </c>
      <c r="F46">
        <f>'[25]GABM_R03_Terry-data'!$D45</f>
        <v>44</v>
      </c>
      <c r="G46">
        <f>'[26]GABM_R03_SarahAPI-data'!$D45</f>
        <v>18</v>
      </c>
      <c r="H46">
        <f>'[27]GABM_R03_savannah-data'!$D45</f>
        <v>27</v>
      </c>
      <c r="I46">
        <f>'[28]GABM_R03_MitchellAPI-data'!$D45</f>
        <v>38</v>
      </c>
      <c r="J46">
        <f>'[29]GABM_R03_SudipaAPI-data'!$D45</f>
        <v>11</v>
      </c>
      <c r="K46">
        <f>'[30]R03_GABM_run2-data'!$D45</f>
        <v>20</v>
      </c>
      <c r="L46">
        <f t="shared" si="0"/>
        <v>25</v>
      </c>
    </row>
    <row r="47" spans="1:12" x14ac:dyDescent="0.35">
      <c r="A47">
        <v>44</v>
      </c>
      <c r="B47">
        <f>'[21]R03_GABM-data'!$D46</f>
        <v>10</v>
      </c>
      <c r="C47">
        <f>'[22]GABM_R03_RossAPI-data'!$D46</f>
        <v>52</v>
      </c>
      <c r="D47">
        <f>'[23]GABM_R03_RandiAPI-data'!$D46</f>
        <v>11</v>
      </c>
      <c r="E47">
        <f>'[24]GABM_R03_NavidAPI-data'!$D46</f>
        <v>16</v>
      </c>
      <c r="F47">
        <f>'[25]GABM_R03_Terry-data'!$D46</f>
        <v>33</v>
      </c>
      <c r="G47">
        <f>'[26]GABM_R03_SarahAPI-data'!$D46</f>
        <v>17</v>
      </c>
      <c r="H47">
        <f>'[27]GABM_R03_savannah-data'!$D46</f>
        <v>21</v>
      </c>
      <c r="I47">
        <f>'[28]GABM_R03_MitchellAPI-data'!$D46</f>
        <v>39</v>
      </c>
      <c r="J47">
        <f>'[29]GABM_R03_SudipaAPI-data'!$D46</f>
        <v>19</v>
      </c>
      <c r="K47">
        <f>'[30]R03_GABM_run2-data'!$D46</f>
        <v>16</v>
      </c>
      <c r="L47">
        <f t="shared" si="0"/>
        <v>23.4</v>
      </c>
    </row>
    <row r="48" spans="1:12" x14ac:dyDescent="0.35">
      <c r="A48">
        <v>45</v>
      </c>
      <c r="B48">
        <f>'[21]R03_GABM-data'!$D47</f>
        <v>7</v>
      </c>
      <c r="C48">
        <f>'[22]GABM_R03_RossAPI-data'!$D47</f>
        <v>50</v>
      </c>
      <c r="D48">
        <f>'[23]GABM_R03_RandiAPI-data'!$D47</f>
        <v>9</v>
      </c>
      <c r="E48">
        <f>'[24]GABM_R03_NavidAPI-data'!$D47</f>
        <v>22</v>
      </c>
      <c r="F48">
        <f>'[25]GABM_R03_Terry-data'!$D47</f>
        <v>30</v>
      </c>
      <c r="G48">
        <f>'[26]GABM_R03_SarahAPI-data'!$D47</f>
        <v>15</v>
      </c>
      <c r="H48">
        <f>'[27]GABM_R03_savannah-data'!$D47</f>
        <v>19</v>
      </c>
      <c r="I48">
        <f>'[28]GABM_R03_MitchellAPI-data'!$D47</f>
        <v>43</v>
      </c>
      <c r="J48">
        <f>'[29]GABM_R03_SudipaAPI-data'!$D47</f>
        <v>36</v>
      </c>
      <c r="K48">
        <f>'[30]R03_GABM_run2-data'!$D47</f>
        <v>11</v>
      </c>
      <c r="L48">
        <f t="shared" si="0"/>
        <v>24.2</v>
      </c>
    </row>
    <row r="49" spans="1:12" x14ac:dyDescent="0.35">
      <c r="A49">
        <v>46</v>
      </c>
      <c r="B49">
        <f>'[21]R03_GABM-data'!$D48</f>
        <v>4</v>
      </c>
      <c r="C49">
        <f>'[22]GABM_R03_RossAPI-data'!$D48</f>
        <v>51</v>
      </c>
      <c r="D49">
        <f>'[23]GABM_R03_RandiAPI-data'!$D48</f>
        <v>5</v>
      </c>
      <c r="E49">
        <f>'[24]GABM_R03_NavidAPI-data'!$D48</f>
        <v>22</v>
      </c>
      <c r="F49">
        <f>'[25]GABM_R03_Terry-data'!$D48</f>
        <v>21</v>
      </c>
      <c r="G49">
        <f>'[26]GABM_R03_SarahAPI-data'!$D48</f>
        <v>14</v>
      </c>
      <c r="H49">
        <f>'[27]GABM_R03_savannah-data'!$D48</f>
        <v>16</v>
      </c>
      <c r="I49">
        <f>'[28]GABM_R03_MitchellAPI-data'!$D48</f>
        <v>42</v>
      </c>
      <c r="J49">
        <f>'[29]GABM_R03_SudipaAPI-data'!$D48</f>
        <v>49</v>
      </c>
      <c r="K49">
        <f>'[30]R03_GABM_run2-data'!$D48</f>
        <v>11</v>
      </c>
      <c r="L49">
        <f t="shared" si="0"/>
        <v>23.5</v>
      </c>
    </row>
    <row r="50" spans="1:12" x14ac:dyDescent="0.35">
      <c r="A50">
        <v>47</v>
      </c>
      <c r="B50">
        <f>'[21]R03_GABM-data'!$D49</f>
        <v>4</v>
      </c>
      <c r="C50">
        <f>'[22]GABM_R03_RossAPI-data'!$D49</f>
        <v>47</v>
      </c>
      <c r="D50">
        <f>'[23]GABM_R03_RandiAPI-data'!$D49</f>
        <v>4</v>
      </c>
      <c r="E50">
        <f>'[24]GABM_R03_NavidAPI-data'!$D49</f>
        <v>19</v>
      </c>
      <c r="F50">
        <f>'[25]GABM_R03_Terry-data'!$D49</f>
        <v>14</v>
      </c>
      <c r="G50">
        <f>'[26]GABM_R03_SarahAPI-data'!$D49</f>
        <v>12</v>
      </c>
      <c r="H50">
        <f>'[27]GABM_R03_savannah-data'!$D49</f>
        <v>14</v>
      </c>
      <c r="I50">
        <f>'[28]GABM_R03_MitchellAPI-data'!$D49</f>
        <v>49</v>
      </c>
      <c r="J50">
        <f>'[29]GABM_R03_SudipaAPI-data'!$D49</f>
        <v>66</v>
      </c>
      <c r="K50">
        <f>'[30]R03_GABM_run2-data'!$D49</f>
        <v>8</v>
      </c>
      <c r="L50">
        <f t="shared" si="0"/>
        <v>23.7</v>
      </c>
    </row>
    <row r="51" spans="1:12" x14ac:dyDescent="0.35">
      <c r="A51">
        <v>48</v>
      </c>
      <c r="B51">
        <f>'[21]R03_GABM-data'!$D50</f>
        <v>9</v>
      </c>
      <c r="C51">
        <f>'[22]GABM_R03_RossAPI-data'!$D50</f>
        <v>44</v>
      </c>
      <c r="D51">
        <f>'[23]GABM_R03_RandiAPI-data'!$D50</f>
        <v>2</v>
      </c>
      <c r="E51">
        <f>'[24]GABM_R03_NavidAPI-data'!$D50</f>
        <v>16</v>
      </c>
      <c r="F51">
        <f>'[25]GABM_R03_Terry-data'!$D50</f>
        <v>10</v>
      </c>
      <c r="G51">
        <f>'[26]GABM_R03_SarahAPI-data'!$D50</f>
        <v>12</v>
      </c>
      <c r="H51">
        <f>'[27]GABM_R03_savannah-data'!$D50</f>
        <v>12</v>
      </c>
      <c r="I51">
        <f>'[28]GABM_R03_MitchellAPI-data'!$D50</f>
        <v>54</v>
      </c>
      <c r="J51">
        <f>'[29]GABM_R03_SudipaAPI-data'!$D50</f>
        <v>74</v>
      </c>
      <c r="K51">
        <f>'[30]R03_GABM_run2-data'!$D50</f>
        <v>7</v>
      </c>
      <c r="L51">
        <f t="shared" si="0"/>
        <v>24</v>
      </c>
    </row>
    <row r="52" spans="1:12" x14ac:dyDescent="0.35">
      <c r="A52">
        <v>49</v>
      </c>
      <c r="B52">
        <f>'[21]R03_GABM-data'!$D51</f>
        <v>15</v>
      </c>
      <c r="C52">
        <f>'[22]GABM_R03_RossAPI-data'!$D51</f>
        <v>43</v>
      </c>
      <c r="D52">
        <f>'[23]GABM_R03_RandiAPI-data'!$D51</f>
        <v>2</v>
      </c>
      <c r="E52">
        <f>'[24]GABM_R03_NavidAPI-data'!$D51</f>
        <v>12</v>
      </c>
      <c r="F52">
        <f>'[25]GABM_R03_Terry-data'!$D51</f>
        <v>6</v>
      </c>
      <c r="G52">
        <f>'[26]GABM_R03_SarahAPI-data'!$D51</f>
        <v>13</v>
      </c>
      <c r="H52">
        <f>'[27]GABM_R03_savannah-data'!$D51</f>
        <v>12</v>
      </c>
      <c r="I52">
        <f>'[28]GABM_R03_MitchellAPI-data'!$D51</f>
        <v>56</v>
      </c>
      <c r="J52">
        <f>'[29]GABM_R03_SudipaAPI-data'!$D51</f>
        <v>70</v>
      </c>
      <c r="K52">
        <f>'[30]R03_GABM_run2-data'!$D51</f>
        <v>5</v>
      </c>
      <c r="L52">
        <f t="shared" si="0"/>
        <v>23.4</v>
      </c>
    </row>
    <row r="53" spans="1:12" x14ac:dyDescent="0.35">
      <c r="A53">
        <v>50</v>
      </c>
      <c r="B53">
        <f>'[21]R03_GABM-data'!$D52</f>
        <v>20</v>
      </c>
      <c r="C53">
        <f>'[22]GABM_R03_RossAPI-data'!$D52</f>
        <v>36</v>
      </c>
      <c r="D53">
        <f>'[23]GABM_R03_RandiAPI-data'!$D52</f>
        <v>1</v>
      </c>
      <c r="E53">
        <f>'[24]GABM_R03_NavidAPI-data'!$D52</f>
        <v>11</v>
      </c>
      <c r="F53">
        <f>'[25]GABM_R03_Terry-data'!$D52</f>
        <v>4</v>
      </c>
      <c r="G53">
        <f>'[26]GABM_R03_SarahAPI-data'!$D52</f>
        <v>13</v>
      </c>
      <c r="H53">
        <f>'[27]GABM_R03_savannah-data'!$D52</f>
        <v>10</v>
      </c>
      <c r="I53">
        <f>'[28]GABM_R03_MitchellAPI-data'!$D52</f>
        <v>56</v>
      </c>
      <c r="J53">
        <f>'[29]GABM_R03_SudipaAPI-data'!$D52</f>
        <v>68</v>
      </c>
      <c r="K53">
        <f>'[30]R03_GABM_run2-data'!$D52</f>
        <v>3</v>
      </c>
      <c r="L53">
        <f t="shared" si="0"/>
        <v>22.2</v>
      </c>
    </row>
    <row r="54" spans="1:12" x14ac:dyDescent="0.35">
      <c r="A54">
        <v>51</v>
      </c>
      <c r="B54">
        <f>'[21]R03_GABM-data'!$D53</f>
        <v>26</v>
      </c>
      <c r="C54">
        <f>'[22]GABM_R03_RossAPI-data'!$D53</f>
        <v>32</v>
      </c>
      <c r="D54">
        <f>'[23]GABM_R03_RandiAPI-data'!$D53</f>
        <v>1</v>
      </c>
      <c r="E54">
        <f>'[24]GABM_R03_NavidAPI-data'!$D53</f>
        <v>5</v>
      </c>
      <c r="F54">
        <f>'[25]GABM_R03_Terry-data'!$D53</f>
        <v>3</v>
      </c>
      <c r="G54">
        <f>'[26]GABM_R03_SarahAPI-data'!$D53</f>
        <v>16</v>
      </c>
      <c r="H54">
        <f>'[27]GABM_R03_savannah-data'!$D53</f>
        <v>9</v>
      </c>
      <c r="I54">
        <f>'[28]GABM_R03_MitchellAPI-data'!$D53</f>
        <v>62</v>
      </c>
      <c r="J54">
        <f>'[29]GABM_R03_SudipaAPI-data'!$D53</f>
        <v>54</v>
      </c>
      <c r="K54">
        <f>'[30]R03_GABM_run2-data'!$D53</f>
        <v>2</v>
      </c>
      <c r="L54">
        <f t="shared" si="0"/>
        <v>21</v>
      </c>
    </row>
    <row r="55" spans="1:12" x14ac:dyDescent="0.35">
      <c r="A55">
        <v>52</v>
      </c>
      <c r="B55">
        <f>'[21]R03_GABM-data'!$D54</f>
        <v>30</v>
      </c>
      <c r="C55">
        <f>'[22]GABM_R03_RossAPI-data'!$D54</f>
        <v>24</v>
      </c>
      <c r="D55">
        <f>'[23]GABM_R03_RandiAPI-data'!$D54</f>
        <v>1</v>
      </c>
      <c r="E55">
        <f>'[24]GABM_R03_NavidAPI-data'!$D54</f>
        <v>5</v>
      </c>
      <c r="F55">
        <f>'[25]GABM_R03_Terry-data'!$D54</f>
        <v>4</v>
      </c>
      <c r="G55">
        <f>'[26]GABM_R03_SarahAPI-data'!$D54</f>
        <v>20</v>
      </c>
      <c r="H55">
        <f>'[27]GABM_R03_savannah-data'!$D54</f>
        <v>8</v>
      </c>
      <c r="I55">
        <f>'[28]GABM_R03_MitchellAPI-data'!$D54</f>
        <v>63</v>
      </c>
      <c r="J55">
        <f>'[29]GABM_R03_SudipaAPI-data'!$D54</f>
        <v>43</v>
      </c>
      <c r="K55">
        <f>'[30]R03_GABM_run2-data'!$D54</f>
        <v>3</v>
      </c>
      <c r="L55">
        <f t="shared" si="0"/>
        <v>20.100000000000001</v>
      </c>
    </row>
    <row r="56" spans="1:12" x14ac:dyDescent="0.35">
      <c r="A56">
        <v>53</v>
      </c>
      <c r="B56">
        <f>'[21]R03_GABM-data'!$D55</f>
        <v>35</v>
      </c>
      <c r="C56">
        <f>'[22]GABM_R03_RossAPI-data'!$D55</f>
        <v>21</v>
      </c>
      <c r="D56">
        <f>'[23]GABM_R03_RandiAPI-data'!$D55</f>
        <v>0</v>
      </c>
      <c r="E56">
        <f>'[24]GABM_R03_NavidAPI-data'!$D55</f>
        <v>6</v>
      </c>
      <c r="F56">
        <f>'[25]GABM_R03_Terry-data'!$D55</f>
        <v>6</v>
      </c>
      <c r="G56">
        <f>'[26]GABM_R03_SarahAPI-data'!$D55</f>
        <v>23</v>
      </c>
      <c r="H56">
        <f>'[27]GABM_R03_savannah-data'!$D55</f>
        <v>5</v>
      </c>
      <c r="I56">
        <f>'[28]GABM_R03_MitchellAPI-data'!$D55</f>
        <v>68</v>
      </c>
      <c r="J56">
        <f>'[29]GABM_R03_SudipaAPI-data'!$D55</f>
        <v>29</v>
      </c>
      <c r="K56">
        <f>'[30]R03_GABM_run2-data'!$D55</f>
        <v>2</v>
      </c>
      <c r="L56">
        <f t="shared" si="0"/>
        <v>19.5</v>
      </c>
    </row>
    <row r="57" spans="1:12" x14ac:dyDescent="0.35">
      <c r="A57">
        <v>54</v>
      </c>
      <c r="B57">
        <f>'[21]R03_GABM-data'!$D56</f>
        <v>30</v>
      </c>
      <c r="C57">
        <f>'[22]GABM_R03_RossAPI-data'!$D56</f>
        <v>20</v>
      </c>
      <c r="D57">
        <f>'[23]GABM_R03_RandiAPI-data'!$D56</f>
        <v>0</v>
      </c>
      <c r="E57">
        <f>'[24]GABM_R03_NavidAPI-data'!$D56</f>
        <v>8</v>
      </c>
      <c r="F57">
        <f>'[25]GABM_R03_Terry-data'!$D56</f>
        <v>10</v>
      </c>
      <c r="G57">
        <f>'[26]GABM_R03_SarahAPI-data'!$D56</f>
        <v>25</v>
      </c>
      <c r="H57">
        <f>'[27]GABM_R03_savannah-data'!$D56</f>
        <v>4</v>
      </c>
      <c r="I57">
        <f>'[28]GABM_R03_MitchellAPI-data'!$D56</f>
        <v>65</v>
      </c>
      <c r="J57">
        <f>'[29]GABM_R03_SudipaAPI-data'!$D56</f>
        <v>18</v>
      </c>
      <c r="K57">
        <f>'[30]R03_GABM_run2-data'!$D56</f>
        <v>4</v>
      </c>
      <c r="L57">
        <f t="shared" si="0"/>
        <v>18.399999999999999</v>
      </c>
    </row>
    <row r="58" spans="1:12" x14ac:dyDescent="0.35">
      <c r="A58">
        <v>55</v>
      </c>
      <c r="B58">
        <f>'[21]R03_GABM-data'!$D57</f>
        <v>28</v>
      </c>
      <c r="C58">
        <f>'[22]GABM_R03_RossAPI-data'!$D57</f>
        <v>17</v>
      </c>
      <c r="D58">
        <f>'[23]GABM_R03_RandiAPI-data'!$D57</f>
        <v>0</v>
      </c>
      <c r="E58">
        <f>'[24]GABM_R03_NavidAPI-data'!$D57</f>
        <v>12</v>
      </c>
      <c r="F58">
        <f>'[25]GABM_R03_Terry-data'!$D57</f>
        <v>15</v>
      </c>
      <c r="G58">
        <f>'[26]GABM_R03_SarahAPI-data'!$D57</f>
        <v>22</v>
      </c>
      <c r="H58">
        <f>'[27]GABM_R03_savannah-data'!$D57</f>
        <v>4</v>
      </c>
      <c r="I58">
        <f>'[28]GABM_R03_MitchellAPI-data'!$D57</f>
        <v>62</v>
      </c>
      <c r="J58">
        <f>'[29]GABM_R03_SudipaAPI-data'!$D57</f>
        <v>17</v>
      </c>
      <c r="K58">
        <f>'[30]R03_GABM_run2-data'!$D57</f>
        <v>7</v>
      </c>
      <c r="L58">
        <f t="shared" si="0"/>
        <v>18.399999999999999</v>
      </c>
    </row>
    <row r="59" spans="1:12" x14ac:dyDescent="0.35">
      <c r="A59">
        <v>56</v>
      </c>
      <c r="B59">
        <f>'[21]R03_GABM-data'!$D58</f>
        <v>23</v>
      </c>
      <c r="C59">
        <f>'[22]GABM_R03_RossAPI-data'!$D58</f>
        <v>21</v>
      </c>
      <c r="D59">
        <f>'[23]GABM_R03_RandiAPI-data'!$D58</f>
        <v>0</v>
      </c>
      <c r="E59">
        <f>'[24]GABM_R03_NavidAPI-data'!$D58</f>
        <v>15</v>
      </c>
      <c r="F59">
        <f>'[25]GABM_R03_Terry-data'!$D58</f>
        <v>21</v>
      </c>
      <c r="G59">
        <f>'[26]GABM_R03_SarahAPI-data'!$D58</f>
        <v>24</v>
      </c>
      <c r="H59">
        <f>'[27]GABM_R03_savannah-data'!$D58</f>
        <v>5</v>
      </c>
      <c r="I59">
        <f>'[28]GABM_R03_MitchellAPI-data'!$D58</f>
        <v>61</v>
      </c>
      <c r="J59">
        <f>'[29]GABM_R03_SudipaAPI-data'!$D58</f>
        <v>12</v>
      </c>
      <c r="K59">
        <f>'[30]R03_GABM_run2-data'!$D58</f>
        <v>8</v>
      </c>
      <c r="L59">
        <f t="shared" si="0"/>
        <v>19</v>
      </c>
    </row>
    <row r="60" spans="1:12" x14ac:dyDescent="0.35">
      <c r="A60">
        <v>57</v>
      </c>
      <c r="B60">
        <f>'[21]R03_GABM-data'!$D59</f>
        <v>19</v>
      </c>
      <c r="C60">
        <f>'[22]GABM_R03_RossAPI-data'!$D59</f>
        <v>24</v>
      </c>
      <c r="D60">
        <f>'[23]GABM_R03_RandiAPI-data'!$D59</f>
        <v>0</v>
      </c>
      <c r="E60">
        <f>'[24]GABM_R03_NavidAPI-data'!$D59</f>
        <v>20</v>
      </c>
      <c r="F60">
        <f>'[25]GABM_R03_Terry-data'!$D59</f>
        <v>24</v>
      </c>
      <c r="G60">
        <f>'[26]GABM_R03_SarahAPI-data'!$D59</f>
        <v>22</v>
      </c>
      <c r="H60">
        <f>'[27]GABM_R03_savannah-data'!$D59</f>
        <v>8</v>
      </c>
      <c r="I60">
        <f>'[28]GABM_R03_MitchellAPI-data'!$D59</f>
        <v>48</v>
      </c>
      <c r="J60">
        <f>'[29]GABM_R03_SudipaAPI-data'!$D59</f>
        <v>10</v>
      </c>
      <c r="K60">
        <f>'[30]R03_GABM_run2-data'!$D59</f>
        <v>15</v>
      </c>
      <c r="L60">
        <f t="shared" si="0"/>
        <v>19</v>
      </c>
    </row>
    <row r="61" spans="1:12" x14ac:dyDescent="0.35">
      <c r="A61">
        <v>58</v>
      </c>
      <c r="B61">
        <f>'[21]R03_GABM-data'!$D60</f>
        <v>16</v>
      </c>
      <c r="C61">
        <f>'[22]GABM_R03_RossAPI-data'!$D60</f>
        <v>27</v>
      </c>
      <c r="D61">
        <f>'[23]GABM_R03_RandiAPI-data'!$D60</f>
        <v>0</v>
      </c>
      <c r="E61">
        <f>'[24]GABM_R03_NavidAPI-data'!$D60</f>
        <v>26</v>
      </c>
      <c r="F61">
        <f>'[25]GABM_R03_Terry-data'!$D60</f>
        <v>24</v>
      </c>
      <c r="G61">
        <f>'[26]GABM_R03_SarahAPI-data'!$D60</f>
        <v>18</v>
      </c>
      <c r="H61">
        <f>'[27]GABM_R03_savannah-data'!$D60</f>
        <v>9</v>
      </c>
      <c r="I61">
        <f>'[28]GABM_R03_MitchellAPI-data'!$D60</f>
        <v>42</v>
      </c>
      <c r="J61">
        <f>'[29]GABM_R03_SudipaAPI-data'!$D60</f>
        <v>12</v>
      </c>
      <c r="K61">
        <f>'[30]R03_GABM_run2-data'!$D60</f>
        <v>17</v>
      </c>
      <c r="L61">
        <f t="shared" si="0"/>
        <v>19.100000000000001</v>
      </c>
    </row>
    <row r="62" spans="1:12" x14ac:dyDescent="0.35">
      <c r="A62">
        <v>59</v>
      </c>
      <c r="B62">
        <f>'[21]R03_GABM-data'!$D61</f>
        <v>10</v>
      </c>
      <c r="C62">
        <f>'[22]GABM_R03_RossAPI-data'!$D61</f>
        <v>26</v>
      </c>
      <c r="D62">
        <f>'[23]GABM_R03_RandiAPI-data'!$D61</f>
        <v>0</v>
      </c>
      <c r="E62">
        <f>'[24]GABM_R03_NavidAPI-data'!$D61</f>
        <v>29</v>
      </c>
      <c r="F62">
        <f>'[25]GABM_R03_Terry-data'!$D61</f>
        <v>22</v>
      </c>
      <c r="G62">
        <f>'[26]GABM_R03_SarahAPI-data'!$D61</f>
        <v>16</v>
      </c>
      <c r="H62">
        <f>'[27]GABM_R03_savannah-data'!$D61</f>
        <v>11</v>
      </c>
      <c r="I62">
        <f>'[28]GABM_R03_MitchellAPI-data'!$D61</f>
        <v>27</v>
      </c>
      <c r="J62">
        <f>'[29]GABM_R03_SudipaAPI-data'!$D61</f>
        <v>11</v>
      </c>
      <c r="K62">
        <f>'[30]R03_GABM_run2-data'!$D61</f>
        <v>22</v>
      </c>
      <c r="L62">
        <f t="shared" si="0"/>
        <v>17.399999999999999</v>
      </c>
    </row>
    <row r="63" spans="1:12" x14ac:dyDescent="0.35">
      <c r="A63">
        <v>60</v>
      </c>
      <c r="B63">
        <f>'[21]R03_GABM-data'!$D62</f>
        <v>15</v>
      </c>
      <c r="C63">
        <f>'[22]GABM_R03_RossAPI-data'!$D62</f>
        <v>19</v>
      </c>
      <c r="D63">
        <f>'[23]GABM_R03_RandiAPI-data'!$D62</f>
        <v>0</v>
      </c>
      <c r="E63">
        <f>'[24]GABM_R03_NavidAPI-data'!$D62</f>
        <v>32</v>
      </c>
      <c r="F63">
        <f>'[25]GABM_R03_Terry-data'!$D62</f>
        <v>20</v>
      </c>
      <c r="G63">
        <f>'[26]GABM_R03_SarahAPI-data'!$D62</f>
        <v>14</v>
      </c>
      <c r="H63">
        <f>'[27]GABM_R03_savannah-data'!$D62</f>
        <v>12</v>
      </c>
      <c r="I63">
        <f>'[28]GABM_R03_MitchellAPI-data'!$D62</f>
        <v>19</v>
      </c>
      <c r="J63">
        <f>'[29]GABM_R03_SudipaAPI-data'!$D62</f>
        <v>12</v>
      </c>
      <c r="K63">
        <f>'[30]R03_GABM_run2-data'!$D62</f>
        <v>24</v>
      </c>
      <c r="L63">
        <f t="shared" si="0"/>
        <v>16.7</v>
      </c>
    </row>
    <row r="64" spans="1:12" x14ac:dyDescent="0.35">
      <c r="A64">
        <v>61</v>
      </c>
      <c r="B64">
        <f>'[21]R03_GABM-data'!$D63</f>
        <v>13</v>
      </c>
      <c r="C64">
        <f>'[22]GABM_R03_RossAPI-data'!$D63</f>
        <v>15</v>
      </c>
      <c r="D64">
        <f>'[23]GABM_R03_RandiAPI-data'!$D63</f>
        <v>0</v>
      </c>
      <c r="E64">
        <f>'[24]GABM_R03_NavidAPI-data'!$D63</f>
        <v>28</v>
      </c>
      <c r="F64">
        <f>'[25]GABM_R03_Terry-data'!$D63</f>
        <v>15</v>
      </c>
      <c r="G64">
        <f>'[26]GABM_R03_SarahAPI-data'!$D63</f>
        <v>16</v>
      </c>
      <c r="H64">
        <f>'[27]GABM_R03_savannah-data'!$D63</f>
        <v>11</v>
      </c>
      <c r="I64">
        <f>'[28]GABM_R03_MitchellAPI-data'!$D63</f>
        <v>12</v>
      </c>
      <c r="J64">
        <f>'[29]GABM_R03_SudipaAPI-data'!$D63</f>
        <v>11</v>
      </c>
      <c r="K64">
        <f>'[30]R03_GABM_run2-data'!$D63</f>
        <v>26</v>
      </c>
      <c r="L64">
        <f t="shared" si="0"/>
        <v>14.7</v>
      </c>
    </row>
    <row r="65" spans="1:12" x14ac:dyDescent="0.35">
      <c r="A65">
        <v>62</v>
      </c>
      <c r="B65">
        <f>'[21]R03_GABM-data'!$D64</f>
        <v>15</v>
      </c>
      <c r="C65">
        <f>'[22]GABM_R03_RossAPI-data'!$D64</f>
        <v>10</v>
      </c>
      <c r="D65">
        <f>'[23]GABM_R03_RandiAPI-data'!$D64</f>
        <v>0</v>
      </c>
      <c r="E65">
        <f>'[24]GABM_R03_NavidAPI-data'!$D64</f>
        <v>26</v>
      </c>
      <c r="F65">
        <f>'[25]GABM_R03_Terry-data'!$D64</f>
        <v>9</v>
      </c>
      <c r="G65">
        <f>'[26]GABM_R03_SarahAPI-data'!$D64</f>
        <v>16</v>
      </c>
      <c r="H65">
        <f>'[27]GABM_R03_savannah-data'!$D64</f>
        <v>11</v>
      </c>
      <c r="I65">
        <f>'[28]GABM_R03_MitchellAPI-data'!$D64</f>
        <v>5</v>
      </c>
      <c r="J65">
        <f>'[29]GABM_R03_SudipaAPI-data'!$D64</f>
        <v>12</v>
      </c>
      <c r="K65">
        <f>'[30]R03_GABM_run2-data'!$D64</f>
        <v>29</v>
      </c>
      <c r="L65">
        <f t="shared" si="0"/>
        <v>13.3</v>
      </c>
    </row>
    <row r="66" spans="1:12" x14ac:dyDescent="0.35">
      <c r="A66">
        <v>63</v>
      </c>
      <c r="B66">
        <f>'[21]R03_GABM-data'!$D65</f>
        <v>15</v>
      </c>
      <c r="C66">
        <f>'[22]GABM_R03_RossAPI-data'!$D65</f>
        <v>5</v>
      </c>
      <c r="D66">
        <f>'[23]GABM_R03_RandiAPI-data'!$D65</f>
        <v>0</v>
      </c>
      <c r="E66">
        <f>'[24]GABM_R03_NavidAPI-data'!$D65</f>
        <v>21</v>
      </c>
      <c r="F66">
        <f>'[25]GABM_R03_Terry-data'!$D65</f>
        <v>11</v>
      </c>
      <c r="G66">
        <f>'[26]GABM_R03_SarahAPI-data'!$D65</f>
        <v>16</v>
      </c>
      <c r="H66">
        <f>'[27]GABM_R03_savannah-data'!$D65</f>
        <v>9</v>
      </c>
      <c r="I66">
        <f>'[28]GABM_R03_MitchellAPI-data'!$D65</f>
        <v>4</v>
      </c>
      <c r="J66">
        <f>'[29]GABM_R03_SudipaAPI-data'!$D65</f>
        <v>12</v>
      </c>
      <c r="K66">
        <f>'[30]R03_GABM_run2-data'!$D65</f>
        <v>26</v>
      </c>
      <c r="L66">
        <f t="shared" si="0"/>
        <v>11.9</v>
      </c>
    </row>
    <row r="67" spans="1:12" x14ac:dyDescent="0.35">
      <c r="A67">
        <v>64</v>
      </c>
      <c r="B67">
        <f>'[21]R03_GABM-data'!$D66</f>
        <v>16</v>
      </c>
      <c r="C67">
        <f>'[22]GABM_R03_RossAPI-data'!$D66</f>
        <v>2</v>
      </c>
      <c r="D67">
        <f>'[23]GABM_R03_RandiAPI-data'!$D66</f>
        <v>0</v>
      </c>
      <c r="E67">
        <f>'[24]GABM_R03_NavidAPI-data'!$D66</f>
        <v>14</v>
      </c>
      <c r="F67">
        <f>'[25]GABM_R03_Terry-data'!$D66</f>
        <v>9</v>
      </c>
      <c r="G67">
        <f>'[26]GABM_R03_SarahAPI-data'!$D66</f>
        <v>17</v>
      </c>
      <c r="H67">
        <f>'[27]GABM_R03_savannah-data'!$D66</f>
        <v>9</v>
      </c>
      <c r="I67">
        <f>'[28]GABM_R03_MitchellAPI-data'!$D66</f>
        <v>2</v>
      </c>
      <c r="J67">
        <f>'[29]GABM_R03_SudipaAPI-data'!$D66</f>
        <v>8</v>
      </c>
      <c r="K67">
        <f>'[30]R03_GABM_run2-data'!$D66</f>
        <v>25</v>
      </c>
      <c r="L67">
        <f t="shared" si="0"/>
        <v>10.199999999999999</v>
      </c>
    </row>
    <row r="68" spans="1:12" x14ac:dyDescent="0.35">
      <c r="A68">
        <v>65</v>
      </c>
      <c r="B68">
        <f>'[21]R03_GABM-data'!$D67</f>
        <v>20</v>
      </c>
      <c r="C68">
        <f>'[22]GABM_R03_RossAPI-data'!$D67</f>
        <v>4</v>
      </c>
      <c r="D68">
        <f>'[23]GABM_R03_RandiAPI-data'!$D67</f>
        <v>0</v>
      </c>
      <c r="E68">
        <f>'[24]GABM_R03_NavidAPI-data'!$D67</f>
        <v>10</v>
      </c>
      <c r="F68">
        <f>'[25]GABM_R03_Terry-data'!$D67</f>
        <v>11</v>
      </c>
      <c r="G68">
        <f>'[26]GABM_R03_SarahAPI-data'!$D67</f>
        <v>20</v>
      </c>
      <c r="H68">
        <f>'[27]GABM_R03_savannah-data'!$D67</f>
        <v>9</v>
      </c>
      <c r="I68">
        <f>'[28]GABM_R03_MitchellAPI-data'!$D67</f>
        <v>2</v>
      </c>
      <c r="J68">
        <f>'[29]GABM_R03_SudipaAPI-data'!$D67</f>
        <v>6</v>
      </c>
      <c r="K68">
        <f>'[30]R03_GABM_run2-data'!$D67</f>
        <v>22</v>
      </c>
      <c r="L68">
        <f t="shared" ref="L68:L131" si="1">AVERAGE(B68:K68)</f>
        <v>10.4</v>
      </c>
    </row>
    <row r="69" spans="1:12" x14ac:dyDescent="0.35">
      <c r="A69">
        <v>66</v>
      </c>
      <c r="B69">
        <f>'[21]R03_GABM-data'!$D68</f>
        <v>18</v>
      </c>
      <c r="C69">
        <f>'[22]GABM_R03_RossAPI-data'!$D68</f>
        <v>7</v>
      </c>
      <c r="D69">
        <f>'[23]GABM_R03_RandiAPI-data'!$D68</f>
        <v>0</v>
      </c>
      <c r="E69">
        <f>'[24]GABM_R03_NavidAPI-data'!$D68</f>
        <v>5</v>
      </c>
      <c r="F69">
        <f>'[25]GABM_R03_Terry-data'!$D68</f>
        <v>16</v>
      </c>
      <c r="G69">
        <f>'[26]GABM_R03_SarahAPI-data'!$D68</f>
        <v>22</v>
      </c>
      <c r="H69">
        <f>'[27]GABM_R03_savannah-data'!$D68</f>
        <v>11</v>
      </c>
      <c r="I69">
        <f>'[28]GABM_R03_MitchellAPI-data'!$D68</f>
        <v>3</v>
      </c>
      <c r="J69">
        <f>'[29]GABM_R03_SudipaAPI-data'!$D68</f>
        <v>4</v>
      </c>
      <c r="K69">
        <f>'[30]R03_GABM_run2-data'!$D68</f>
        <v>20</v>
      </c>
      <c r="L69">
        <f t="shared" si="1"/>
        <v>10.6</v>
      </c>
    </row>
    <row r="70" spans="1:12" x14ac:dyDescent="0.35">
      <c r="A70">
        <v>67</v>
      </c>
      <c r="B70">
        <f>'[21]R03_GABM-data'!$D69</f>
        <v>17</v>
      </c>
      <c r="C70">
        <f>'[22]GABM_R03_RossAPI-data'!$D69</f>
        <v>8</v>
      </c>
      <c r="D70">
        <f>'[23]GABM_R03_RandiAPI-data'!$D69</f>
        <v>0</v>
      </c>
      <c r="E70">
        <f>'[24]GABM_R03_NavidAPI-data'!$D69</f>
        <v>5</v>
      </c>
      <c r="F70">
        <f>'[25]GABM_R03_Terry-data'!$D69</f>
        <v>17</v>
      </c>
      <c r="G70">
        <f>'[26]GABM_R03_SarahAPI-data'!$D69</f>
        <v>23</v>
      </c>
      <c r="H70">
        <f>'[27]GABM_R03_savannah-data'!$D69</f>
        <v>10</v>
      </c>
      <c r="I70">
        <f>'[28]GABM_R03_MitchellAPI-data'!$D69</f>
        <v>5</v>
      </c>
      <c r="J70">
        <f>'[29]GABM_R03_SudipaAPI-data'!$D69</f>
        <v>3</v>
      </c>
      <c r="K70">
        <f>'[30]R03_GABM_run2-data'!$D69</f>
        <v>18</v>
      </c>
      <c r="L70">
        <f t="shared" si="1"/>
        <v>10.6</v>
      </c>
    </row>
    <row r="71" spans="1:12" x14ac:dyDescent="0.35">
      <c r="A71">
        <v>68</v>
      </c>
      <c r="B71">
        <f>'[21]R03_GABM-data'!$D70</f>
        <v>17</v>
      </c>
      <c r="C71">
        <f>'[22]GABM_R03_RossAPI-data'!$D70</f>
        <v>9</v>
      </c>
      <c r="D71">
        <f>'[23]GABM_R03_RandiAPI-data'!$D70</f>
        <v>0</v>
      </c>
      <c r="E71">
        <f>'[24]GABM_R03_NavidAPI-data'!$D70</f>
        <v>4</v>
      </c>
      <c r="F71">
        <f>'[25]GABM_R03_Terry-data'!$D70</f>
        <v>18</v>
      </c>
      <c r="G71">
        <f>'[26]GABM_R03_SarahAPI-data'!$D70</f>
        <v>24</v>
      </c>
      <c r="H71">
        <f>'[27]GABM_R03_savannah-data'!$D70</f>
        <v>9</v>
      </c>
      <c r="I71">
        <f>'[28]GABM_R03_MitchellAPI-data'!$D70</f>
        <v>6</v>
      </c>
      <c r="J71">
        <f>'[29]GABM_R03_SudipaAPI-data'!$D70</f>
        <v>4</v>
      </c>
      <c r="K71">
        <f>'[30]R03_GABM_run2-data'!$D70</f>
        <v>14</v>
      </c>
      <c r="L71">
        <f t="shared" si="1"/>
        <v>10.5</v>
      </c>
    </row>
    <row r="72" spans="1:12" x14ac:dyDescent="0.35">
      <c r="A72">
        <v>69</v>
      </c>
      <c r="B72">
        <f>'[21]R03_GABM-data'!$D71</f>
        <v>16</v>
      </c>
      <c r="C72">
        <f>'[22]GABM_R03_RossAPI-data'!$D71</f>
        <v>10</v>
      </c>
      <c r="D72">
        <f>'[23]GABM_R03_RandiAPI-data'!$D71</f>
        <v>0</v>
      </c>
      <c r="E72">
        <f>'[24]GABM_R03_NavidAPI-data'!$D71</f>
        <v>5</v>
      </c>
      <c r="F72">
        <f>'[25]GABM_R03_Terry-data'!$D71</f>
        <v>14</v>
      </c>
      <c r="G72">
        <f>'[26]GABM_R03_SarahAPI-data'!$D71</f>
        <v>23</v>
      </c>
      <c r="H72">
        <f>'[27]GABM_R03_savannah-data'!$D71</f>
        <v>11</v>
      </c>
      <c r="I72">
        <f>'[28]GABM_R03_MitchellAPI-data'!$D71</f>
        <v>11</v>
      </c>
      <c r="J72">
        <f>'[29]GABM_R03_SudipaAPI-data'!$D71</f>
        <v>3</v>
      </c>
      <c r="K72">
        <f>'[30]R03_GABM_run2-data'!$D71</f>
        <v>12</v>
      </c>
      <c r="L72">
        <f t="shared" si="1"/>
        <v>10.5</v>
      </c>
    </row>
    <row r="73" spans="1:12" x14ac:dyDescent="0.35">
      <c r="A73">
        <v>70</v>
      </c>
      <c r="B73">
        <f>'[21]R03_GABM-data'!$D72</f>
        <v>13</v>
      </c>
      <c r="C73">
        <f>'[22]GABM_R03_RossAPI-data'!$D72</f>
        <v>9</v>
      </c>
      <c r="D73">
        <f>'[23]GABM_R03_RandiAPI-data'!$D72</f>
        <v>0</v>
      </c>
      <c r="E73">
        <f>'[24]GABM_R03_NavidAPI-data'!$D72</f>
        <v>5</v>
      </c>
      <c r="F73">
        <f>'[25]GABM_R03_Terry-data'!$D72</f>
        <v>12</v>
      </c>
      <c r="G73">
        <f>'[26]GABM_R03_SarahAPI-data'!$D72</f>
        <v>21</v>
      </c>
      <c r="H73">
        <f>'[27]GABM_R03_savannah-data'!$D72</f>
        <v>11</v>
      </c>
      <c r="I73">
        <f>'[28]GABM_R03_MitchellAPI-data'!$D72</f>
        <v>11</v>
      </c>
      <c r="J73">
        <f>'[29]GABM_R03_SudipaAPI-data'!$D72</f>
        <v>3</v>
      </c>
      <c r="K73">
        <f>'[30]R03_GABM_run2-data'!$D72</f>
        <v>9</v>
      </c>
      <c r="L73">
        <f t="shared" si="1"/>
        <v>9.4</v>
      </c>
    </row>
    <row r="74" spans="1:12" x14ac:dyDescent="0.35">
      <c r="A74">
        <v>71</v>
      </c>
      <c r="B74">
        <f>'[21]R03_GABM-data'!$D73</f>
        <v>8</v>
      </c>
      <c r="C74">
        <f>'[22]GABM_R03_RossAPI-data'!$D73</f>
        <v>6</v>
      </c>
      <c r="D74">
        <f>'[23]GABM_R03_RandiAPI-data'!$D73</f>
        <v>0</v>
      </c>
      <c r="E74">
        <f>'[24]GABM_R03_NavidAPI-data'!$D73</f>
        <v>4</v>
      </c>
      <c r="F74">
        <f>'[25]GABM_R03_Terry-data'!$D73</f>
        <v>12</v>
      </c>
      <c r="G74">
        <f>'[26]GABM_R03_SarahAPI-data'!$D73</f>
        <v>17</v>
      </c>
      <c r="H74">
        <f>'[27]GABM_R03_savannah-data'!$D73</f>
        <v>11</v>
      </c>
      <c r="I74">
        <f>'[28]GABM_R03_MitchellAPI-data'!$D73</f>
        <v>11</v>
      </c>
      <c r="J74">
        <f>'[29]GABM_R03_SudipaAPI-data'!$D73</f>
        <v>4</v>
      </c>
      <c r="K74">
        <f>'[30]R03_GABM_run2-data'!$D73</f>
        <v>8</v>
      </c>
      <c r="L74">
        <f t="shared" si="1"/>
        <v>8.1</v>
      </c>
    </row>
    <row r="75" spans="1:12" x14ac:dyDescent="0.35">
      <c r="A75">
        <v>72</v>
      </c>
      <c r="B75">
        <f>'[21]R03_GABM-data'!$D74</f>
        <v>4</v>
      </c>
      <c r="C75">
        <f>'[22]GABM_R03_RossAPI-data'!$D74</f>
        <v>3</v>
      </c>
      <c r="D75">
        <f>'[23]GABM_R03_RandiAPI-data'!$D74</f>
        <v>0</v>
      </c>
      <c r="E75">
        <f>'[24]GABM_R03_NavidAPI-data'!$D74</f>
        <v>4</v>
      </c>
      <c r="F75">
        <f>'[25]GABM_R03_Terry-data'!$D74</f>
        <v>5</v>
      </c>
      <c r="G75">
        <f>'[26]GABM_R03_SarahAPI-data'!$D74</f>
        <v>14</v>
      </c>
      <c r="H75">
        <f>'[27]GABM_R03_savannah-data'!$D74</f>
        <v>16</v>
      </c>
      <c r="I75">
        <f>'[28]GABM_R03_MitchellAPI-data'!$D74</f>
        <v>12</v>
      </c>
      <c r="J75">
        <f>'[29]GABM_R03_SudipaAPI-data'!$D74</f>
        <v>4</v>
      </c>
      <c r="K75">
        <f>'[30]R03_GABM_run2-data'!$D74</f>
        <v>8</v>
      </c>
      <c r="L75">
        <f t="shared" si="1"/>
        <v>7</v>
      </c>
    </row>
    <row r="76" spans="1:12" x14ac:dyDescent="0.35">
      <c r="A76">
        <v>73</v>
      </c>
      <c r="B76">
        <f>'[21]R03_GABM-data'!$D75</f>
        <v>3</v>
      </c>
      <c r="C76">
        <f>'[22]GABM_R03_RossAPI-data'!$D75</f>
        <v>2</v>
      </c>
      <c r="D76">
        <f>'[23]GABM_R03_RandiAPI-data'!$D75</f>
        <v>0</v>
      </c>
      <c r="E76">
        <f>'[24]GABM_R03_NavidAPI-data'!$D75</f>
        <v>3</v>
      </c>
      <c r="F76">
        <f>'[25]GABM_R03_Terry-data'!$D75</f>
        <v>6</v>
      </c>
      <c r="G76">
        <f>'[26]GABM_R03_SarahAPI-data'!$D75</f>
        <v>13</v>
      </c>
      <c r="H76">
        <f>'[27]GABM_R03_savannah-data'!$D75</f>
        <v>15</v>
      </c>
      <c r="I76">
        <f>'[28]GABM_R03_MitchellAPI-data'!$D75</f>
        <v>10</v>
      </c>
      <c r="J76">
        <f>'[29]GABM_R03_SudipaAPI-data'!$D75</f>
        <v>4</v>
      </c>
      <c r="K76">
        <f>'[30]R03_GABM_run2-data'!$D75</f>
        <v>6</v>
      </c>
      <c r="L76">
        <f t="shared" si="1"/>
        <v>6.2</v>
      </c>
    </row>
    <row r="77" spans="1:12" x14ac:dyDescent="0.35">
      <c r="A77">
        <v>74</v>
      </c>
      <c r="B77">
        <f>'[21]R03_GABM-data'!$D76</f>
        <v>1</v>
      </c>
      <c r="C77">
        <f>'[22]GABM_R03_RossAPI-data'!$D76</f>
        <v>1</v>
      </c>
      <c r="D77">
        <f>'[23]GABM_R03_RandiAPI-data'!$D76</f>
        <v>0</v>
      </c>
      <c r="E77">
        <f>'[24]GABM_R03_NavidAPI-data'!$D76</f>
        <v>2</v>
      </c>
      <c r="F77">
        <f>'[25]GABM_R03_Terry-data'!$D76</f>
        <v>9</v>
      </c>
      <c r="G77">
        <f>'[26]GABM_R03_SarahAPI-data'!$D76</f>
        <v>10</v>
      </c>
      <c r="H77">
        <f>'[27]GABM_R03_savannah-data'!$D76</f>
        <v>17</v>
      </c>
      <c r="I77">
        <f>'[28]GABM_R03_MitchellAPI-data'!$D76</f>
        <v>11</v>
      </c>
      <c r="J77">
        <f>'[29]GABM_R03_SudipaAPI-data'!$D76</f>
        <v>2</v>
      </c>
      <c r="K77">
        <f>'[30]R03_GABM_run2-data'!$D76</f>
        <v>6</v>
      </c>
      <c r="L77">
        <f t="shared" si="1"/>
        <v>5.9</v>
      </c>
    </row>
    <row r="78" spans="1:12" x14ac:dyDescent="0.35">
      <c r="A78">
        <v>75</v>
      </c>
      <c r="B78">
        <f>'[21]R03_GABM-data'!$D77</f>
        <v>0</v>
      </c>
      <c r="C78">
        <f>'[22]GABM_R03_RossAPI-data'!$D77</f>
        <v>0</v>
      </c>
      <c r="D78">
        <f>'[23]GABM_R03_RandiAPI-data'!$D77</f>
        <v>0</v>
      </c>
      <c r="E78">
        <f>'[24]GABM_R03_NavidAPI-data'!$D77</f>
        <v>1</v>
      </c>
      <c r="F78">
        <f>'[25]GABM_R03_Terry-data'!$D77</f>
        <v>10</v>
      </c>
      <c r="G78">
        <f>'[26]GABM_R03_SarahAPI-data'!$D77</f>
        <v>10</v>
      </c>
      <c r="H78">
        <f>'[27]GABM_R03_savannah-data'!$D77</f>
        <v>15</v>
      </c>
      <c r="I78">
        <f>'[28]GABM_R03_MitchellAPI-data'!$D77</f>
        <v>14</v>
      </c>
      <c r="J78">
        <f>'[29]GABM_R03_SudipaAPI-data'!$D77</f>
        <v>2</v>
      </c>
      <c r="K78">
        <f>'[30]R03_GABM_run2-data'!$D77</f>
        <v>6</v>
      </c>
      <c r="L78">
        <f t="shared" si="1"/>
        <v>5.8</v>
      </c>
    </row>
    <row r="79" spans="1:12" x14ac:dyDescent="0.35">
      <c r="A79">
        <v>76</v>
      </c>
      <c r="B79">
        <f>'[21]R03_GABM-data'!$D78</f>
        <v>0</v>
      </c>
      <c r="C79">
        <f>'[22]GABM_R03_RossAPI-data'!$D78</f>
        <v>0</v>
      </c>
      <c r="D79">
        <f>'[23]GABM_R03_RandiAPI-data'!$D78</f>
        <v>0</v>
      </c>
      <c r="E79">
        <f>'[24]GABM_R03_NavidAPI-data'!$D78</f>
        <v>0</v>
      </c>
      <c r="F79">
        <f>'[25]GABM_R03_Terry-data'!$D78</f>
        <v>14</v>
      </c>
      <c r="G79">
        <f>'[26]GABM_R03_SarahAPI-data'!$D78</f>
        <v>11</v>
      </c>
      <c r="H79">
        <f>'[27]GABM_R03_savannah-data'!$D78</f>
        <v>13</v>
      </c>
      <c r="I79">
        <f>'[28]GABM_R03_MitchellAPI-data'!$D78</f>
        <v>15</v>
      </c>
      <c r="J79">
        <f>'[29]GABM_R03_SudipaAPI-data'!$D78</f>
        <v>3</v>
      </c>
      <c r="K79">
        <f>'[30]R03_GABM_run2-data'!$D78</f>
        <v>7</v>
      </c>
      <c r="L79">
        <f t="shared" si="1"/>
        <v>6.3</v>
      </c>
    </row>
    <row r="80" spans="1:12" x14ac:dyDescent="0.35">
      <c r="A80">
        <v>77</v>
      </c>
      <c r="B80">
        <f>'[21]R03_GABM-data'!$D79</f>
        <v>0</v>
      </c>
      <c r="C80">
        <f>'[22]GABM_R03_RossAPI-data'!$D79</f>
        <v>0</v>
      </c>
      <c r="D80">
        <f>'[23]GABM_R03_RandiAPI-data'!$D79</f>
        <v>0</v>
      </c>
      <c r="E80">
        <f>'[24]GABM_R03_NavidAPI-data'!$D79</f>
        <v>0</v>
      </c>
      <c r="F80">
        <f>'[25]GABM_R03_Terry-data'!$D79</f>
        <v>15</v>
      </c>
      <c r="G80">
        <f>'[26]GABM_R03_SarahAPI-data'!$D79</f>
        <v>13</v>
      </c>
      <c r="H80">
        <f>'[27]GABM_R03_savannah-data'!$D79</f>
        <v>12</v>
      </c>
      <c r="I80">
        <f>'[28]GABM_R03_MitchellAPI-data'!$D79</f>
        <v>29</v>
      </c>
      <c r="J80">
        <f>'[29]GABM_R03_SudipaAPI-data'!$D79</f>
        <v>2</v>
      </c>
      <c r="K80">
        <f>'[30]R03_GABM_run2-data'!$D79</f>
        <v>8</v>
      </c>
      <c r="L80">
        <f t="shared" si="1"/>
        <v>7.9</v>
      </c>
    </row>
    <row r="81" spans="1:12" x14ac:dyDescent="0.35">
      <c r="A81">
        <v>78</v>
      </c>
      <c r="B81">
        <f>'[21]R03_GABM-data'!$D80</f>
        <v>0</v>
      </c>
      <c r="C81">
        <f>'[22]GABM_R03_RossAPI-data'!$D80</f>
        <v>0</v>
      </c>
      <c r="D81">
        <f>'[23]GABM_R03_RandiAPI-data'!$D80</f>
        <v>0</v>
      </c>
      <c r="E81">
        <f>'[24]GABM_R03_NavidAPI-data'!$D80</f>
        <v>0</v>
      </c>
      <c r="F81">
        <f>'[25]GABM_R03_Terry-data'!$D80</f>
        <v>16</v>
      </c>
      <c r="G81">
        <f>'[26]GABM_R03_SarahAPI-data'!$D80</f>
        <v>15</v>
      </c>
      <c r="H81">
        <f>'[27]GABM_R03_savannah-data'!$D80</f>
        <v>4</v>
      </c>
      <c r="I81">
        <f>'[28]GABM_R03_MitchellAPI-data'!$D80</f>
        <v>33</v>
      </c>
      <c r="J81">
        <f>'[29]GABM_R03_SudipaAPI-data'!$D80</f>
        <v>2</v>
      </c>
      <c r="K81">
        <f>'[30]R03_GABM_run2-data'!$D80</f>
        <v>10</v>
      </c>
      <c r="L81">
        <f t="shared" si="1"/>
        <v>8</v>
      </c>
    </row>
    <row r="82" spans="1:12" x14ac:dyDescent="0.35">
      <c r="A82">
        <v>79</v>
      </c>
      <c r="B82">
        <f>'[21]R03_GABM-data'!$D81</f>
        <v>0</v>
      </c>
      <c r="C82">
        <f>'[22]GABM_R03_RossAPI-data'!$D81</f>
        <v>0</v>
      </c>
      <c r="D82">
        <f>'[23]GABM_R03_RandiAPI-data'!$D81</f>
        <v>0</v>
      </c>
      <c r="E82">
        <f>'[24]GABM_R03_NavidAPI-data'!$D81</f>
        <v>0</v>
      </c>
      <c r="F82">
        <f>'[25]GABM_R03_Terry-data'!$D81</f>
        <v>16</v>
      </c>
      <c r="G82">
        <f>'[26]GABM_R03_SarahAPI-data'!$D81</f>
        <v>12</v>
      </c>
      <c r="H82">
        <f>'[27]GABM_R03_savannah-data'!$D81</f>
        <v>4</v>
      </c>
      <c r="I82">
        <f>'[28]GABM_R03_MitchellAPI-data'!$D81</f>
        <v>34</v>
      </c>
      <c r="J82">
        <f>'[29]GABM_R03_SudipaAPI-data'!$D81</f>
        <v>3</v>
      </c>
      <c r="K82">
        <f>'[30]R03_GABM_run2-data'!$D81</f>
        <v>9</v>
      </c>
      <c r="L82">
        <f t="shared" si="1"/>
        <v>7.8</v>
      </c>
    </row>
    <row r="83" spans="1:12" x14ac:dyDescent="0.35">
      <c r="A83">
        <v>80</v>
      </c>
      <c r="B83">
        <f>'[21]R03_GABM-data'!$D82</f>
        <v>0</v>
      </c>
      <c r="C83">
        <f>'[22]GABM_R03_RossAPI-data'!$D82</f>
        <v>0</v>
      </c>
      <c r="D83">
        <f>'[23]GABM_R03_RandiAPI-data'!$D82</f>
        <v>0</v>
      </c>
      <c r="E83">
        <f>'[24]GABM_R03_NavidAPI-data'!$D82</f>
        <v>0</v>
      </c>
      <c r="F83">
        <f>'[25]GABM_R03_Terry-data'!$D82</f>
        <v>12</v>
      </c>
      <c r="G83">
        <f>'[26]GABM_R03_SarahAPI-data'!$D82</f>
        <v>12</v>
      </c>
      <c r="H83">
        <f>'[27]GABM_R03_savannah-data'!$D82</f>
        <v>4</v>
      </c>
      <c r="I83">
        <f>'[28]GABM_R03_MitchellAPI-data'!$D82</f>
        <v>36</v>
      </c>
      <c r="J83">
        <f>'[29]GABM_R03_SudipaAPI-data'!$D82</f>
        <v>3</v>
      </c>
      <c r="K83">
        <f>'[30]R03_GABM_run2-data'!$D82</f>
        <v>11</v>
      </c>
      <c r="L83">
        <f t="shared" si="1"/>
        <v>7.8</v>
      </c>
    </row>
    <row r="84" spans="1:12" x14ac:dyDescent="0.35">
      <c r="A84">
        <v>81</v>
      </c>
      <c r="B84">
        <f>'[21]R03_GABM-data'!$D83</f>
        <v>0</v>
      </c>
      <c r="C84">
        <f>'[22]GABM_R03_RossAPI-data'!$D83</f>
        <v>0</v>
      </c>
      <c r="D84">
        <f>'[23]GABM_R03_RandiAPI-data'!$D83</f>
        <v>0</v>
      </c>
      <c r="E84">
        <f>'[24]GABM_R03_NavidAPI-data'!$D83</f>
        <v>0</v>
      </c>
      <c r="F84">
        <f>'[25]GABM_R03_Terry-data'!$D83</f>
        <v>10</v>
      </c>
      <c r="G84">
        <f>'[26]GABM_R03_SarahAPI-data'!$D83</f>
        <v>10</v>
      </c>
      <c r="H84">
        <f>'[27]GABM_R03_savannah-data'!$D83</f>
        <v>4</v>
      </c>
      <c r="I84">
        <f>'[28]GABM_R03_MitchellAPI-data'!$D83</f>
        <v>29</v>
      </c>
      <c r="J84">
        <f>'[29]GABM_R03_SudipaAPI-data'!$D83</f>
        <v>4</v>
      </c>
      <c r="K84">
        <f>'[30]R03_GABM_run2-data'!$D83</f>
        <v>10</v>
      </c>
      <c r="L84">
        <f t="shared" si="1"/>
        <v>6.7</v>
      </c>
    </row>
    <row r="85" spans="1:12" x14ac:dyDescent="0.35">
      <c r="A85">
        <v>82</v>
      </c>
      <c r="B85">
        <f>'[21]R03_GABM-data'!$D84</f>
        <v>0</v>
      </c>
      <c r="C85">
        <f>'[22]GABM_R03_RossAPI-data'!$D84</f>
        <v>0</v>
      </c>
      <c r="D85">
        <f>'[23]GABM_R03_RandiAPI-data'!$D84</f>
        <v>0</v>
      </c>
      <c r="E85">
        <f>'[24]GABM_R03_NavidAPI-data'!$D84</f>
        <v>0</v>
      </c>
      <c r="F85">
        <f>'[25]GABM_R03_Terry-data'!$D84</f>
        <v>6</v>
      </c>
      <c r="G85">
        <f>'[26]GABM_R03_SarahAPI-data'!$D84</f>
        <v>9</v>
      </c>
      <c r="H85">
        <f>'[27]GABM_R03_savannah-data'!$D84</f>
        <v>4</v>
      </c>
      <c r="I85">
        <f>'[28]GABM_R03_MitchellAPI-data'!$D84</f>
        <v>27</v>
      </c>
      <c r="J85">
        <f>'[29]GABM_R03_SudipaAPI-data'!$D84</f>
        <v>6</v>
      </c>
      <c r="K85">
        <f>'[30]R03_GABM_run2-data'!$D84</f>
        <v>10</v>
      </c>
      <c r="L85">
        <f t="shared" si="1"/>
        <v>6.2</v>
      </c>
    </row>
    <row r="86" spans="1:12" x14ac:dyDescent="0.35">
      <c r="A86">
        <v>83</v>
      </c>
      <c r="B86">
        <f>'[21]R03_GABM-data'!$D85</f>
        <v>0</v>
      </c>
      <c r="C86">
        <f>'[22]GABM_R03_RossAPI-data'!$D85</f>
        <v>0</v>
      </c>
      <c r="D86">
        <f>'[23]GABM_R03_RandiAPI-data'!$D85</f>
        <v>0</v>
      </c>
      <c r="E86">
        <f>'[24]GABM_R03_NavidAPI-data'!$D85</f>
        <v>0</v>
      </c>
      <c r="F86">
        <f>'[25]GABM_R03_Terry-data'!$D85</f>
        <v>3</v>
      </c>
      <c r="G86">
        <f>'[26]GABM_R03_SarahAPI-data'!$D85</f>
        <v>6</v>
      </c>
      <c r="H86">
        <f>'[27]GABM_R03_savannah-data'!$D85</f>
        <v>4</v>
      </c>
      <c r="I86">
        <f>'[28]GABM_R03_MitchellAPI-data'!$D85</f>
        <v>13</v>
      </c>
      <c r="J86">
        <f>'[29]GABM_R03_SudipaAPI-data'!$D85</f>
        <v>9</v>
      </c>
      <c r="K86">
        <f>'[30]R03_GABM_run2-data'!$D85</f>
        <v>9</v>
      </c>
      <c r="L86">
        <f t="shared" si="1"/>
        <v>4.4000000000000004</v>
      </c>
    </row>
    <row r="87" spans="1:12" x14ac:dyDescent="0.35">
      <c r="A87">
        <v>84</v>
      </c>
      <c r="B87">
        <f>'[21]R03_GABM-data'!$D86</f>
        <v>0</v>
      </c>
      <c r="C87">
        <f>'[22]GABM_R03_RossAPI-data'!$D86</f>
        <v>0</v>
      </c>
      <c r="D87">
        <f>'[23]GABM_R03_RandiAPI-data'!$D86</f>
        <v>0</v>
      </c>
      <c r="E87">
        <f>'[24]GABM_R03_NavidAPI-data'!$D86</f>
        <v>0</v>
      </c>
      <c r="F87">
        <f>'[25]GABM_R03_Terry-data'!$D86</f>
        <v>2</v>
      </c>
      <c r="G87">
        <f>'[26]GABM_R03_SarahAPI-data'!$D86</f>
        <v>4</v>
      </c>
      <c r="H87">
        <f>'[27]GABM_R03_savannah-data'!$D86</f>
        <v>4</v>
      </c>
      <c r="I87">
        <f>'[28]GABM_R03_MitchellAPI-data'!$D86</f>
        <v>8</v>
      </c>
      <c r="J87">
        <f>'[29]GABM_R03_SudipaAPI-data'!$D86</f>
        <v>10</v>
      </c>
      <c r="K87">
        <f>'[30]R03_GABM_run2-data'!$D86</f>
        <v>6</v>
      </c>
      <c r="L87">
        <f t="shared" si="1"/>
        <v>3.4</v>
      </c>
    </row>
    <row r="88" spans="1:12" x14ac:dyDescent="0.35">
      <c r="A88">
        <v>85</v>
      </c>
      <c r="B88">
        <f>'[21]R03_GABM-data'!$D87</f>
        <v>0</v>
      </c>
      <c r="C88">
        <f>'[22]GABM_R03_RossAPI-data'!$D87</f>
        <v>0</v>
      </c>
      <c r="D88">
        <f>'[23]GABM_R03_RandiAPI-data'!$D87</f>
        <v>0</v>
      </c>
      <c r="E88">
        <f>'[24]GABM_R03_NavidAPI-data'!$D87</f>
        <v>0</v>
      </c>
      <c r="F88">
        <f>'[25]GABM_R03_Terry-data'!$D87</f>
        <v>0</v>
      </c>
      <c r="G88">
        <f>'[26]GABM_R03_SarahAPI-data'!$D87</f>
        <v>4</v>
      </c>
      <c r="H88">
        <f>'[27]GABM_R03_savannah-data'!$D87</f>
        <v>4</v>
      </c>
      <c r="I88">
        <f>'[28]GABM_R03_MitchellAPI-data'!$D87</f>
        <v>8</v>
      </c>
      <c r="J88">
        <f>'[29]GABM_R03_SudipaAPI-data'!$D87</f>
        <v>10</v>
      </c>
      <c r="K88">
        <f>'[30]R03_GABM_run2-data'!$D87</f>
        <v>7</v>
      </c>
      <c r="L88">
        <f t="shared" si="1"/>
        <v>3.3</v>
      </c>
    </row>
    <row r="89" spans="1:12" x14ac:dyDescent="0.35">
      <c r="A89">
        <v>86</v>
      </c>
      <c r="B89">
        <f>'[21]R03_GABM-data'!$D88</f>
        <v>0</v>
      </c>
      <c r="C89">
        <f>'[22]GABM_R03_RossAPI-data'!$D88</f>
        <v>0</v>
      </c>
      <c r="D89">
        <f>'[23]GABM_R03_RandiAPI-data'!$D88</f>
        <v>0</v>
      </c>
      <c r="E89">
        <f>'[24]GABM_R03_NavidAPI-data'!$D88</f>
        <v>0</v>
      </c>
      <c r="F89">
        <f>'[25]GABM_R03_Terry-data'!$D88</f>
        <v>0</v>
      </c>
      <c r="G89">
        <f>'[26]GABM_R03_SarahAPI-data'!$D88</f>
        <v>5</v>
      </c>
      <c r="H89">
        <f>'[27]GABM_R03_savannah-data'!$D88</f>
        <v>2</v>
      </c>
      <c r="I89">
        <f>'[28]GABM_R03_MitchellAPI-data'!$D88</f>
        <v>4</v>
      </c>
      <c r="J89">
        <f>'[29]GABM_R03_SudipaAPI-data'!$D88</f>
        <v>9</v>
      </c>
      <c r="K89">
        <f>'[30]R03_GABM_run2-data'!$D88</f>
        <v>5</v>
      </c>
      <c r="L89">
        <f t="shared" si="1"/>
        <v>2.5</v>
      </c>
    </row>
    <row r="90" spans="1:12" x14ac:dyDescent="0.35">
      <c r="A90">
        <v>87</v>
      </c>
      <c r="B90">
        <f>'[21]R03_GABM-data'!$D89</f>
        <v>0</v>
      </c>
      <c r="C90">
        <f>'[22]GABM_R03_RossAPI-data'!$D89</f>
        <v>0</v>
      </c>
      <c r="D90">
        <f>'[23]GABM_R03_RandiAPI-data'!$D89</f>
        <v>0</v>
      </c>
      <c r="E90">
        <f>'[24]GABM_R03_NavidAPI-data'!$D89</f>
        <v>0</v>
      </c>
      <c r="F90">
        <f>'[25]GABM_R03_Terry-data'!$D89</f>
        <v>0</v>
      </c>
      <c r="G90">
        <f>'[26]GABM_R03_SarahAPI-data'!$D89</f>
        <v>7</v>
      </c>
      <c r="H90">
        <f>'[27]GABM_R03_savannah-data'!$D89</f>
        <v>1</v>
      </c>
      <c r="I90">
        <f>'[28]GABM_R03_MitchellAPI-data'!$D89</f>
        <v>5</v>
      </c>
      <c r="J90">
        <f>'[29]GABM_R03_SudipaAPI-data'!$D89</f>
        <v>9</v>
      </c>
      <c r="K90">
        <f>'[30]R03_GABM_run2-data'!$D89</f>
        <v>4</v>
      </c>
      <c r="L90">
        <f t="shared" si="1"/>
        <v>2.6</v>
      </c>
    </row>
    <row r="91" spans="1:12" x14ac:dyDescent="0.35">
      <c r="A91">
        <v>88</v>
      </c>
      <c r="B91">
        <f>'[21]R03_GABM-data'!$D90</f>
        <v>0</v>
      </c>
      <c r="C91">
        <f>'[22]GABM_R03_RossAPI-data'!$D90</f>
        <v>0</v>
      </c>
      <c r="D91">
        <f>'[23]GABM_R03_RandiAPI-data'!$D90</f>
        <v>0</v>
      </c>
      <c r="E91">
        <f>'[24]GABM_R03_NavidAPI-data'!$D90</f>
        <v>0</v>
      </c>
      <c r="F91">
        <f>'[25]GABM_R03_Terry-data'!$D90</f>
        <v>0</v>
      </c>
      <c r="G91">
        <f>'[26]GABM_R03_SarahAPI-data'!$D90</f>
        <v>10</v>
      </c>
      <c r="H91">
        <f>'[27]GABM_R03_savannah-data'!$D90</f>
        <v>1</v>
      </c>
      <c r="I91">
        <f>'[28]GABM_R03_MitchellAPI-data'!$D90</f>
        <v>5</v>
      </c>
      <c r="J91">
        <f>'[29]GABM_R03_SudipaAPI-data'!$D90</f>
        <v>7</v>
      </c>
      <c r="K91">
        <f>'[30]R03_GABM_run2-data'!$D90</f>
        <v>3</v>
      </c>
      <c r="L91">
        <f t="shared" si="1"/>
        <v>2.6</v>
      </c>
    </row>
    <row r="92" spans="1:12" x14ac:dyDescent="0.35">
      <c r="A92">
        <v>89</v>
      </c>
      <c r="B92">
        <f>'[21]R03_GABM-data'!$D91</f>
        <v>0</v>
      </c>
      <c r="C92">
        <f>'[22]GABM_R03_RossAPI-data'!$D91</f>
        <v>0</v>
      </c>
      <c r="D92">
        <f>'[23]GABM_R03_RandiAPI-data'!$D91</f>
        <v>0</v>
      </c>
      <c r="E92">
        <f>'[24]GABM_R03_NavidAPI-data'!$D91</f>
        <v>0</v>
      </c>
      <c r="F92">
        <f>'[25]GABM_R03_Terry-data'!$D91</f>
        <v>0</v>
      </c>
      <c r="G92">
        <f>'[26]GABM_R03_SarahAPI-data'!$D91</f>
        <v>12</v>
      </c>
      <c r="H92">
        <f>'[27]GABM_R03_savannah-data'!$D91</f>
        <v>0</v>
      </c>
      <c r="I92">
        <f>'[28]GABM_R03_MitchellAPI-data'!$D91</f>
        <v>5</v>
      </c>
      <c r="J92">
        <f>'[29]GABM_R03_SudipaAPI-data'!$D91</f>
        <v>4</v>
      </c>
      <c r="K92">
        <f>'[30]R03_GABM_run2-data'!$D91</f>
        <v>2</v>
      </c>
      <c r="L92">
        <f t="shared" si="1"/>
        <v>2.2999999999999998</v>
      </c>
    </row>
    <row r="93" spans="1:12" x14ac:dyDescent="0.35">
      <c r="A93">
        <v>90</v>
      </c>
      <c r="B93">
        <f>'[21]R03_GABM-data'!$D92</f>
        <v>0</v>
      </c>
      <c r="C93">
        <f>'[22]GABM_R03_RossAPI-data'!$D92</f>
        <v>0</v>
      </c>
      <c r="D93">
        <f>'[23]GABM_R03_RandiAPI-data'!$D92</f>
        <v>0</v>
      </c>
      <c r="E93">
        <f>'[24]GABM_R03_NavidAPI-data'!$D92</f>
        <v>0</v>
      </c>
      <c r="F93">
        <f>'[25]GABM_R03_Terry-data'!$D92</f>
        <v>0</v>
      </c>
      <c r="G93">
        <f>'[26]GABM_R03_SarahAPI-data'!$D92</f>
        <v>11</v>
      </c>
      <c r="H93">
        <f>'[27]GABM_R03_savannah-data'!$D92</f>
        <v>0</v>
      </c>
      <c r="I93">
        <f>'[28]GABM_R03_MitchellAPI-data'!$D92</f>
        <v>12</v>
      </c>
      <c r="J93">
        <f>'[29]GABM_R03_SudipaAPI-data'!$D92</f>
        <v>4</v>
      </c>
      <c r="K93">
        <f>'[30]R03_GABM_run2-data'!$D92</f>
        <v>2</v>
      </c>
      <c r="L93">
        <f t="shared" si="1"/>
        <v>2.9</v>
      </c>
    </row>
    <row r="94" spans="1:12" x14ac:dyDescent="0.35">
      <c r="A94">
        <v>91</v>
      </c>
      <c r="B94">
        <f>'[21]R03_GABM-data'!$D93</f>
        <v>0</v>
      </c>
      <c r="C94">
        <f>'[22]GABM_R03_RossAPI-data'!$D93</f>
        <v>0</v>
      </c>
      <c r="D94">
        <f>'[23]GABM_R03_RandiAPI-data'!$D93</f>
        <v>0</v>
      </c>
      <c r="E94">
        <f>'[24]GABM_R03_NavidAPI-data'!$D93</f>
        <v>0</v>
      </c>
      <c r="F94">
        <f>'[25]GABM_R03_Terry-data'!$D93</f>
        <v>0</v>
      </c>
      <c r="G94">
        <f>'[26]GABM_R03_SarahAPI-data'!$D93</f>
        <v>10</v>
      </c>
      <c r="H94">
        <f>'[27]GABM_R03_savannah-data'!$D93</f>
        <v>0</v>
      </c>
      <c r="I94">
        <f>'[28]GABM_R03_MitchellAPI-data'!$D93</f>
        <v>12</v>
      </c>
      <c r="J94">
        <f>'[29]GABM_R03_SudipaAPI-data'!$D93</f>
        <v>4</v>
      </c>
      <c r="K94">
        <f>'[30]R03_GABM_run2-data'!$D93</f>
        <v>1</v>
      </c>
      <c r="L94">
        <f t="shared" si="1"/>
        <v>2.7</v>
      </c>
    </row>
    <row r="95" spans="1:12" x14ac:dyDescent="0.35">
      <c r="A95">
        <v>92</v>
      </c>
      <c r="B95">
        <f>'[21]R03_GABM-data'!$D94</f>
        <v>0</v>
      </c>
      <c r="C95">
        <f>'[22]GABM_R03_RossAPI-data'!$D94</f>
        <v>0</v>
      </c>
      <c r="D95">
        <f>'[23]GABM_R03_RandiAPI-data'!$D94</f>
        <v>0</v>
      </c>
      <c r="E95">
        <f>'[24]GABM_R03_NavidAPI-data'!$D94</f>
        <v>0</v>
      </c>
      <c r="F95">
        <f>'[25]GABM_R03_Terry-data'!$D94</f>
        <v>0</v>
      </c>
      <c r="G95">
        <f>'[26]GABM_R03_SarahAPI-data'!$D94</f>
        <v>7</v>
      </c>
      <c r="H95">
        <f>'[27]GABM_R03_savannah-data'!$D94</f>
        <v>0</v>
      </c>
      <c r="I95">
        <f>'[28]GABM_R03_MitchellAPI-data'!$D94</f>
        <v>14</v>
      </c>
      <c r="J95">
        <f>'[29]GABM_R03_SudipaAPI-data'!$D94</f>
        <v>6</v>
      </c>
      <c r="K95">
        <f>'[30]R03_GABM_run2-data'!$D94</f>
        <v>1</v>
      </c>
      <c r="L95">
        <f t="shared" si="1"/>
        <v>2.8</v>
      </c>
    </row>
    <row r="96" spans="1:12" x14ac:dyDescent="0.35">
      <c r="A96">
        <v>93</v>
      </c>
      <c r="B96">
        <f>'[21]R03_GABM-data'!$D95</f>
        <v>0</v>
      </c>
      <c r="C96">
        <f>'[22]GABM_R03_RossAPI-data'!$D95</f>
        <v>0</v>
      </c>
      <c r="D96">
        <f>'[23]GABM_R03_RandiAPI-data'!$D95</f>
        <v>0</v>
      </c>
      <c r="E96">
        <f>'[24]GABM_R03_NavidAPI-data'!$D95</f>
        <v>0</v>
      </c>
      <c r="F96">
        <f>'[25]GABM_R03_Terry-data'!$D95</f>
        <v>0</v>
      </c>
      <c r="G96">
        <f>'[26]GABM_R03_SarahAPI-data'!$D95</f>
        <v>5</v>
      </c>
      <c r="H96">
        <f>'[27]GABM_R03_savannah-data'!$D95</f>
        <v>0</v>
      </c>
      <c r="I96">
        <f>'[28]GABM_R03_MitchellAPI-data'!$D95</f>
        <v>19</v>
      </c>
      <c r="J96">
        <f>'[29]GABM_R03_SudipaAPI-data'!$D95</f>
        <v>6</v>
      </c>
      <c r="K96">
        <f>'[30]R03_GABM_run2-data'!$D95</f>
        <v>1</v>
      </c>
      <c r="L96">
        <f t="shared" si="1"/>
        <v>3.1</v>
      </c>
    </row>
    <row r="97" spans="1:12" x14ac:dyDescent="0.35">
      <c r="A97">
        <v>94</v>
      </c>
      <c r="B97">
        <f>'[21]R03_GABM-data'!$D96</f>
        <v>0</v>
      </c>
      <c r="C97">
        <f>'[22]GABM_R03_RossAPI-data'!$D96</f>
        <v>0</v>
      </c>
      <c r="D97">
        <f>'[23]GABM_R03_RandiAPI-data'!$D96</f>
        <v>0</v>
      </c>
      <c r="E97">
        <f>'[24]GABM_R03_NavidAPI-data'!$D96</f>
        <v>0</v>
      </c>
      <c r="F97">
        <f>'[25]GABM_R03_Terry-data'!$D96</f>
        <v>0</v>
      </c>
      <c r="G97">
        <f>'[26]GABM_R03_SarahAPI-data'!$D96</f>
        <v>3</v>
      </c>
      <c r="H97">
        <f>'[27]GABM_R03_savannah-data'!$D96</f>
        <v>0</v>
      </c>
      <c r="I97">
        <f>'[28]GABM_R03_MitchellAPI-data'!$D96</f>
        <v>22</v>
      </c>
      <c r="J97">
        <f>'[29]GABM_R03_SudipaAPI-data'!$D96</f>
        <v>6</v>
      </c>
      <c r="K97">
        <f>'[30]R03_GABM_run2-data'!$D96</f>
        <v>1</v>
      </c>
      <c r="L97">
        <f t="shared" si="1"/>
        <v>3.2</v>
      </c>
    </row>
    <row r="98" spans="1:12" x14ac:dyDescent="0.35">
      <c r="A98">
        <v>95</v>
      </c>
      <c r="B98">
        <f>'[21]R03_GABM-data'!$D97</f>
        <v>0</v>
      </c>
      <c r="C98">
        <f>'[22]GABM_R03_RossAPI-data'!$D97</f>
        <v>0</v>
      </c>
      <c r="D98">
        <f>'[23]GABM_R03_RandiAPI-data'!$D97</f>
        <v>0</v>
      </c>
      <c r="E98">
        <f>'[24]GABM_R03_NavidAPI-data'!$D97</f>
        <v>0</v>
      </c>
      <c r="F98">
        <f>'[25]GABM_R03_Terry-data'!$D97</f>
        <v>0</v>
      </c>
      <c r="G98">
        <f>'[26]GABM_R03_SarahAPI-data'!$D97</f>
        <v>4</v>
      </c>
      <c r="H98">
        <f>'[27]GABM_R03_savannah-data'!$D97</f>
        <v>0</v>
      </c>
      <c r="I98">
        <f>'[28]GABM_R03_MitchellAPI-data'!$D97</f>
        <v>24</v>
      </c>
      <c r="J98">
        <f>'[29]GABM_R03_SudipaAPI-data'!$D97</f>
        <v>6</v>
      </c>
      <c r="K98">
        <f>'[30]R03_GABM_run2-data'!$D97</f>
        <v>1</v>
      </c>
      <c r="L98">
        <f t="shared" si="1"/>
        <v>3.5</v>
      </c>
    </row>
    <row r="99" spans="1:12" x14ac:dyDescent="0.35">
      <c r="A99">
        <v>96</v>
      </c>
      <c r="B99">
        <f>'[21]R03_GABM-data'!$D98</f>
        <v>0</v>
      </c>
      <c r="C99">
        <f>'[22]GABM_R03_RossAPI-data'!$D98</f>
        <v>0</v>
      </c>
      <c r="D99">
        <f>'[23]GABM_R03_RandiAPI-data'!$D98</f>
        <v>0</v>
      </c>
      <c r="E99">
        <f>'[24]GABM_R03_NavidAPI-data'!$D98</f>
        <v>0</v>
      </c>
      <c r="F99">
        <f>'[25]GABM_R03_Terry-data'!$D98</f>
        <v>0</v>
      </c>
      <c r="G99">
        <f>'[26]GABM_R03_SarahAPI-data'!$D98</f>
        <v>6</v>
      </c>
      <c r="H99">
        <f>'[27]GABM_R03_savannah-data'!$D98</f>
        <v>0</v>
      </c>
      <c r="I99">
        <f>'[28]GABM_R03_MitchellAPI-data'!$D98</f>
        <v>17</v>
      </c>
      <c r="J99">
        <f>'[29]GABM_R03_SudipaAPI-data'!$D98</f>
        <v>5</v>
      </c>
      <c r="K99">
        <f>'[30]R03_GABM_run2-data'!$D98</f>
        <v>0</v>
      </c>
      <c r="L99">
        <f t="shared" si="1"/>
        <v>2.8</v>
      </c>
    </row>
    <row r="100" spans="1:12" x14ac:dyDescent="0.35">
      <c r="A100">
        <v>97</v>
      </c>
      <c r="B100">
        <f>'[21]R03_GABM-data'!$D99</f>
        <v>0</v>
      </c>
      <c r="C100">
        <f>'[22]GABM_R03_RossAPI-data'!$D99</f>
        <v>0</v>
      </c>
      <c r="D100">
        <f>'[23]GABM_R03_RandiAPI-data'!$D99</f>
        <v>0</v>
      </c>
      <c r="E100">
        <f>'[24]GABM_R03_NavidAPI-data'!$D99</f>
        <v>0</v>
      </c>
      <c r="F100">
        <f>'[25]GABM_R03_Terry-data'!$D99</f>
        <v>0</v>
      </c>
      <c r="G100">
        <f>'[26]GABM_R03_SarahAPI-data'!$D99</f>
        <v>9</v>
      </c>
      <c r="H100">
        <f>'[27]GABM_R03_savannah-data'!$D99</f>
        <v>0</v>
      </c>
      <c r="I100">
        <f>'[28]GABM_R03_MitchellAPI-data'!$D99</f>
        <v>20</v>
      </c>
      <c r="J100">
        <f>'[29]GABM_R03_SudipaAPI-data'!$D99</f>
        <v>4</v>
      </c>
      <c r="K100">
        <f>'[30]R03_GABM_run2-data'!$D99</f>
        <v>0</v>
      </c>
      <c r="L100">
        <f t="shared" si="1"/>
        <v>3.3</v>
      </c>
    </row>
    <row r="101" spans="1:12" x14ac:dyDescent="0.35">
      <c r="A101">
        <v>98</v>
      </c>
      <c r="B101">
        <f>'[21]R03_GABM-data'!$D100</f>
        <v>0</v>
      </c>
      <c r="C101">
        <f>'[22]GABM_R03_RossAPI-data'!$D100</f>
        <v>0</v>
      </c>
      <c r="D101">
        <f>'[23]GABM_R03_RandiAPI-data'!$D100</f>
        <v>0</v>
      </c>
      <c r="E101">
        <f>'[24]GABM_R03_NavidAPI-data'!$D100</f>
        <v>0</v>
      </c>
      <c r="F101">
        <f>'[25]GABM_R03_Terry-data'!$D100</f>
        <v>0</v>
      </c>
      <c r="G101">
        <f>'[26]GABM_R03_SarahAPI-data'!$D100</f>
        <v>9</v>
      </c>
      <c r="H101">
        <f>'[27]GABM_R03_savannah-data'!$D100</f>
        <v>0</v>
      </c>
      <c r="I101">
        <f>'[28]GABM_R03_MitchellAPI-data'!$D100</f>
        <v>19</v>
      </c>
      <c r="J101">
        <f>'[29]GABM_R03_SudipaAPI-data'!$D100</f>
        <v>2</v>
      </c>
      <c r="K101">
        <f>'[30]R03_GABM_run2-data'!$D100</f>
        <v>0</v>
      </c>
      <c r="L101">
        <f t="shared" si="1"/>
        <v>3</v>
      </c>
    </row>
    <row r="102" spans="1:12" x14ac:dyDescent="0.35">
      <c r="A102">
        <v>99</v>
      </c>
      <c r="B102">
        <f>'[21]R03_GABM-data'!$D101</f>
        <v>0</v>
      </c>
      <c r="C102">
        <f>'[22]GABM_R03_RossAPI-data'!$D101</f>
        <v>0</v>
      </c>
      <c r="D102">
        <f>'[23]GABM_R03_RandiAPI-data'!$D101</f>
        <v>0</v>
      </c>
      <c r="E102">
        <f>'[24]GABM_R03_NavidAPI-data'!$D101</f>
        <v>0</v>
      </c>
      <c r="F102">
        <f>'[25]GABM_R03_Terry-data'!$D101</f>
        <v>0</v>
      </c>
      <c r="G102">
        <f>'[26]GABM_R03_SarahAPI-data'!$D101</f>
        <v>9</v>
      </c>
      <c r="H102">
        <f>'[27]GABM_R03_savannah-data'!$D101</f>
        <v>0</v>
      </c>
      <c r="I102">
        <f>'[28]GABM_R03_MitchellAPI-data'!$D101</f>
        <v>14</v>
      </c>
      <c r="J102">
        <f>'[29]GABM_R03_SudipaAPI-data'!$D101</f>
        <v>3</v>
      </c>
      <c r="K102">
        <f>'[30]R03_GABM_run2-data'!$D101</f>
        <v>0</v>
      </c>
      <c r="L102">
        <f t="shared" si="1"/>
        <v>2.6</v>
      </c>
    </row>
    <row r="103" spans="1:12" x14ac:dyDescent="0.35">
      <c r="A103">
        <v>100</v>
      </c>
      <c r="B103">
        <f>'[21]R03_GABM-data'!$D102</f>
        <v>0</v>
      </c>
      <c r="C103">
        <f>'[22]GABM_R03_RossAPI-data'!$D102</f>
        <v>0</v>
      </c>
      <c r="D103">
        <f>'[23]GABM_R03_RandiAPI-data'!$D102</f>
        <v>0</v>
      </c>
      <c r="E103">
        <f>'[24]GABM_R03_NavidAPI-data'!$D102</f>
        <v>0</v>
      </c>
      <c r="F103">
        <f>'[25]GABM_R03_Terry-data'!$D102</f>
        <v>0</v>
      </c>
      <c r="G103">
        <f>'[26]GABM_R03_SarahAPI-data'!$D102</f>
        <v>8</v>
      </c>
      <c r="H103">
        <f>'[27]GABM_R03_savannah-data'!$D102</f>
        <v>0</v>
      </c>
      <c r="I103">
        <f>'[28]GABM_R03_MitchellAPI-data'!$D102</f>
        <v>11</v>
      </c>
      <c r="J103">
        <f>'[29]GABM_R03_SudipaAPI-data'!$D102</f>
        <v>3</v>
      </c>
      <c r="K103">
        <f>'[30]R03_GABM_run2-data'!$D102</f>
        <v>0</v>
      </c>
      <c r="L103">
        <f t="shared" si="1"/>
        <v>2.2000000000000002</v>
      </c>
    </row>
    <row r="104" spans="1:12" x14ac:dyDescent="0.35">
      <c r="A104">
        <v>101</v>
      </c>
      <c r="B104">
        <f>'[21]R03_GABM-data'!$D103</f>
        <v>0</v>
      </c>
      <c r="C104">
        <f>'[22]GABM_R03_RossAPI-data'!$D103</f>
        <v>0</v>
      </c>
      <c r="D104">
        <f>'[23]GABM_R03_RandiAPI-data'!$D103</f>
        <v>0</v>
      </c>
      <c r="E104">
        <f>'[24]GABM_R03_NavidAPI-data'!$D103</f>
        <v>0</v>
      </c>
      <c r="F104">
        <f>'[25]GABM_R03_Terry-data'!$D103</f>
        <v>0</v>
      </c>
      <c r="G104">
        <f>'[26]GABM_R03_SarahAPI-data'!$D103</f>
        <v>5</v>
      </c>
      <c r="H104">
        <f>'[27]GABM_R03_savannah-data'!$D103</f>
        <v>0</v>
      </c>
      <c r="I104">
        <f>'[28]GABM_R03_MitchellAPI-data'!$D103</f>
        <v>9</v>
      </c>
      <c r="J104">
        <f>'[29]GABM_R03_SudipaAPI-data'!$D103</f>
        <v>3</v>
      </c>
      <c r="K104">
        <f>'[30]R03_GABM_run2-data'!$D103</f>
        <v>0</v>
      </c>
      <c r="L104">
        <f t="shared" si="1"/>
        <v>1.7</v>
      </c>
    </row>
    <row r="105" spans="1:12" x14ac:dyDescent="0.35">
      <c r="A105">
        <v>102</v>
      </c>
      <c r="B105">
        <f>'[21]R03_GABM-data'!$D104</f>
        <v>0</v>
      </c>
      <c r="C105">
        <f>'[22]GABM_R03_RossAPI-data'!$D104</f>
        <v>0</v>
      </c>
      <c r="D105">
        <f>'[23]GABM_R03_RandiAPI-data'!$D104</f>
        <v>0</v>
      </c>
      <c r="E105">
        <f>'[24]GABM_R03_NavidAPI-data'!$D104</f>
        <v>0</v>
      </c>
      <c r="F105">
        <f>'[25]GABM_R03_Terry-data'!$D104</f>
        <v>0</v>
      </c>
      <c r="G105">
        <f>'[26]GABM_R03_SarahAPI-data'!$D104</f>
        <v>5</v>
      </c>
      <c r="H105">
        <f>'[27]GABM_R03_savannah-data'!$D104</f>
        <v>0</v>
      </c>
      <c r="I105">
        <f>'[28]GABM_R03_MitchellAPI-data'!$D104</f>
        <v>8</v>
      </c>
      <c r="J105">
        <f>'[29]GABM_R03_SudipaAPI-data'!$D104</f>
        <v>3</v>
      </c>
      <c r="K105">
        <f>'[30]R03_GABM_run2-data'!$D104</f>
        <v>0</v>
      </c>
      <c r="L105">
        <f t="shared" si="1"/>
        <v>1.6</v>
      </c>
    </row>
    <row r="106" spans="1:12" x14ac:dyDescent="0.35">
      <c r="A106">
        <v>103</v>
      </c>
      <c r="B106">
        <f>'[21]R03_GABM-data'!$D105</f>
        <v>0</v>
      </c>
      <c r="C106">
        <f>'[22]GABM_R03_RossAPI-data'!$D105</f>
        <v>0</v>
      </c>
      <c r="D106">
        <f>'[23]GABM_R03_RandiAPI-data'!$D105</f>
        <v>0</v>
      </c>
      <c r="E106">
        <f>'[24]GABM_R03_NavidAPI-data'!$D105</f>
        <v>0</v>
      </c>
      <c r="F106">
        <f>'[25]GABM_R03_Terry-data'!$D105</f>
        <v>0</v>
      </c>
      <c r="G106">
        <f>'[26]GABM_R03_SarahAPI-data'!$D105</f>
        <v>3</v>
      </c>
      <c r="H106">
        <f>'[27]GABM_R03_savannah-data'!$D105</f>
        <v>0</v>
      </c>
      <c r="I106">
        <f>'[28]GABM_R03_MitchellAPI-data'!$D105</f>
        <v>4</v>
      </c>
      <c r="J106">
        <f>'[29]GABM_R03_SudipaAPI-data'!$D105</f>
        <v>3</v>
      </c>
      <c r="K106">
        <f>'[30]R03_GABM_run2-data'!$D105</f>
        <v>0</v>
      </c>
      <c r="L106">
        <f t="shared" si="1"/>
        <v>1</v>
      </c>
    </row>
    <row r="107" spans="1:12" x14ac:dyDescent="0.35">
      <c r="A107">
        <v>104</v>
      </c>
      <c r="B107">
        <f>'[21]R03_GABM-data'!$D106</f>
        <v>0</v>
      </c>
      <c r="C107">
        <f>'[22]GABM_R03_RossAPI-data'!$D106</f>
        <v>0</v>
      </c>
      <c r="D107">
        <f>'[23]GABM_R03_RandiAPI-data'!$D106</f>
        <v>0</v>
      </c>
      <c r="E107">
        <f>'[24]GABM_R03_NavidAPI-data'!$D106</f>
        <v>0</v>
      </c>
      <c r="F107">
        <f>'[25]GABM_R03_Terry-data'!$D106</f>
        <v>0</v>
      </c>
      <c r="G107">
        <f>'[26]GABM_R03_SarahAPI-data'!$D106</f>
        <v>4</v>
      </c>
      <c r="H107">
        <f>'[27]GABM_R03_savannah-data'!$D106</f>
        <v>0</v>
      </c>
      <c r="I107">
        <f>'[28]GABM_R03_MitchellAPI-data'!$D106</f>
        <v>3</v>
      </c>
      <c r="J107">
        <f>'[29]GABM_R03_SudipaAPI-data'!$D106</f>
        <v>3</v>
      </c>
      <c r="K107">
        <f>'[30]R03_GABM_run2-data'!$D106</f>
        <v>0</v>
      </c>
      <c r="L107">
        <f t="shared" si="1"/>
        <v>1</v>
      </c>
    </row>
    <row r="108" spans="1:12" x14ac:dyDescent="0.35">
      <c r="A108">
        <v>105</v>
      </c>
      <c r="B108">
        <f>'[21]R03_GABM-data'!$D107</f>
        <v>0</v>
      </c>
      <c r="C108">
        <f>'[22]GABM_R03_RossAPI-data'!$D107</f>
        <v>0</v>
      </c>
      <c r="D108">
        <f>'[23]GABM_R03_RandiAPI-data'!$D107</f>
        <v>0</v>
      </c>
      <c r="E108">
        <f>'[24]GABM_R03_NavidAPI-data'!$D107</f>
        <v>0</v>
      </c>
      <c r="F108">
        <f>'[25]GABM_R03_Terry-data'!$D107</f>
        <v>0</v>
      </c>
      <c r="G108">
        <f>'[26]GABM_R03_SarahAPI-data'!$D107</f>
        <v>5</v>
      </c>
      <c r="H108">
        <f>'[27]GABM_R03_savannah-data'!$D107</f>
        <v>0</v>
      </c>
      <c r="I108">
        <f>'[28]GABM_R03_MitchellAPI-data'!$D107</f>
        <v>3</v>
      </c>
      <c r="J108">
        <f>'[29]GABM_R03_SudipaAPI-data'!$D107</f>
        <v>3</v>
      </c>
      <c r="K108">
        <f>'[30]R03_GABM_run2-data'!$D107</f>
        <v>0</v>
      </c>
      <c r="L108">
        <f t="shared" si="1"/>
        <v>1.1000000000000001</v>
      </c>
    </row>
    <row r="109" spans="1:12" x14ac:dyDescent="0.35">
      <c r="A109">
        <v>106</v>
      </c>
      <c r="B109">
        <f>'[21]R03_GABM-data'!$D108</f>
        <v>0</v>
      </c>
      <c r="C109">
        <f>'[22]GABM_R03_RossAPI-data'!$D108</f>
        <v>0</v>
      </c>
      <c r="D109">
        <f>'[23]GABM_R03_RandiAPI-data'!$D108</f>
        <v>0</v>
      </c>
      <c r="E109">
        <f>'[24]GABM_R03_NavidAPI-data'!$D108</f>
        <v>0</v>
      </c>
      <c r="F109">
        <f>'[25]GABM_R03_Terry-data'!$D108</f>
        <v>0</v>
      </c>
      <c r="G109">
        <f>'[26]GABM_R03_SarahAPI-data'!$D108</f>
        <v>6</v>
      </c>
      <c r="H109">
        <f>'[27]GABM_R03_savannah-data'!$D108</f>
        <v>0</v>
      </c>
      <c r="I109">
        <f>'[28]GABM_R03_MitchellAPI-data'!$D108</f>
        <v>3</v>
      </c>
      <c r="J109">
        <f>'[29]GABM_R03_SudipaAPI-data'!$D108</f>
        <v>3</v>
      </c>
      <c r="K109">
        <f>'[30]R03_GABM_run2-data'!$D108</f>
        <v>0</v>
      </c>
      <c r="L109">
        <f t="shared" si="1"/>
        <v>1.2</v>
      </c>
    </row>
    <row r="110" spans="1:12" x14ac:dyDescent="0.35">
      <c r="A110">
        <v>107</v>
      </c>
      <c r="B110">
        <f>'[21]R03_GABM-data'!$D109</f>
        <v>0</v>
      </c>
      <c r="C110">
        <f>'[22]GABM_R03_RossAPI-data'!$D109</f>
        <v>0</v>
      </c>
      <c r="D110">
        <f>'[23]GABM_R03_RandiAPI-data'!$D109</f>
        <v>0</v>
      </c>
      <c r="E110">
        <f>'[24]GABM_R03_NavidAPI-data'!$D109</f>
        <v>0</v>
      </c>
      <c r="F110">
        <f>'[25]GABM_R03_Terry-data'!$D109</f>
        <v>0</v>
      </c>
      <c r="G110">
        <f>'[26]GABM_R03_SarahAPI-data'!$D109</f>
        <v>7</v>
      </c>
      <c r="H110">
        <f>'[27]GABM_R03_savannah-data'!$D109</f>
        <v>0</v>
      </c>
      <c r="I110">
        <f>'[28]GABM_R03_MitchellAPI-data'!$D109</f>
        <v>4</v>
      </c>
      <c r="J110">
        <f>'[29]GABM_R03_SudipaAPI-data'!$D109</f>
        <v>3</v>
      </c>
      <c r="K110">
        <f>'[30]R03_GABM_run2-data'!$D109</f>
        <v>0</v>
      </c>
      <c r="L110">
        <f t="shared" si="1"/>
        <v>1.4</v>
      </c>
    </row>
    <row r="111" spans="1:12" x14ac:dyDescent="0.35">
      <c r="A111">
        <v>108</v>
      </c>
      <c r="B111">
        <f>'[21]R03_GABM-data'!$D110</f>
        <v>0</v>
      </c>
      <c r="C111">
        <f>'[22]GABM_R03_RossAPI-data'!$D110</f>
        <v>0</v>
      </c>
      <c r="D111">
        <f>'[23]GABM_R03_RandiAPI-data'!$D110</f>
        <v>0</v>
      </c>
      <c r="E111">
        <f>'[24]GABM_R03_NavidAPI-data'!$D110</f>
        <v>0</v>
      </c>
      <c r="F111">
        <f>'[25]GABM_R03_Terry-data'!$D110</f>
        <v>0</v>
      </c>
      <c r="G111">
        <f>'[26]GABM_R03_SarahAPI-data'!$D110</f>
        <v>6</v>
      </c>
      <c r="H111">
        <f>'[27]GABM_R03_savannah-data'!$D110</f>
        <v>0</v>
      </c>
      <c r="I111">
        <f>'[28]GABM_R03_MitchellAPI-data'!$D110</f>
        <v>5</v>
      </c>
      <c r="J111">
        <f>'[29]GABM_R03_SudipaAPI-data'!$D110</f>
        <v>6</v>
      </c>
      <c r="K111">
        <f>'[30]R03_GABM_run2-data'!$D110</f>
        <v>0</v>
      </c>
      <c r="L111">
        <f t="shared" si="1"/>
        <v>1.7</v>
      </c>
    </row>
    <row r="112" spans="1:12" x14ac:dyDescent="0.35">
      <c r="A112">
        <v>109</v>
      </c>
      <c r="B112">
        <f>'[21]R03_GABM-data'!$D111</f>
        <v>0</v>
      </c>
      <c r="C112">
        <f>'[22]GABM_R03_RossAPI-data'!$D111</f>
        <v>0</v>
      </c>
      <c r="D112">
        <f>'[23]GABM_R03_RandiAPI-data'!$D111</f>
        <v>0</v>
      </c>
      <c r="E112">
        <f>'[24]GABM_R03_NavidAPI-data'!$D111</f>
        <v>0</v>
      </c>
      <c r="F112">
        <f>'[25]GABM_R03_Terry-data'!$D111</f>
        <v>0</v>
      </c>
      <c r="G112">
        <f>'[26]GABM_R03_SarahAPI-data'!$D111</f>
        <v>9</v>
      </c>
      <c r="H112">
        <f>'[27]GABM_R03_savannah-data'!$D111</f>
        <v>0</v>
      </c>
      <c r="I112">
        <f>'[28]GABM_R03_MitchellAPI-data'!$D111</f>
        <v>6</v>
      </c>
      <c r="J112">
        <f>'[29]GABM_R03_SudipaAPI-data'!$D111</f>
        <v>7</v>
      </c>
      <c r="K112">
        <f>'[30]R03_GABM_run2-data'!$D111</f>
        <v>0</v>
      </c>
      <c r="L112">
        <f t="shared" si="1"/>
        <v>2.2000000000000002</v>
      </c>
    </row>
    <row r="113" spans="1:12" x14ac:dyDescent="0.35">
      <c r="A113">
        <v>110</v>
      </c>
      <c r="B113">
        <f>'[21]R03_GABM-data'!$D112</f>
        <v>0</v>
      </c>
      <c r="C113">
        <f>'[22]GABM_R03_RossAPI-data'!$D112</f>
        <v>0</v>
      </c>
      <c r="D113">
        <f>'[23]GABM_R03_RandiAPI-data'!$D112</f>
        <v>0</v>
      </c>
      <c r="E113">
        <f>'[24]GABM_R03_NavidAPI-data'!$D112</f>
        <v>0</v>
      </c>
      <c r="F113">
        <f>'[25]GABM_R03_Terry-data'!$D112</f>
        <v>0</v>
      </c>
      <c r="G113">
        <f>'[26]GABM_R03_SarahAPI-data'!$D112</f>
        <v>11</v>
      </c>
      <c r="H113">
        <f>'[27]GABM_R03_savannah-data'!$D112</f>
        <v>0</v>
      </c>
      <c r="I113">
        <f>'[28]GABM_R03_MitchellAPI-data'!$D112</f>
        <v>6</v>
      </c>
      <c r="J113">
        <f>'[29]GABM_R03_SudipaAPI-data'!$D112</f>
        <v>7</v>
      </c>
      <c r="K113">
        <f>'[30]R03_GABM_run2-data'!$D112</f>
        <v>0</v>
      </c>
      <c r="L113">
        <f t="shared" si="1"/>
        <v>2.4</v>
      </c>
    </row>
    <row r="114" spans="1:12" x14ac:dyDescent="0.35">
      <c r="A114">
        <v>111</v>
      </c>
      <c r="B114">
        <f>'[21]R03_GABM-data'!$D113</f>
        <v>0</v>
      </c>
      <c r="C114">
        <f>'[22]GABM_R03_RossAPI-data'!$D113</f>
        <v>0</v>
      </c>
      <c r="D114">
        <f>'[23]GABM_R03_RandiAPI-data'!$D113</f>
        <v>0</v>
      </c>
      <c r="E114">
        <f>'[24]GABM_R03_NavidAPI-data'!$D113</f>
        <v>0</v>
      </c>
      <c r="F114">
        <f>'[25]GABM_R03_Terry-data'!$D113</f>
        <v>0</v>
      </c>
      <c r="G114">
        <f>'[26]GABM_R03_SarahAPI-data'!$D113</f>
        <v>12</v>
      </c>
      <c r="H114">
        <f>'[27]GABM_R03_savannah-data'!$D113</f>
        <v>0</v>
      </c>
      <c r="I114">
        <f>'[28]GABM_R03_MitchellAPI-data'!$D113</f>
        <v>4</v>
      </c>
      <c r="J114">
        <f>'[29]GABM_R03_SudipaAPI-data'!$D113</f>
        <v>7</v>
      </c>
      <c r="K114">
        <f>'[30]R03_GABM_run2-data'!$D113</f>
        <v>0</v>
      </c>
      <c r="L114">
        <f t="shared" si="1"/>
        <v>2.2999999999999998</v>
      </c>
    </row>
    <row r="115" spans="1:12" x14ac:dyDescent="0.35">
      <c r="A115">
        <v>112</v>
      </c>
      <c r="B115">
        <f>'[21]R03_GABM-data'!$D114</f>
        <v>0</v>
      </c>
      <c r="C115">
        <f>'[22]GABM_R03_RossAPI-data'!$D114</f>
        <v>0</v>
      </c>
      <c r="D115">
        <f>'[23]GABM_R03_RandiAPI-data'!$D114</f>
        <v>0</v>
      </c>
      <c r="E115">
        <f>'[24]GABM_R03_NavidAPI-data'!$D114</f>
        <v>0</v>
      </c>
      <c r="F115">
        <f>'[25]GABM_R03_Terry-data'!$D114</f>
        <v>0</v>
      </c>
      <c r="G115">
        <f>'[26]GABM_R03_SarahAPI-data'!$D114</f>
        <v>15</v>
      </c>
      <c r="H115">
        <f>'[27]GABM_R03_savannah-data'!$D114</f>
        <v>0</v>
      </c>
      <c r="I115">
        <f>'[28]GABM_R03_MitchellAPI-data'!$D114</f>
        <v>3</v>
      </c>
      <c r="J115">
        <f>'[29]GABM_R03_SudipaAPI-data'!$D114</f>
        <v>8</v>
      </c>
      <c r="K115">
        <f>'[30]R03_GABM_run2-data'!$D114</f>
        <v>0</v>
      </c>
      <c r="L115">
        <f t="shared" si="1"/>
        <v>2.6</v>
      </c>
    </row>
    <row r="116" spans="1:12" x14ac:dyDescent="0.35">
      <c r="A116">
        <v>113</v>
      </c>
      <c r="B116">
        <f>'[21]R03_GABM-data'!$D115</f>
        <v>0</v>
      </c>
      <c r="C116">
        <f>'[22]GABM_R03_RossAPI-data'!$D115</f>
        <v>0</v>
      </c>
      <c r="D116">
        <f>'[23]GABM_R03_RandiAPI-data'!$D115</f>
        <v>0</v>
      </c>
      <c r="E116">
        <f>'[24]GABM_R03_NavidAPI-data'!$D115</f>
        <v>0</v>
      </c>
      <c r="F116">
        <f>'[25]GABM_R03_Terry-data'!$D115</f>
        <v>0</v>
      </c>
      <c r="G116">
        <f>'[26]GABM_R03_SarahAPI-data'!$D115</f>
        <v>19</v>
      </c>
      <c r="H116">
        <f>'[27]GABM_R03_savannah-data'!$D115</f>
        <v>0</v>
      </c>
      <c r="I116">
        <f>'[28]GABM_R03_MitchellAPI-data'!$D115</f>
        <v>2</v>
      </c>
      <c r="J116">
        <f>'[29]GABM_R03_SudipaAPI-data'!$D115</f>
        <v>9</v>
      </c>
      <c r="K116">
        <f>'[30]R03_GABM_run2-data'!$D115</f>
        <v>0</v>
      </c>
      <c r="L116">
        <f t="shared" si="1"/>
        <v>3</v>
      </c>
    </row>
    <row r="117" spans="1:12" x14ac:dyDescent="0.35">
      <c r="A117">
        <v>114</v>
      </c>
      <c r="B117">
        <f>'[21]R03_GABM-data'!$D116</f>
        <v>0</v>
      </c>
      <c r="C117">
        <f>'[22]GABM_R03_RossAPI-data'!$D116</f>
        <v>0</v>
      </c>
      <c r="D117">
        <f>'[23]GABM_R03_RandiAPI-data'!$D116</f>
        <v>0</v>
      </c>
      <c r="E117">
        <f>'[24]GABM_R03_NavidAPI-data'!$D116</f>
        <v>0</v>
      </c>
      <c r="F117">
        <f>'[25]GABM_R03_Terry-data'!$D116</f>
        <v>0</v>
      </c>
      <c r="G117">
        <f>'[26]GABM_R03_SarahAPI-data'!$D116</f>
        <v>20</v>
      </c>
      <c r="H117">
        <f>'[27]GABM_R03_savannah-data'!$D116</f>
        <v>0</v>
      </c>
      <c r="I117">
        <f>'[28]GABM_R03_MitchellAPI-data'!$D116</f>
        <v>1</v>
      </c>
      <c r="J117">
        <f>'[29]GABM_R03_SudipaAPI-data'!$D116</f>
        <v>15</v>
      </c>
      <c r="K117">
        <f>'[30]R03_GABM_run2-data'!$D116</f>
        <v>0</v>
      </c>
      <c r="L117">
        <f t="shared" si="1"/>
        <v>3.6</v>
      </c>
    </row>
    <row r="118" spans="1:12" x14ac:dyDescent="0.35">
      <c r="A118">
        <v>115</v>
      </c>
      <c r="B118">
        <f>'[21]R03_GABM-data'!$D117</f>
        <v>0</v>
      </c>
      <c r="C118">
        <f>'[22]GABM_R03_RossAPI-data'!$D117</f>
        <v>0</v>
      </c>
      <c r="D118">
        <f>'[23]GABM_R03_RandiAPI-data'!$D117</f>
        <v>0</v>
      </c>
      <c r="E118">
        <f>'[24]GABM_R03_NavidAPI-data'!$D117</f>
        <v>0</v>
      </c>
      <c r="F118">
        <f>'[25]GABM_R03_Terry-data'!$D117</f>
        <v>0</v>
      </c>
      <c r="G118">
        <f>'[26]GABM_R03_SarahAPI-data'!$D117</f>
        <v>20</v>
      </c>
      <c r="H118">
        <f>'[27]GABM_R03_savannah-data'!$D117</f>
        <v>0</v>
      </c>
      <c r="I118">
        <f>'[28]GABM_R03_MitchellAPI-data'!$D117</f>
        <v>0</v>
      </c>
      <c r="J118">
        <f>'[29]GABM_R03_SudipaAPI-data'!$D117</f>
        <v>16</v>
      </c>
      <c r="K118">
        <f>'[30]R03_GABM_run2-data'!$D117</f>
        <v>0</v>
      </c>
      <c r="L118">
        <f t="shared" si="1"/>
        <v>3.6</v>
      </c>
    </row>
    <row r="119" spans="1:12" x14ac:dyDescent="0.35">
      <c r="A119">
        <v>116</v>
      </c>
      <c r="B119">
        <f>'[21]R03_GABM-data'!$D118</f>
        <v>0</v>
      </c>
      <c r="C119">
        <f>'[22]GABM_R03_RossAPI-data'!$D118</f>
        <v>0</v>
      </c>
      <c r="D119">
        <f>'[23]GABM_R03_RandiAPI-data'!$D118</f>
        <v>0</v>
      </c>
      <c r="E119">
        <f>'[24]GABM_R03_NavidAPI-data'!$D118</f>
        <v>0</v>
      </c>
      <c r="F119">
        <f>'[25]GABM_R03_Terry-data'!$D118</f>
        <v>0</v>
      </c>
      <c r="G119">
        <f>'[26]GABM_R03_SarahAPI-data'!$D118</f>
        <v>19</v>
      </c>
      <c r="H119">
        <f>'[27]GABM_R03_savannah-data'!$D118</f>
        <v>0</v>
      </c>
      <c r="I119">
        <f>'[28]GABM_R03_MitchellAPI-data'!$D118</f>
        <v>0</v>
      </c>
      <c r="J119">
        <f>'[29]GABM_R03_SudipaAPI-data'!$D118</f>
        <v>18</v>
      </c>
      <c r="K119">
        <f>'[30]R03_GABM_run2-data'!$D118</f>
        <v>0</v>
      </c>
      <c r="L119">
        <f t="shared" si="1"/>
        <v>3.7</v>
      </c>
    </row>
    <row r="120" spans="1:12" x14ac:dyDescent="0.35">
      <c r="A120">
        <v>117</v>
      </c>
      <c r="B120">
        <f>'[21]R03_GABM-data'!$D119</f>
        <v>0</v>
      </c>
      <c r="C120">
        <f>'[22]GABM_R03_RossAPI-data'!$D119</f>
        <v>0</v>
      </c>
      <c r="D120">
        <f>'[23]GABM_R03_RandiAPI-data'!$D119</f>
        <v>0</v>
      </c>
      <c r="E120">
        <f>'[24]GABM_R03_NavidAPI-data'!$D119</f>
        <v>0</v>
      </c>
      <c r="F120">
        <f>'[25]GABM_R03_Terry-data'!$D119</f>
        <v>0</v>
      </c>
      <c r="G120">
        <f>'[26]GABM_R03_SarahAPI-data'!$D119</f>
        <v>18</v>
      </c>
      <c r="H120">
        <f>'[27]GABM_R03_savannah-data'!$D119</f>
        <v>0</v>
      </c>
      <c r="I120">
        <f>'[28]GABM_R03_MitchellAPI-data'!$D119</f>
        <v>0</v>
      </c>
      <c r="J120">
        <f>'[29]GABM_R03_SudipaAPI-data'!$D119</f>
        <v>18</v>
      </c>
      <c r="K120">
        <f>'[30]R03_GABM_run2-data'!$D119</f>
        <v>0</v>
      </c>
      <c r="L120">
        <f t="shared" si="1"/>
        <v>3.6</v>
      </c>
    </row>
    <row r="121" spans="1:12" x14ac:dyDescent="0.35">
      <c r="A121">
        <v>118</v>
      </c>
      <c r="B121">
        <f>'[21]R03_GABM-data'!$D120</f>
        <v>0</v>
      </c>
      <c r="C121">
        <f>'[22]GABM_R03_RossAPI-data'!$D120</f>
        <v>0</v>
      </c>
      <c r="D121">
        <f>'[23]GABM_R03_RandiAPI-data'!$D120</f>
        <v>0</v>
      </c>
      <c r="E121">
        <f>'[24]GABM_R03_NavidAPI-data'!$D120</f>
        <v>0</v>
      </c>
      <c r="F121">
        <f>'[25]GABM_R03_Terry-data'!$D120</f>
        <v>0</v>
      </c>
      <c r="G121">
        <f>'[26]GABM_R03_SarahAPI-data'!$D120</f>
        <v>14</v>
      </c>
      <c r="H121">
        <f>'[27]GABM_R03_savannah-data'!$D120</f>
        <v>0</v>
      </c>
      <c r="I121">
        <f>'[28]GABM_R03_MitchellAPI-data'!$D120</f>
        <v>0</v>
      </c>
      <c r="J121">
        <f>'[29]GABM_R03_SudipaAPI-data'!$D120</f>
        <v>17</v>
      </c>
      <c r="K121">
        <f>'[30]R03_GABM_run2-data'!$D120</f>
        <v>0</v>
      </c>
      <c r="L121">
        <f t="shared" si="1"/>
        <v>3.1</v>
      </c>
    </row>
    <row r="122" spans="1:12" x14ac:dyDescent="0.35">
      <c r="A122">
        <v>119</v>
      </c>
      <c r="B122">
        <f>'[21]R03_GABM-data'!$D121</f>
        <v>0</v>
      </c>
      <c r="C122">
        <f>'[22]GABM_R03_RossAPI-data'!$D121</f>
        <v>0</v>
      </c>
      <c r="D122">
        <f>'[23]GABM_R03_RandiAPI-data'!$D121</f>
        <v>0</v>
      </c>
      <c r="E122">
        <f>'[24]GABM_R03_NavidAPI-data'!$D121</f>
        <v>0</v>
      </c>
      <c r="F122">
        <f>'[25]GABM_R03_Terry-data'!$D121</f>
        <v>0</v>
      </c>
      <c r="G122">
        <f>'[26]GABM_R03_SarahAPI-data'!$D121</f>
        <v>9</v>
      </c>
      <c r="H122">
        <f>'[27]GABM_R03_savannah-data'!$D121</f>
        <v>0</v>
      </c>
      <c r="I122">
        <f>'[28]GABM_R03_MitchellAPI-data'!$D121</f>
        <v>0</v>
      </c>
      <c r="J122">
        <f>'[29]GABM_R03_SudipaAPI-data'!$D121</f>
        <v>19</v>
      </c>
      <c r="K122">
        <f>'[30]R03_GABM_run2-data'!$D121</f>
        <v>0</v>
      </c>
      <c r="L122">
        <f t="shared" si="1"/>
        <v>2.8</v>
      </c>
    </row>
    <row r="123" spans="1:12" x14ac:dyDescent="0.35">
      <c r="A123">
        <v>120</v>
      </c>
      <c r="B123">
        <f>'[21]R03_GABM-data'!$D122</f>
        <v>0</v>
      </c>
      <c r="C123">
        <f>'[22]GABM_R03_RossAPI-data'!$D122</f>
        <v>0</v>
      </c>
      <c r="D123">
        <f>'[23]GABM_R03_RandiAPI-data'!$D122</f>
        <v>0</v>
      </c>
      <c r="E123">
        <f>'[24]GABM_R03_NavidAPI-data'!$D122</f>
        <v>0</v>
      </c>
      <c r="F123">
        <f>'[25]GABM_R03_Terry-data'!$D122</f>
        <v>0</v>
      </c>
      <c r="G123">
        <f>'[26]GABM_R03_SarahAPI-data'!$D122</f>
        <v>7</v>
      </c>
      <c r="H123">
        <f>'[27]GABM_R03_savannah-data'!$D122</f>
        <v>0</v>
      </c>
      <c r="I123">
        <f>'[28]GABM_R03_MitchellAPI-data'!$D122</f>
        <v>0</v>
      </c>
      <c r="J123">
        <f>'[29]GABM_R03_SudipaAPI-data'!$D122</f>
        <v>12</v>
      </c>
      <c r="K123">
        <f>'[30]R03_GABM_run2-data'!$D122</f>
        <v>0</v>
      </c>
      <c r="L123">
        <f t="shared" si="1"/>
        <v>1.9</v>
      </c>
    </row>
    <row r="124" spans="1:12" x14ac:dyDescent="0.35">
      <c r="A124">
        <v>121</v>
      </c>
      <c r="B124">
        <f>'[21]R03_GABM-data'!$D123</f>
        <v>0</v>
      </c>
      <c r="C124">
        <f>'[22]GABM_R03_RossAPI-data'!$D123</f>
        <v>0</v>
      </c>
      <c r="D124">
        <f>'[23]GABM_R03_RandiAPI-data'!$D123</f>
        <v>0</v>
      </c>
      <c r="E124">
        <f>'[24]GABM_R03_NavidAPI-data'!$D123</f>
        <v>0</v>
      </c>
      <c r="F124">
        <f>'[25]GABM_R03_Terry-data'!$D123</f>
        <v>0</v>
      </c>
      <c r="G124">
        <f>'[26]GABM_R03_SarahAPI-data'!$D123</f>
        <v>3</v>
      </c>
      <c r="H124">
        <f>'[27]GABM_R03_savannah-data'!$D123</f>
        <v>0</v>
      </c>
      <c r="I124">
        <f>'[28]GABM_R03_MitchellAPI-data'!$D123</f>
        <v>0</v>
      </c>
      <c r="J124">
        <f>'[29]GABM_R03_SudipaAPI-data'!$D123</f>
        <v>14</v>
      </c>
      <c r="K124">
        <f>'[30]R03_GABM_run2-data'!$D123</f>
        <v>0</v>
      </c>
      <c r="L124">
        <f t="shared" si="1"/>
        <v>1.7</v>
      </c>
    </row>
    <row r="125" spans="1:12" x14ac:dyDescent="0.35">
      <c r="A125">
        <v>122</v>
      </c>
      <c r="B125">
        <f>'[21]R03_GABM-data'!$D124</f>
        <v>0</v>
      </c>
      <c r="C125">
        <f>'[22]GABM_R03_RossAPI-data'!$D124</f>
        <v>0</v>
      </c>
      <c r="D125">
        <f>'[23]GABM_R03_RandiAPI-data'!$D124</f>
        <v>0</v>
      </c>
      <c r="E125">
        <f>'[24]GABM_R03_NavidAPI-data'!$D124</f>
        <v>0</v>
      </c>
      <c r="F125">
        <f>'[25]GABM_R03_Terry-data'!$D124</f>
        <v>0</v>
      </c>
      <c r="G125">
        <f>'[26]GABM_R03_SarahAPI-data'!$D124</f>
        <v>1</v>
      </c>
      <c r="H125">
        <f>'[27]GABM_R03_savannah-data'!$D124</f>
        <v>0</v>
      </c>
      <c r="I125">
        <f>'[28]GABM_R03_MitchellAPI-data'!$D124</f>
        <v>0</v>
      </c>
      <c r="J125">
        <f>'[29]GABM_R03_SudipaAPI-data'!$D124</f>
        <v>15</v>
      </c>
      <c r="K125">
        <f>'[30]R03_GABM_run2-data'!$D124</f>
        <v>0</v>
      </c>
      <c r="L125">
        <f t="shared" si="1"/>
        <v>1.6</v>
      </c>
    </row>
    <row r="126" spans="1:12" x14ac:dyDescent="0.35">
      <c r="A126">
        <v>123</v>
      </c>
      <c r="B126">
        <f>'[21]R03_GABM-data'!$D125</f>
        <v>0</v>
      </c>
      <c r="C126">
        <f>'[22]GABM_R03_RossAPI-data'!$D125</f>
        <v>0</v>
      </c>
      <c r="D126">
        <f>'[23]GABM_R03_RandiAPI-data'!$D125</f>
        <v>0</v>
      </c>
      <c r="E126">
        <f>'[24]GABM_R03_NavidAPI-data'!$D125</f>
        <v>0</v>
      </c>
      <c r="F126">
        <f>'[25]GABM_R03_Terry-data'!$D125</f>
        <v>0</v>
      </c>
      <c r="G126">
        <f>'[26]GABM_R03_SarahAPI-data'!$D125</f>
        <v>0</v>
      </c>
      <c r="H126">
        <f>'[27]GABM_R03_savannah-data'!$D125</f>
        <v>0</v>
      </c>
      <c r="I126">
        <f>'[28]GABM_R03_MitchellAPI-data'!$D125</f>
        <v>0</v>
      </c>
      <c r="J126">
        <f>'[29]GABM_R03_SudipaAPI-data'!$D125</f>
        <v>18</v>
      </c>
      <c r="K126">
        <f>'[30]R03_GABM_run2-data'!$D125</f>
        <v>0</v>
      </c>
      <c r="L126">
        <f t="shared" si="1"/>
        <v>1.8</v>
      </c>
    </row>
    <row r="127" spans="1:12" x14ac:dyDescent="0.35">
      <c r="A127">
        <v>124</v>
      </c>
      <c r="B127">
        <f>'[21]R03_GABM-data'!$D126</f>
        <v>0</v>
      </c>
      <c r="C127">
        <f>'[22]GABM_R03_RossAPI-data'!$D126</f>
        <v>0</v>
      </c>
      <c r="D127">
        <f>'[23]GABM_R03_RandiAPI-data'!$D126</f>
        <v>0</v>
      </c>
      <c r="E127">
        <f>'[24]GABM_R03_NavidAPI-data'!$D126</f>
        <v>0</v>
      </c>
      <c r="F127">
        <f>'[25]GABM_R03_Terry-data'!$D126</f>
        <v>0</v>
      </c>
      <c r="G127">
        <f>'[26]GABM_R03_SarahAPI-data'!$D126</f>
        <v>0</v>
      </c>
      <c r="H127">
        <f>'[27]GABM_R03_savannah-data'!$D126</f>
        <v>0</v>
      </c>
      <c r="I127">
        <f>'[28]GABM_R03_MitchellAPI-data'!$D126</f>
        <v>0</v>
      </c>
      <c r="J127">
        <f>'[29]GABM_R03_SudipaAPI-data'!$D126</f>
        <v>20</v>
      </c>
      <c r="K127">
        <f>'[30]R03_GABM_run2-data'!$D126</f>
        <v>0</v>
      </c>
      <c r="L127">
        <f t="shared" si="1"/>
        <v>2</v>
      </c>
    </row>
    <row r="128" spans="1:12" x14ac:dyDescent="0.35">
      <c r="A128">
        <v>125</v>
      </c>
      <c r="B128">
        <f>'[21]R03_GABM-data'!$D127</f>
        <v>0</v>
      </c>
      <c r="C128">
        <f>'[22]GABM_R03_RossAPI-data'!$D127</f>
        <v>0</v>
      </c>
      <c r="D128">
        <f>'[23]GABM_R03_RandiAPI-data'!$D127</f>
        <v>0</v>
      </c>
      <c r="E128">
        <f>'[24]GABM_R03_NavidAPI-data'!$D127</f>
        <v>0</v>
      </c>
      <c r="F128">
        <f>'[25]GABM_R03_Terry-data'!$D127</f>
        <v>0</v>
      </c>
      <c r="G128">
        <f>'[26]GABM_R03_SarahAPI-data'!$D127</f>
        <v>0</v>
      </c>
      <c r="H128">
        <f>'[27]GABM_R03_savannah-data'!$D127</f>
        <v>0</v>
      </c>
      <c r="I128">
        <f>'[28]GABM_R03_MitchellAPI-data'!$D127</f>
        <v>0</v>
      </c>
      <c r="J128">
        <f>'[29]GABM_R03_SudipaAPI-data'!$D127</f>
        <v>18</v>
      </c>
      <c r="K128">
        <f>'[30]R03_GABM_run2-data'!$D127</f>
        <v>0</v>
      </c>
      <c r="L128">
        <f t="shared" si="1"/>
        <v>1.8</v>
      </c>
    </row>
    <row r="129" spans="1:12" x14ac:dyDescent="0.35">
      <c r="A129">
        <v>126</v>
      </c>
      <c r="B129">
        <f>'[21]R03_GABM-data'!$D128</f>
        <v>0</v>
      </c>
      <c r="C129">
        <f>'[22]GABM_R03_RossAPI-data'!$D128</f>
        <v>0</v>
      </c>
      <c r="D129">
        <f>'[23]GABM_R03_RandiAPI-data'!$D128</f>
        <v>0</v>
      </c>
      <c r="E129">
        <f>'[24]GABM_R03_NavidAPI-data'!$D128</f>
        <v>0</v>
      </c>
      <c r="F129">
        <f>'[25]GABM_R03_Terry-data'!$D128</f>
        <v>0</v>
      </c>
      <c r="G129">
        <f>'[26]GABM_R03_SarahAPI-data'!$D128</f>
        <v>0</v>
      </c>
      <c r="H129">
        <f>'[27]GABM_R03_savannah-data'!$D128</f>
        <v>0</v>
      </c>
      <c r="I129">
        <f>'[28]GABM_R03_MitchellAPI-data'!$D128</f>
        <v>0</v>
      </c>
      <c r="J129">
        <f>'[29]GABM_R03_SudipaAPI-data'!$D128</f>
        <v>16</v>
      </c>
      <c r="K129">
        <f>'[30]R03_GABM_run2-data'!$D128</f>
        <v>0</v>
      </c>
      <c r="L129">
        <f t="shared" si="1"/>
        <v>1.6</v>
      </c>
    </row>
    <row r="130" spans="1:12" x14ac:dyDescent="0.35">
      <c r="A130">
        <v>127</v>
      </c>
      <c r="B130">
        <f>'[21]R03_GABM-data'!$D129</f>
        <v>0</v>
      </c>
      <c r="C130">
        <f>'[22]GABM_R03_RossAPI-data'!$D129</f>
        <v>0</v>
      </c>
      <c r="D130">
        <f>'[23]GABM_R03_RandiAPI-data'!$D129</f>
        <v>0</v>
      </c>
      <c r="E130">
        <f>'[24]GABM_R03_NavidAPI-data'!$D129</f>
        <v>0</v>
      </c>
      <c r="F130">
        <f>'[25]GABM_R03_Terry-data'!$D129</f>
        <v>0</v>
      </c>
      <c r="G130">
        <f>'[26]GABM_R03_SarahAPI-data'!$D129</f>
        <v>0</v>
      </c>
      <c r="H130">
        <f>'[27]GABM_R03_savannah-data'!$D129</f>
        <v>0</v>
      </c>
      <c r="I130">
        <f>'[28]GABM_R03_MitchellAPI-data'!$D129</f>
        <v>0</v>
      </c>
      <c r="J130">
        <f>'[29]GABM_R03_SudipaAPI-data'!$D129</f>
        <v>12</v>
      </c>
      <c r="K130">
        <f>'[30]R03_GABM_run2-data'!$D129</f>
        <v>0</v>
      </c>
      <c r="L130">
        <f t="shared" si="1"/>
        <v>1.2</v>
      </c>
    </row>
    <row r="131" spans="1:12" x14ac:dyDescent="0.35">
      <c r="A131">
        <v>128</v>
      </c>
      <c r="B131">
        <f>'[21]R03_GABM-data'!$D130</f>
        <v>0</v>
      </c>
      <c r="C131">
        <f>'[22]GABM_R03_RossAPI-data'!$D130</f>
        <v>0</v>
      </c>
      <c r="D131">
        <f>'[23]GABM_R03_RandiAPI-data'!$D130</f>
        <v>0</v>
      </c>
      <c r="E131">
        <f>'[24]GABM_R03_NavidAPI-data'!$D130</f>
        <v>0</v>
      </c>
      <c r="F131">
        <f>'[25]GABM_R03_Terry-data'!$D130</f>
        <v>0</v>
      </c>
      <c r="G131">
        <f>'[26]GABM_R03_SarahAPI-data'!$D130</f>
        <v>0</v>
      </c>
      <c r="H131">
        <f>'[27]GABM_R03_savannah-data'!$D130</f>
        <v>0</v>
      </c>
      <c r="I131">
        <f>'[28]GABM_R03_MitchellAPI-data'!$D130</f>
        <v>0</v>
      </c>
      <c r="J131">
        <f>'[29]GABM_R03_SudipaAPI-data'!$D130</f>
        <v>9</v>
      </c>
      <c r="K131">
        <f>'[30]R03_GABM_run2-data'!$D130</f>
        <v>0</v>
      </c>
      <c r="L131">
        <f t="shared" si="1"/>
        <v>0.9</v>
      </c>
    </row>
    <row r="132" spans="1:12" x14ac:dyDescent="0.35">
      <c r="A132">
        <v>129</v>
      </c>
      <c r="B132">
        <f>'[21]R03_GABM-data'!$D131</f>
        <v>0</v>
      </c>
      <c r="C132">
        <f>'[22]GABM_R03_RossAPI-data'!$D131</f>
        <v>0</v>
      </c>
      <c r="D132">
        <f>'[23]GABM_R03_RandiAPI-data'!$D131</f>
        <v>0</v>
      </c>
      <c r="E132">
        <f>'[24]GABM_R03_NavidAPI-data'!$D131</f>
        <v>0</v>
      </c>
      <c r="F132">
        <f>'[25]GABM_R03_Terry-data'!$D131</f>
        <v>0</v>
      </c>
      <c r="G132">
        <f>'[26]GABM_R03_SarahAPI-data'!$D131</f>
        <v>0</v>
      </c>
      <c r="H132">
        <f>'[27]GABM_R03_savannah-data'!$D131</f>
        <v>0</v>
      </c>
      <c r="I132">
        <f>'[28]GABM_R03_MitchellAPI-data'!$D131</f>
        <v>0</v>
      </c>
      <c r="J132">
        <f>'[29]GABM_R03_SudipaAPI-data'!$D131</f>
        <v>4</v>
      </c>
      <c r="K132">
        <f>'[30]R03_GABM_run2-data'!$D131</f>
        <v>0</v>
      </c>
      <c r="L132">
        <f t="shared" ref="L132:L195" si="2">AVERAGE(B132:K132)</f>
        <v>0.4</v>
      </c>
    </row>
    <row r="133" spans="1:12" x14ac:dyDescent="0.35">
      <c r="A133">
        <v>130</v>
      </c>
      <c r="B133">
        <f>'[21]R03_GABM-data'!$D132</f>
        <v>0</v>
      </c>
      <c r="C133">
        <f>'[22]GABM_R03_RossAPI-data'!$D132</f>
        <v>0</v>
      </c>
      <c r="D133">
        <f>'[23]GABM_R03_RandiAPI-data'!$D132</f>
        <v>0</v>
      </c>
      <c r="E133">
        <f>'[24]GABM_R03_NavidAPI-data'!$D132</f>
        <v>0</v>
      </c>
      <c r="F133">
        <f>'[25]GABM_R03_Terry-data'!$D132</f>
        <v>0</v>
      </c>
      <c r="G133">
        <f>'[26]GABM_R03_SarahAPI-data'!$D132</f>
        <v>0</v>
      </c>
      <c r="H133">
        <f>'[27]GABM_R03_savannah-data'!$D132</f>
        <v>0</v>
      </c>
      <c r="I133">
        <f>'[28]GABM_R03_MitchellAPI-data'!$D132</f>
        <v>0</v>
      </c>
      <c r="J133">
        <f>'[29]GABM_R03_SudipaAPI-data'!$D132</f>
        <v>1</v>
      </c>
      <c r="K133">
        <f>'[30]R03_GABM_run2-data'!$D132</f>
        <v>0</v>
      </c>
      <c r="L133">
        <f t="shared" si="2"/>
        <v>0.1</v>
      </c>
    </row>
    <row r="134" spans="1:12" x14ac:dyDescent="0.35">
      <c r="A134">
        <v>131</v>
      </c>
      <c r="B134">
        <f>'[21]R03_GABM-data'!$D133</f>
        <v>0</v>
      </c>
      <c r="C134">
        <f>'[22]GABM_R03_RossAPI-data'!$D133</f>
        <v>0</v>
      </c>
      <c r="D134">
        <f>'[23]GABM_R03_RandiAPI-data'!$D133</f>
        <v>0</v>
      </c>
      <c r="E134">
        <f>'[24]GABM_R03_NavidAPI-data'!$D133</f>
        <v>0</v>
      </c>
      <c r="F134">
        <f>'[25]GABM_R03_Terry-data'!$D133</f>
        <v>0</v>
      </c>
      <c r="G134">
        <f>'[26]GABM_R03_SarahAPI-data'!$D133</f>
        <v>0</v>
      </c>
      <c r="H134">
        <f>'[27]GABM_R03_savannah-data'!$D133</f>
        <v>0</v>
      </c>
      <c r="I134">
        <f>'[28]GABM_R03_MitchellAPI-data'!$D133</f>
        <v>0</v>
      </c>
      <c r="J134">
        <f>'[29]GABM_R03_SudipaAPI-data'!$D133</f>
        <v>2</v>
      </c>
      <c r="K134">
        <f>'[30]R03_GABM_run2-data'!$D133</f>
        <v>0</v>
      </c>
      <c r="L134">
        <f t="shared" si="2"/>
        <v>0.2</v>
      </c>
    </row>
    <row r="135" spans="1:12" x14ac:dyDescent="0.35">
      <c r="A135">
        <v>132</v>
      </c>
      <c r="B135">
        <f>'[21]R03_GABM-data'!$D134</f>
        <v>0</v>
      </c>
      <c r="C135">
        <f>'[22]GABM_R03_RossAPI-data'!$D134</f>
        <v>0</v>
      </c>
      <c r="D135">
        <f>'[23]GABM_R03_RandiAPI-data'!$D134</f>
        <v>0</v>
      </c>
      <c r="E135">
        <f>'[24]GABM_R03_NavidAPI-data'!$D134</f>
        <v>0</v>
      </c>
      <c r="F135">
        <f>'[25]GABM_R03_Terry-data'!$D134</f>
        <v>0</v>
      </c>
      <c r="G135">
        <f>'[26]GABM_R03_SarahAPI-data'!$D134</f>
        <v>0</v>
      </c>
      <c r="H135">
        <f>'[27]GABM_R03_savannah-data'!$D134</f>
        <v>0</v>
      </c>
      <c r="I135">
        <f>'[28]GABM_R03_MitchellAPI-data'!$D134</f>
        <v>0</v>
      </c>
      <c r="J135">
        <f>'[29]GABM_R03_SudipaAPI-data'!$D134</f>
        <v>3</v>
      </c>
      <c r="K135">
        <f>'[30]R03_GABM_run2-data'!$D134</f>
        <v>0</v>
      </c>
      <c r="L135">
        <f t="shared" si="2"/>
        <v>0.3</v>
      </c>
    </row>
    <row r="136" spans="1:12" x14ac:dyDescent="0.35">
      <c r="A136">
        <v>133</v>
      </c>
      <c r="B136">
        <f>'[21]R03_GABM-data'!$D135</f>
        <v>0</v>
      </c>
      <c r="C136">
        <f>'[22]GABM_R03_RossAPI-data'!$D135</f>
        <v>0</v>
      </c>
      <c r="D136">
        <f>'[23]GABM_R03_RandiAPI-data'!$D135</f>
        <v>0</v>
      </c>
      <c r="E136">
        <f>'[24]GABM_R03_NavidAPI-data'!$D135</f>
        <v>0</v>
      </c>
      <c r="F136">
        <f>'[25]GABM_R03_Terry-data'!$D135</f>
        <v>0</v>
      </c>
      <c r="G136">
        <f>'[26]GABM_R03_SarahAPI-data'!$D135</f>
        <v>0</v>
      </c>
      <c r="H136">
        <f>'[27]GABM_R03_savannah-data'!$D135</f>
        <v>0</v>
      </c>
      <c r="I136">
        <f>'[28]GABM_R03_MitchellAPI-data'!$D135</f>
        <v>0</v>
      </c>
      <c r="J136">
        <f>'[29]GABM_R03_SudipaAPI-data'!$D135</f>
        <v>5</v>
      </c>
      <c r="K136">
        <f>'[30]R03_GABM_run2-data'!$D135</f>
        <v>0</v>
      </c>
      <c r="L136">
        <f t="shared" si="2"/>
        <v>0.5</v>
      </c>
    </row>
    <row r="137" spans="1:12" x14ac:dyDescent="0.35">
      <c r="A137">
        <v>134</v>
      </c>
      <c r="B137">
        <f>'[21]R03_GABM-data'!$D136</f>
        <v>0</v>
      </c>
      <c r="C137">
        <f>'[22]GABM_R03_RossAPI-data'!$D136</f>
        <v>0</v>
      </c>
      <c r="D137">
        <f>'[23]GABM_R03_RandiAPI-data'!$D136</f>
        <v>0</v>
      </c>
      <c r="E137">
        <f>'[24]GABM_R03_NavidAPI-data'!$D136</f>
        <v>0</v>
      </c>
      <c r="F137">
        <f>'[25]GABM_R03_Terry-data'!$D136</f>
        <v>0</v>
      </c>
      <c r="G137">
        <f>'[26]GABM_R03_SarahAPI-data'!$D136</f>
        <v>0</v>
      </c>
      <c r="H137">
        <f>'[27]GABM_R03_savannah-data'!$D136</f>
        <v>0</v>
      </c>
      <c r="I137">
        <f>'[28]GABM_R03_MitchellAPI-data'!$D136</f>
        <v>0</v>
      </c>
      <c r="J137">
        <f>'[29]GABM_R03_SudipaAPI-data'!$D136</f>
        <v>8</v>
      </c>
      <c r="K137">
        <f>'[30]R03_GABM_run2-data'!$D136</f>
        <v>0</v>
      </c>
      <c r="L137">
        <f t="shared" si="2"/>
        <v>0.8</v>
      </c>
    </row>
    <row r="138" spans="1:12" x14ac:dyDescent="0.35">
      <c r="A138">
        <v>135</v>
      </c>
      <c r="B138">
        <f>'[21]R03_GABM-data'!$D137</f>
        <v>0</v>
      </c>
      <c r="C138">
        <f>'[22]GABM_R03_RossAPI-data'!$D137</f>
        <v>0</v>
      </c>
      <c r="D138">
        <f>'[23]GABM_R03_RandiAPI-data'!$D137</f>
        <v>0</v>
      </c>
      <c r="E138">
        <f>'[24]GABM_R03_NavidAPI-data'!$D137</f>
        <v>0</v>
      </c>
      <c r="F138">
        <f>'[25]GABM_R03_Terry-data'!$D137</f>
        <v>0</v>
      </c>
      <c r="G138">
        <f>'[26]GABM_R03_SarahAPI-data'!$D137</f>
        <v>0</v>
      </c>
      <c r="H138">
        <f>'[27]GABM_R03_savannah-data'!$D137</f>
        <v>0</v>
      </c>
      <c r="I138">
        <f>'[28]GABM_R03_MitchellAPI-data'!$D137</f>
        <v>0</v>
      </c>
      <c r="J138">
        <f>'[29]GABM_R03_SudipaAPI-data'!$D137</f>
        <v>8</v>
      </c>
      <c r="K138">
        <f>'[30]R03_GABM_run2-data'!$D137</f>
        <v>0</v>
      </c>
      <c r="L138">
        <f t="shared" si="2"/>
        <v>0.8</v>
      </c>
    </row>
    <row r="139" spans="1:12" x14ac:dyDescent="0.35">
      <c r="A139">
        <v>136</v>
      </c>
      <c r="B139">
        <f>'[21]R03_GABM-data'!$D138</f>
        <v>0</v>
      </c>
      <c r="C139">
        <f>'[22]GABM_R03_RossAPI-data'!$D138</f>
        <v>0</v>
      </c>
      <c r="D139">
        <f>'[23]GABM_R03_RandiAPI-data'!$D138</f>
        <v>0</v>
      </c>
      <c r="E139">
        <f>'[24]GABM_R03_NavidAPI-data'!$D138</f>
        <v>0</v>
      </c>
      <c r="F139">
        <f>'[25]GABM_R03_Terry-data'!$D138</f>
        <v>0</v>
      </c>
      <c r="G139">
        <f>'[26]GABM_R03_SarahAPI-data'!$D138</f>
        <v>0</v>
      </c>
      <c r="H139">
        <f>'[27]GABM_R03_savannah-data'!$D138</f>
        <v>0</v>
      </c>
      <c r="I139">
        <f>'[28]GABM_R03_MitchellAPI-data'!$D138</f>
        <v>0</v>
      </c>
      <c r="J139">
        <f>'[29]GABM_R03_SudipaAPI-data'!$D138</f>
        <v>8</v>
      </c>
      <c r="K139">
        <f>'[30]R03_GABM_run2-data'!$D138</f>
        <v>0</v>
      </c>
      <c r="L139">
        <f t="shared" si="2"/>
        <v>0.8</v>
      </c>
    </row>
    <row r="140" spans="1:12" x14ac:dyDescent="0.35">
      <c r="A140">
        <v>137</v>
      </c>
      <c r="B140">
        <f>'[21]R03_GABM-data'!$D139</f>
        <v>0</v>
      </c>
      <c r="C140">
        <f>'[22]GABM_R03_RossAPI-data'!$D139</f>
        <v>0</v>
      </c>
      <c r="D140">
        <f>'[23]GABM_R03_RandiAPI-data'!$D139</f>
        <v>0</v>
      </c>
      <c r="E140">
        <f>'[24]GABM_R03_NavidAPI-data'!$D139</f>
        <v>0</v>
      </c>
      <c r="F140">
        <f>'[25]GABM_R03_Terry-data'!$D139</f>
        <v>0</v>
      </c>
      <c r="G140">
        <f>'[26]GABM_R03_SarahAPI-data'!$D139</f>
        <v>0</v>
      </c>
      <c r="H140">
        <f>'[27]GABM_R03_savannah-data'!$D139</f>
        <v>0</v>
      </c>
      <c r="I140">
        <f>'[28]GABM_R03_MitchellAPI-data'!$D139</f>
        <v>0</v>
      </c>
      <c r="J140">
        <f>'[29]GABM_R03_SudipaAPI-data'!$D139</f>
        <v>6</v>
      </c>
      <c r="K140">
        <f>'[30]R03_GABM_run2-data'!$D139</f>
        <v>0</v>
      </c>
      <c r="L140">
        <f t="shared" si="2"/>
        <v>0.6</v>
      </c>
    </row>
    <row r="141" spans="1:12" x14ac:dyDescent="0.35">
      <c r="A141">
        <v>138</v>
      </c>
      <c r="B141">
        <f>'[21]R03_GABM-data'!$D140</f>
        <v>0</v>
      </c>
      <c r="C141">
        <f>'[22]GABM_R03_RossAPI-data'!$D140</f>
        <v>0</v>
      </c>
      <c r="D141">
        <f>'[23]GABM_R03_RandiAPI-data'!$D140</f>
        <v>0</v>
      </c>
      <c r="E141">
        <f>'[24]GABM_R03_NavidAPI-data'!$D140</f>
        <v>0</v>
      </c>
      <c r="F141">
        <f>'[25]GABM_R03_Terry-data'!$D140</f>
        <v>0</v>
      </c>
      <c r="G141">
        <f>'[26]GABM_R03_SarahAPI-data'!$D140</f>
        <v>0</v>
      </c>
      <c r="H141">
        <f>'[27]GABM_R03_savannah-data'!$D140</f>
        <v>0</v>
      </c>
      <c r="I141">
        <f>'[28]GABM_R03_MitchellAPI-data'!$D140</f>
        <v>0</v>
      </c>
      <c r="J141">
        <f>'[29]GABM_R03_SudipaAPI-data'!$D140</f>
        <v>5</v>
      </c>
      <c r="K141">
        <f>'[30]R03_GABM_run2-data'!$D140</f>
        <v>0</v>
      </c>
      <c r="L141">
        <f t="shared" si="2"/>
        <v>0.5</v>
      </c>
    </row>
    <row r="142" spans="1:12" x14ac:dyDescent="0.35">
      <c r="A142">
        <v>139</v>
      </c>
      <c r="B142">
        <f>'[21]R03_GABM-data'!$D141</f>
        <v>0</v>
      </c>
      <c r="C142">
        <f>'[22]GABM_R03_RossAPI-data'!$D141</f>
        <v>0</v>
      </c>
      <c r="D142">
        <f>'[23]GABM_R03_RandiAPI-data'!$D141</f>
        <v>0</v>
      </c>
      <c r="E142">
        <f>'[24]GABM_R03_NavidAPI-data'!$D141</f>
        <v>0</v>
      </c>
      <c r="F142">
        <f>'[25]GABM_R03_Terry-data'!$D141</f>
        <v>0</v>
      </c>
      <c r="G142">
        <f>'[26]GABM_R03_SarahAPI-data'!$D141</f>
        <v>0</v>
      </c>
      <c r="H142">
        <f>'[27]GABM_R03_savannah-data'!$D141</f>
        <v>0</v>
      </c>
      <c r="I142">
        <f>'[28]GABM_R03_MitchellAPI-data'!$D141</f>
        <v>0</v>
      </c>
      <c r="J142">
        <f>'[29]GABM_R03_SudipaAPI-data'!$D141</f>
        <v>3</v>
      </c>
      <c r="K142">
        <f>'[30]R03_GABM_run2-data'!$D141</f>
        <v>0</v>
      </c>
      <c r="L142">
        <f t="shared" si="2"/>
        <v>0.3</v>
      </c>
    </row>
    <row r="143" spans="1:12" x14ac:dyDescent="0.35">
      <c r="A143">
        <v>140</v>
      </c>
      <c r="B143">
        <f>'[21]R03_GABM-data'!$D142</f>
        <v>0</v>
      </c>
      <c r="C143">
        <f>'[22]GABM_R03_RossAPI-data'!$D142</f>
        <v>0</v>
      </c>
      <c r="D143">
        <f>'[23]GABM_R03_RandiAPI-data'!$D142</f>
        <v>0</v>
      </c>
      <c r="E143">
        <f>'[24]GABM_R03_NavidAPI-data'!$D142</f>
        <v>0</v>
      </c>
      <c r="F143">
        <f>'[25]GABM_R03_Terry-data'!$D142</f>
        <v>0</v>
      </c>
      <c r="G143">
        <f>'[26]GABM_R03_SarahAPI-data'!$D142</f>
        <v>0</v>
      </c>
      <c r="H143">
        <f>'[27]GABM_R03_savannah-data'!$D142</f>
        <v>0</v>
      </c>
      <c r="I143">
        <f>'[28]GABM_R03_MitchellAPI-data'!$D142</f>
        <v>0</v>
      </c>
      <c r="J143">
        <f>'[29]GABM_R03_SudipaAPI-data'!$D142</f>
        <v>2</v>
      </c>
      <c r="K143">
        <f>'[30]R03_GABM_run2-data'!$D142</f>
        <v>0</v>
      </c>
      <c r="L143">
        <f t="shared" si="2"/>
        <v>0.2</v>
      </c>
    </row>
    <row r="144" spans="1:12" x14ac:dyDescent="0.35">
      <c r="A144">
        <v>141</v>
      </c>
      <c r="B144">
        <f>'[21]R03_GABM-data'!$D143</f>
        <v>0</v>
      </c>
      <c r="C144">
        <f>'[22]GABM_R03_RossAPI-data'!$D143</f>
        <v>0</v>
      </c>
      <c r="D144">
        <f>'[23]GABM_R03_RandiAPI-data'!$D143</f>
        <v>0</v>
      </c>
      <c r="E144">
        <f>'[24]GABM_R03_NavidAPI-data'!$D143</f>
        <v>0</v>
      </c>
      <c r="F144">
        <f>'[25]GABM_R03_Terry-data'!$D143</f>
        <v>0</v>
      </c>
      <c r="G144">
        <f>'[26]GABM_R03_SarahAPI-data'!$D143</f>
        <v>0</v>
      </c>
      <c r="H144">
        <f>'[27]GABM_R03_savannah-data'!$D143</f>
        <v>0</v>
      </c>
      <c r="I144">
        <f>'[28]GABM_R03_MitchellAPI-data'!$D143</f>
        <v>0</v>
      </c>
      <c r="J144">
        <f>'[29]GABM_R03_SudipaAPI-data'!$D143</f>
        <v>3</v>
      </c>
      <c r="K144">
        <f>'[30]R03_GABM_run2-data'!$D143</f>
        <v>0</v>
      </c>
      <c r="L144">
        <f t="shared" si="2"/>
        <v>0.3</v>
      </c>
    </row>
    <row r="145" spans="1:12" x14ac:dyDescent="0.35">
      <c r="A145">
        <v>142</v>
      </c>
      <c r="B145">
        <f>'[21]R03_GABM-data'!$D144</f>
        <v>0</v>
      </c>
      <c r="C145">
        <f>'[22]GABM_R03_RossAPI-data'!$D144</f>
        <v>0</v>
      </c>
      <c r="D145">
        <f>'[23]GABM_R03_RandiAPI-data'!$D144</f>
        <v>0</v>
      </c>
      <c r="E145">
        <f>'[24]GABM_R03_NavidAPI-data'!$D144</f>
        <v>0</v>
      </c>
      <c r="F145">
        <f>'[25]GABM_R03_Terry-data'!$D144</f>
        <v>0</v>
      </c>
      <c r="G145">
        <f>'[26]GABM_R03_SarahAPI-data'!$D144</f>
        <v>0</v>
      </c>
      <c r="H145">
        <f>'[27]GABM_R03_savannah-data'!$D144</f>
        <v>0</v>
      </c>
      <c r="I145">
        <f>'[28]GABM_R03_MitchellAPI-data'!$D144</f>
        <v>0</v>
      </c>
      <c r="J145">
        <f>'[29]GABM_R03_SudipaAPI-data'!$D144</f>
        <v>6</v>
      </c>
      <c r="K145">
        <f>'[30]R03_GABM_run2-data'!$D144</f>
        <v>0</v>
      </c>
      <c r="L145">
        <f t="shared" si="2"/>
        <v>0.6</v>
      </c>
    </row>
    <row r="146" spans="1:12" x14ac:dyDescent="0.35">
      <c r="A146">
        <v>143</v>
      </c>
      <c r="B146">
        <f>'[21]R03_GABM-data'!$D145</f>
        <v>0</v>
      </c>
      <c r="C146">
        <f>'[22]GABM_R03_RossAPI-data'!$D145</f>
        <v>0</v>
      </c>
      <c r="D146">
        <f>'[23]GABM_R03_RandiAPI-data'!$D145</f>
        <v>0</v>
      </c>
      <c r="E146">
        <f>'[24]GABM_R03_NavidAPI-data'!$D145</f>
        <v>0</v>
      </c>
      <c r="F146">
        <f>'[25]GABM_R03_Terry-data'!$D145</f>
        <v>0</v>
      </c>
      <c r="G146">
        <f>'[26]GABM_R03_SarahAPI-data'!$D145</f>
        <v>0</v>
      </c>
      <c r="H146">
        <f>'[27]GABM_R03_savannah-data'!$D145</f>
        <v>0</v>
      </c>
      <c r="I146">
        <f>'[28]GABM_R03_MitchellAPI-data'!$D145</f>
        <v>0</v>
      </c>
      <c r="J146">
        <f>'[29]GABM_R03_SudipaAPI-data'!$D145</f>
        <v>11</v>
      </c>
      <c r="K146">
        <f>'[30]R03_GABM_run2-data'!$D145</f>
        <v>0</v>
      </c>
      <c r="L146">
        <f t="shared" si="2"/>
        <v>1.1000000000000001</v>
      </c>
    </row>
    <row r="147" spans="1:12" x14ac:dyDescent="0.35">
      <c r="A147">
        <v>144</v>
      </c>
      <c r="B147">
        <f>'[21]R03_GABM-data'!$D146</f>
        <v>0</v>
      </c>
      <c r="C147">
        <f>'[22]GABM_R03_RossAPI-data'!$D146</f>
        <v>0</v>
      </c>
      <c r="D147">
        <f>'[23]GABM_R03_RandiAPI-data'!$D146</f>
        <v>0</v>
      </c>
      <c r="E147">
        <f>'[24]GABM_R03_NavidAPI-data'!$D146</f>
        <v>0</v>
      </c>
      <c r="F147">
        <f>'[25]GABM_R03_Terry-data'!$D146</f>
        <v>0</v>
      </c>
      <c r="G147">
        <f>'[26]GABM_R03_SarahAPI-data'!$D146</f>
        <v>0</v>
      </c>
      <c r="H147">
        <f>'[27]GABM_R03_savannah-data'!$D146</f>
        <v>0</v>
      </c>
      <c r="I147">
        <f>'[28]GABM_R03_MitchellAPI-data'!$D146</f>
        <v>0</v>
      </c>
      <c r="J147">
        <f>'[29]GABM_R03_SudipaAPI-data'!$D146</f>
        <v>15</v>
      </c>
      <c r="K147">
        <f>'[30]R03_GABM_run2-data'!$D146</f>
        <v>0</v>
      </c>
      <c r="L147">
        <f t="shared" si="2"/>
        <v>1.5</v>
      </c>
    </row>
    <row r="148" spans="1:12" x14ac:dyDescent="0.35">
      <c r="A148">
        <v>145</v>
      </c>
      <c r="B148">
        <f>'[21]R03_GABM-data'!$D147</f>
        <v>0</v>
      </c>
      <c r="C148">
        <f>'[22]GABM_R03_RossAPI-data'!$D147</f>
        <v>0</v>
      </c>
      <c r="D148">
        <f>'[23]GABM_R03_RandiAPI-data'!$D147</f>
        <v>0</v>
      </c>
      <c r="E148">
        <f>'[24]GABM_R03_NavidAPI-data'!$D147</f>
        <v>0</v>
      </c>
      <c r="F148">
        <f>'[25]GABM_R03_Terry-data'!$D147</f>
        <v>0</v>
      </c>
      <c r="G148">
        <f>'[26]GABM_R03_SarahAPI-data'!$D147</f>
        <v>0</v>
      </c>
      <c r="H148">
        <f>'[27]GABM_R03_savannah-data'!$D147</f>
        <v>0</v>
      </c>
      <c r="I148">
        <f>'[28]GABM_R03_MitchellAPI-data'!$D147</f>
        <v>0</v>
      </c>
      <c r="J148">
        <f>'[29]GABM_R03_SudipaAPI-data'!$D147</f>
        <v>19</v>
      </c>
      <c r="K148">
        <f>'[30]R03_GABM_run2-data'!$D147</f>
        <v>0</v>
      </c>
      <c r="L148">
        <f t="shared" si="2"/>
        <v>1.9</v>
      </c>
    </row>
    <row r="149" spans="1:12" x14ac:dyDescent="0.35">
      <c r="A149">
        <v>146</v>
      </c>
      <c r="B149">
        <f>'[21]R03_GABM-data'!$D148</f>
        <v>0</v>
      </c>
      <c r="C149">
        <f>'[22]GABM_R03_RossAPI-data'!$D148</f>
        <v>0</v>
      </c>
      <c r="D149">
        <f>'[23]GABM_R03_RandiAPI-data'!$D148</f>
        <v>0</v>
      </c>
      <c r="E149">
        <f>'[24]GABM_R03_NavidAPI-data'!$D148</f>
        <v>0</v>
      </c>
      <c r="F149">
        <f>'[25]GABM_R03_Terry-data'!$D148</f>
        <v>0</v>
      </c>
      <c r="G149">
        <f>'[26]GABM_R03_SarahAPI-data'!$D148</f>
        <v>0</v>
      </c>
      <c r="H149">
        <f>'[27]GABM_R03_savannah-data'!$D148</f>
        <v>0</v>
      </c>
      <c r="I149">
        <f>'[28]GABM_R03_MitchellAPI-data'!$D148</f>
        <v>0</v>
      </c>
      <c r="J149">
        <f>'[29]GABM_R03_SudipaAPI-data'!$D148</f>
        <v>22</v>
      </c>
      <c r="K149">
        <f>'[30]R03_GABM_run2-data'!$D148</f>
        <v>0</v>
      </c>
      <c r="L149">
        <f t="shared" si="2"/>
        <v>2.2000000000000002</v>
      </c>
    </row>
    <row r="150" spans="1:12" x14ac:dyDescent="0.35">
      <c r="A150">
        <v>147</v>
      </c>
      <c r="B150">
        <f>'[21]R03_GABM-data'!$D149</f>
        <v>0</v>
      </c>
      <c r="C150">
        <f>'[22]GABM_R03_RossAPI-data'!$D149</f>
        <v>0</v>
      </c>
      <c r="D150">
        <f>'[23]GABM_R03_RandiAPI-data'!$D149</f>
        <v>0</v>
      </c>
      <c r="E150">
        <f>'[24]GABM_R03_NavidAPI-data'!$D149</f>
        <v>0</v>
      </c>
      <c r="F150">
        <f>'[25]GABM_R03_Terry-data'!$D149</f>
        <v>0</v>
      </c>
      <c r="G150">
        <f>'[26]GABM_R03_SarahAPI-data'!$D149</f>
        <v>0</v>
      </c>
      <c r="H150">
        <f>'[27]GABM_R03_savannah-data'!$D149</f>
        <v>0</v>
      </c>
      <c r="I150">
        <f>'[28]GABM_R03_MitchellAPI-data'!$D149</f>
        <v>0</v>
      </c>
      <c r="J150">
        <f>'[29]GABM_R03_SudipaAPI-data'!$D149</f>
        <v>24</v>
      </c>
      <c r="K150">
        <f>'[30]R03_GABM_run2-data'!$D149</f>
        <v>0</v>
      </c>
      <c r="L150">
        <f t="shared" si="2"/>
        <v>2.4</v>
      </c>
    </row>
    <row r="151" spans="1:12" x14ac:dyDescent="0.35">
      <c r="A151">
        <v>148</v>
      </c>
      <c r="B151">
        <f>'[21]R03_GABM-data'!$D150</f>
        <v>0</v>
      </c>
      <c r="C151">
        <f>'[22]GABM_R03_RossAPI-data'!$D150</f>
        <v>0</v>
      </c>
      <c r="D151">
        <f>'[23]GABM_R03_RandiAPI-data'!$D150</f>
        <v>0</v>
      </c>
      <c r="E151">
        <f>'[24]GABM_R03_NavidAPI-data'!$D150</f>
        <v>0</v>
      </c>
      <c r="F151">
        <f>'[25]GABM_R03_Terry-data'!$D150</f>
        <v>0</v>
      </c>
      <c r="G151">
        <f>'[26]GABM_R03_SarahAPI-data'!$D150</f>
        <v>0</v>
      </c>
      <c r="H151">
        <f>'[27]GABM_R03_savannah-data'!$D150</f>
        <v>0</v>
      </c>
      <c r="I151">
        <f>'[28]GABM_R03_MitchellAPI-data'!$D150</f>
        <v>0</v>
      </c>
      <c r="J151">
        <f>'[29]GABM_R03_SudipaAPI-data'!$D150</f>
        <v>25</v>
      </c>
      <c r="K151">
        <f>'[30]R03_GABM_run2-data'!$D150</f>
        <v>0</v>
      </c>
      <c r="L151">
        <f t="shared" si="2"/>
        <v>2.5</v>
      </c>
    </row>
    <row r="152" spans="1:12" x14ac:dyDescent="0.35">
      <c r="A152">
        <v>149</v>
      </c>
      <c r="B152">
        <f>'[21]R03_GABM-data'!$D151</f>
        <v>0</v>
      </c>
      <c r="C152">
        <f>'[22]GABM_R03_RossAPI-data'!$D151</f>
        <v>0</v>
      </c>
      <c r="D152">
        <f>'[23]GABM_R03_RandiAPI-data'!$D151</f>
        <v>0</v>
      </c>
      <c r="E152">
        <f>'[24]GABM_R03_NavidAPI-data'!$D151</f>
        <v>0</v>
      </c>
      <c r="F152">
        <f>'[25]GABM_R03_Terry-data'!$D151</f>
        <v>0</v>
      </c>
      <c r="G152">
        <f>'[26]GABM_R03_SarahAPI-data'!$D151</f>
        <v>0</v>
      </c>
      <c r="H152">
        <f>'[27]GABM_R03_savannah-data'!$D151</f>
        <v>0</v>
      </c>
      <c r="I152">
        <f>'[28]GABM_R03_MitchellAPI-data'!$D151</f>
        <v>0</v>
      </c>
      <c r="J152">
        <f>'[29]GABM_R03_SudipaAPI-data'!$D151</f>
        <v>20</v>
      </c>
      <c r="K152">
        <f>'[30]R03_GABM_run2-data'!$D151</f>
        <v>0</v>
      </c>
      <c r="L152">
        <f t="shared" si="2"/>
        <v>2</v>
      </c>
    </row>
    <row r="153" spans="1:12" x14ac:dyDescent="0.35">
      <c r="A153">
        <v>150</v>
      </c>
      <c r="B153">
        <f>'[21]R03_GABM-data'!$D152</f>
        <v>0</v>
      </c>
      <c r="C153">
        <f>'[22]GABM_R03_RossAPI-data'!$D152</f>
        <v>0</v>
      </c>
      <c r="D153">
        <f>'[23]GABM_R03_RandiAPI-data'!$D152</f>
        <v>0</v>
      </c>
      <c r="E153">
        <f>'[24]GABM_R03_NavidAPI-data'!$D152</f>
        <v>0</v>
      </c>
      <c r="F153">
        <f>'[25]GABM_R03_Terry-data'!$D152</f>
        <v>0</v>
      </c>
      <c r="G153">
        <f>'[26]GABM_R03_SarahAPI-data'!$D152</f>
        <v>0</v>
      </c>
      <c r="H153">
        <f>'[27]GABM_R03_savannah-data'!$D152</f>
        <v>0</v>
      </c>
      <c r="I153">
        <f>'[28]GABM_R03_MitchellAPI-data'!$D152</f>
        <v>0</v>
      </c>
      <c r="J153">
        <f>'[29]GABM_R03_SudipaAPI-data'!$D152</f>
        <v>18</v>
      </c>
      <c r="K153">
        <f>'[30]R03_GABM_run2-data'!$D152</f>
        <v>0</v>
      </c>
      <c r="L153">
        <f t="shared" si="2"/>
        <v>1.8</v>
      </c>
    </row>
    <row r="154" spans="1:12" x14ac:dyDescent="0.35">
      <c r="A154">
        <v>151</v>
      </c>
      <c r="B154">
        <f>'[21]R03_GABM-data'!$D153</f>
        <v>0</v>
      </c>
      <c r="C154">
        <f>'[22]GABM_R03_RossAPI-data'!$D153</f>
        <v>0</v>
      </c>
      <c r="D154">
        <f>'[23]GABM_R03_RandiAPI-data'!$D153</f>
        <v>0</v>
      </c>
      <c r="E154">
        <f>'[24]GABM_R03_NavidAPI-data'!$D153</f>
        <v>0</v>
      </c>
      <c r="F154">
        <f>'[25]GABM_R03_Terry-data'!$D153</f>
        <v>0</v>
      </c>
      <c r="G154">
        <f>'[26]GABM_R03_SarahAPI-data'!$D153</f>
        <v>0</v>
      </c>
      <c r="H154">
        <f>'[27]GABM_R03_savannah-data'!$D153</f>
        <v>0</v>
      </c>
      <c r="I154">
        <f>'[28]GABM_R03_MitchellAPI-data'!$D153</f>
        <v>0</v>
      </c>
      <c r="J154">
        <f>'[29]GABM_R03_SudipaAPI-data'!$D153</f>
        <v>14</v>
      </c>
      <c r="K154">
        <f>'[30]R03_GABM_run2-data'!$D153</f>
        <v>0</v>
      </c>
      <c r="L154">
        <f t="shared" si="2"/>
        <v>1.4</v>
      </c>
    </row>
    <row r="155" spans="1:12" x14ac:dyDescent="0.35">
      <c r="A155">
        <v>152</v>
      </c>
      <c r="B155">
        <f>'[21]R03_GABM-data'!$D154</f>
        <v>0</v>
      </c>
      <c r="C155">
        <f>'[22]GABM_R03_RossAPI-data'!$D154</f>
        <v>0</v>
      </c>
      <c r="D155">
        <f>'[23]GABM_R03_RandiAPI-data'!$D154</f>
        <v>0</v>
      </c>
      <c r="E155">
        <f>'[24]GABM_R03_NavidAPI-data'!$D154</f>
        <v>0</v>
      </c>
      <c r="F155">
        <f>'[25]GABM_R03_Terry-data'!$D154</f>
        <v>0</v>
      </c>
      <c r="G155">
        <f>'[26]GABM_R03_SarahAPI-data'!$D154</f>
        <v>0</v>
      </c>
      <c r="H155">
        <f>'[27]GABM_R03_savannah-data'!$D154</f>
        <v>0</v>
      </c>
      <c r="I155">
        <f>'[28]GABM_R03_MitchellAPI-data'!$D154</f>
        <v>0</v>
      </c>
      <c r="J155">
        <f>'[29]GABM_R03_SudipaAPI-data'!$D154</f>
        <v>10</v>
      </c>
      <c r="K155">
        <f>'[30]R03_GABM_run2-data'!$D154</f>
        <v>0</v>
      </c>
      <c r="L155">
        <f t="shared" si="2"/>
        <v>1</v>
      </c>
    </row>
    <row r="156" spans="1:12" x14ac:dyDescent="0.35">
      <c r="A156">
        <v>153</v>
      </c>
      <c r="B156">
        <f>'[21]R03_GABM-data'!$D155</f>
        <v>0</v>
      </c>
      <c r="C156">
        <f>'[22]GABM_R03_RossAPI-data'!$D155</f>
        <v>0</v>
      </c>
      <c r="D156">
        <f>'[23]GABM_R03_RandiAPI-data'!$D155</f>
        <v>0</v>
      </c>
      <c r="E156">
        <f>'[24]GABM_R03_NavidAPI-data'!$D155</f>
        <v>0</v>
      </c>
      <c r="F156">
        <f>'[25]GABM_R03_Terry-data'!$D155</f>
        <v>0</v>
      </c>
      <c r="G156">
        <f>'[26]GABM_R03_SarahAPI-data'!$D155</f>
        <v>0</v>
      </c>
      <c r="H156">
        <f>'[27]GABM_R03_savannah-data'!$D155</f>
        <v>0</v>
      </c>
      <c r="I156">
        <f>'[28]GABM_R03_MitchellAPI-data'!$D155</f>
        <v>0</v>
      </c>
      <c r="J156">
        <f>'[29]GABM_R03_SudipaAPI-data'!$D155</f>
        <v>8</v>
      </c>
      <c r="K156">
        <f>'[30]R03_GABM_run2-data'!$D155</f>
        <v>0</v>
      </c>
      <c r="L156">
        <f t="shared" si="2"/>
        <v>0.8</v>
      </c>
    </row>
    <row r="157" spans="1:12" x14ac:dyDescent="0.35">
      <c r="A157">
        <v>154</v>
      </c>
      <c r="B157">
        <f>'[21]R03_GABM-data'!$D156</f>
        <v>0</v>
      </c>
      <c r="C157">
        <f>'[22]GABM_R03_RossAPI-data'!$D156</f>
        <v>0</v>
      </c>
      <c r="D157">
        <f>'[23]GABM_R03_RandiAPI-data'!$D156</f>
        <v>0</v>
      </c>
      <c r="E157">
        <f>'[24]GABM_R03_NavidAPI-data'!$D156</f>
        <v>0</v>
      </c>
      <c r="F157">
        <f>'[25]GABM_R03_Terry-data'!$D156</f>
        <v>0</v>
      </c>
      <c r="G157">
        <f>'[26]GABM_R03_SarahAPI-data'!$D156</f>
        <v>0</v>
      </c>
      <c r="H157">
        <f>'[27]GABM_R03_savannah-data'!$D156</f>
        <v>0</v>
      </c>
      <c r="I157">
        <f>'[28]GABM_R03_MitchellAPI-data'!$D156</f>
        <v>0</v>
      </c>
      <c r="J157">
        <f>'[29]GABM_R03_SudipaAPI-data'!$D156</f>
        <v>5</v>
      </c>
      <c r="K157">
        <f>'[30]R03_GABM_run2-data'!$D156</f>
        <v>0</v>
      </c>
      <c r="L157">
        <f t="shared" si="2"/>
        <v>0.5</v>
      </c>
    </row>
    <row r="158" spans="1:12" x14ac:dyDescent="0.35">
      <c r="A158">
        <v>155</v>
      </c>
      <c r="B158">
        <f>'[21]R03_GABM-data'!$D157</f>
        <v>0</v>
      </c>
      <c r="C158">
        <f>'[22]GABM_R03_RossAPI-data'!$D157</f>
        <v>0</v>
      </c>
      <c r="D158">
        <f>'[23]GABM_R03_RandiAPI-data'!$D157</f>
        <v>0</v>
      </c>
      <c r="E158">
        <f>'[24]GABM_R03_NavidAPI-data'!$D157</f>
        <v>0</v>
      </c>
      <c r="F158">
        <f>'[25]GABM_R03_Terry-data'!$D157</f>
        <v>0</v>
      </c>
      <c r="G158">
        <f>'[26]GABM_R03_SarahAPI-data'!$D157</f>
        <v>0</v>
      </c>
      <c r="H158">
        <f>'[27]GABM_R03_savannah-data'!$D157</f>
        <v>0</v>
      </c>
      <c r="I158">
        <f>'[28]GABM_R03_MitchellAPI-data'!$D157</f>
        <v>0</v>
      </c>
      <c r="J158">
        <f>'[29]GABM_R03_SudipaAPI-data'!$D157</f>
        <v>5</v>
      </c>
      <c r="K158">
        <f>'[30]R03_GABM_run2-data'!$D157</f>
        <v>0</v>
      </c>
      <c r="L158">
        <f t="shared" si="2"/>
        <v>0.5</v>
      </c>
    </row>
    <row r="159" spans="1:12" x14ac:dyDescent="0.35">
      <c r="A159">
        <v>156</v>
      </c>
      <c r="B159">
        <f>'[21]R03_GABM-data'!$D158</f>
        <v>0</v>
      </c>
      <c r="C159">
        <f>'[22]GABM_R03_RossAPI-data'!$D158</f>
        <v>0</v>
      </c>
      <c r="D159">
        <f>'[23]GABM_R03_RandiAPI-data'!$D158</f>
        <v>0</v>
      </c>
      <c r="E159">
        <f>'[24]GABM_R03_NavidAPI-data'!$D158</f>
        <v>0</v>
      </c>
      <c r="F159">
        <f>'[25]GABM_R03_Terry-data'!$D158</f>
        <v>0</v>
      </c>
      <c r="G159">
        <f>'[26]GABM_R03_SarahAPI-data'!$D158</f>
        <v>0</v>
      </c>
      <c r="H159">
        <f>'[27]GABM_R03_savannah-data'!$D158</f>
        <v>0</v>
      </c>
      <c r="I159">
        <f>'[28]GABM_R03_MitchellAPI-data'!$D158</f>
        <v>0</v>
      </c>
      <c r="J159">
        <f>'[29]GABM_R03_SudipaAPI-data'!$D158</f>
        <v>3</v>
      </c>
      <c r="K159">
        <f>'[30]R03_GABM_run2-data'!$D158</f>
        <v>0</v>
      </c>
      <c r="L159">
        <f t="shared" si="2"/>
        <v>0.3</v>
      </c>
    </row>
    <row r="160" spans="1:12" x14ac:dyDescent="0.35">
      <c r="A160">
        <v>157</v>
      </c>
      <c r="B160">
        <f>'[21]R03_GABM-data'!$D159</f>
        <v>0</v>
      </c>
      <c r="C160">
        <f>'[22]GABM_R03_RossAPI-data'!$D159</f>
        <v>0</v>
      </c>
      <c r="D160">
        <f>'[23]GABM_R03_RandiAPI-data'!$D159</f>
        <v>0</v>
      </c>
      <c r="E160">
        <f>'[24]GABM_R03_NavidAPI-data'!$D159</f>
        <v>0</v>
      </c>
      <c r="F160">
        <f>'[25]GABM_R03_Terry-data'!$D159</f>
        <v>0</v>
      </c>
      <c r="G160">
        <f>'[26]GABM_R03_SarahAPI-data'!$D159</f>
        <v>0</v>
      </c>
      <c r="H160">
        <f>'[27]GABM_R03_savannah-data'!$D159</f>
        <v>0</v>
      </c>
      <c r="I160">
        <f>'[28]GABM_R03_MitchellAPI-data'!$D159</f>
        <v>0</v>
      </c>
      <c r="J160">
        <f>'[29]GABM_R03_SudipaAPI-data'!$D159</f>
        <v>3</v>
      </c>
      <c r="K160">
        <f>'[30]R03_GABM_run2-data'!$D159</f>
        <v>0</v>
      </c>
      <c r="L160">
        <f t="shared" si="2"/>
        <v>0.3</v>
      </c>
    </row>
    <row r="161" spans="1:12" x14ac:dyDescent="0.35">
      <c r="A161">
        <v>158</v>
      </c>
      <c r="B161">
        <f>'[21]R03_GABM-data'!$D160</f>
        <v>0</v>
      </c>
      <c r="C161">
        <f>'[22]GABM_R03_RossAPI-data'!$D160</f>
        <v>0</v>
      </c>
      <c r="D161">
        <f>'[23]GABM_R03_RandiAPI-data'!$D160</f>
        <v>0</v>
      </c>
      <c r="E161">
        <f>'[24]GABM_R03_NavidAPI-data'!$D160</f>
        <v>0</v>
      </c>
      <c r="F161">
        <f>'[25]GABM_R03_Terry-data'!$D160</f>
        <v>0</v>
      </c>
      <c r="G161">
        <f>'[26]GABM_R03_SarahAPI-data'!$D160</f>
        <v>0</v>
      </c>
      <c r="H161">
        <f>'[27]GABM_R03_savannah-data'!$D160</f>
        <v>0</v>
      </c>
      <c r="I161">
        <f>'[28]GABM_R03_MitchellAPI-data'!$D160</f>
        <v>0</v>
      </c>
      <c r="J161">
        <f>'[29]GABM_R03_SudipaAPI-data'!$D160</f>
        <v>2</v>
      </c>
      <c r="K161">
        <f>'[30]R03_GABM_run2-data'!$D160</f>
        <v>0</v>
      </c>
      <c r="L161">
        <f t="shared" si="2"/>
        <v>0.2</v>
      </c>
    </row>
    <row r="162" spans="1:12" x14ac:dyDescent="0.35">
      <c r="A162">
        <v>159</v>
      </c>
      <c r="B162">
        <f>'[21]R03_GABM-data'!$D161</f>
        <v>0</v>
      </c>
      <c r="C162">
        <f>'[22]GABM_R03_RossAPI-data'!$D161</f>
        <v>0</v>
      </c>
      <c r="D162">
        <f>'[23]GABM_R03_RandiAPI-data'!$D161</f>
        <v>0</v>
      </c>
      <c r="E162">
        <f>'[24]GABM_R03_NavidAPI-data'!$D161</f>
        <v>0</v>
      </c>
      <c r="F162">
        <f>'[25]GABM_R03_Terry-data'!$D161</f>
        <v>0</v>
      </c>
      <c r="G162">
        <f>'[26]GABM_R03_SarahAPI-data'!$D161</f>
        <v>0</v>
      </c>
      <c r="H162">
        <f>'[27]GABM_R03_savannah-data'!$D161</f>
        <v>0</v>
      </c>
      <c r="I162">
        <f>'[28]GABM_R03_MitchellAPI-data'!$D161</f>
        <v>0</v>
      </c>
      <c r="J162">
        <f>'[29]GABM_R03_SudipaAPI-data'!$D161</f>
        <v>1</v>
      </c>
      <c r="K162">
        <f>'[30]R03_GABM_run2-data'!$D161</f>
        <v>0</v>
      </c>
      <c r="L162">
        <f t="shared" si="2"/>
        <v>0.1</v>
      </c>
    </row>
    <row r="163" spans="1:12" x14ac:dyDescent="0.35">
      <c r="A163">
        <v>160</v>
      </c>
      <c r="B163">
        <f>'[21]R03_GABM-data'!$D162</f>
        <v>0</v>
      </c>
      <c r="C163">
        <f>'[22]GABM_R03_RossAPI-data'!$D162</f>
        <v>0</v>
      </c>
      <c r="D163">
        <f>'[23]GABM_R03_RandiAPI-data'!$D162</f>
        <v>0</v>
      </c>
      <c r="E163">
        <f>'[24]GABM_R03_NavidAPI-data'!$D162</f>
        <v>0</v>
      </c>
      <c r="F163">
        <f>'[25]GABM_R03_Terry-data'!$D162</f>
        <v>0</v>
      </c>
      <c r="G163">
        <f>'[26]GABM_R03_SarahAPI-data'!$D162</f>
        <v>0</v>
      </c>
      <c r="H163">
        <f>'[27]GABM_R03_savannah-data'!$D162</f>
        <v>0</v>
      </c>
      <c r="I163">
        <f>'[28]GABM_R03_MitchellAPI-data'!$D162</f>
        <v>0</v>
      </c>
      <c r="J163">
        <f>'[29]GABM_R03_SudipaAPI-data'!$D162</f>
        <v>1</v>
      </c>
      <c r="K163">
        <f>'[30]R03_GABM_run2-data'!$D162</f>
        <v>0</v>
      </c>
      <c r="L163">
        <f t="shared" si="2"/>
        <v>0.1</v>
      </c>
    </row>
    <row r="164" spans="1:12" x14ac:dyDescent="0.35">
      <c r="A164">
        <v>161</v>
      </c>
      <c r="B164">
        <f>'[21]R03_GABM-data'!$D163</f>
        <v>0</v>
      </c>
      <c r="C164">
        <f>'[22]GABM_R03_RossAPI-data'!$D163</f>
        <v>0</v>
      </c>
      <c r="D164">
        <f>'[23]GABM_R03_RandiAPI-data'!$D163</f>
        <v>0</v>
      </c>
      <c r="E164">
        <f>'[24]GABM_R03_NavidAPI-data'!$D163</f>
        <v>0</v>
      </c>
      <c r="F164">
        <f>'[25]GABM_R03_Terry-data'!$D163</f>
        <v>0</v>
      </c>
      <c r="G164">
        <f>'[26]GABM_R03_SarahAPI-data'!$D163</f>
        <v>0</v>
      </c>
      <c r="H164">
        <f>'[27]GABM_R03_savannah-data'!$D163</f>
        <v>0</v>
      </c>
      <c r="I164">
        <f>'[28]GABM_R03_MitchellAPI-data'!$D163</f>
        <v>0</v>
      </c>
      <c r="J164">
        <f>'[29]GABM_R03_SudipaAPI-data'!$D163</f>
        <v>1</v>
      </c>
      <c r="K164">
        <f>'[30]R03_GABM_run2-data'!$D163</f>
        <v>0</v>
      </c>
      <c r="L164">
        <f t="shared" si="2"/>
        <v>0.1</v>
      </c>
    </row>
    <row r="165" spans="1:12" x14ac:dyDescent="0.35">
      <c r="A165">
        <v>162</v>
      </c>
      <c r="B165">
        <f>'[21]R03_GABM-data'!$D164</f>
        <v>0</v>
      </c>
      <c r="C165">
        <f>'[22]GABM_R03_RossAPI-data'!$D164</f>
        <v>0</v>
      </c>
      <c r="D165">
        <f>'[23]GABM_R03_RandiAPI-data'!$D164</f>
        <v>0</v>
      </c>
      <c r="E165">
        <f>'[24]GABM_R03_NavidAPI-data'!$D164</f>
        <v>0</v>
      </c>
      <c r="F165">
        <f>'[25]GABM_R03_Terry-data'!$D164</f>
        <v>0</v>
      </c>
      <c r="G165">
        <f>'[26]GABM_R03_SarahAPI-data'!$D164</f>
        <v>0</v>
      </c>
      <c r="H165">
        <f>'[27]GABM_R03_savannah-data'!$D164</f>
        <v>0</v>
      </c>
      <c r="I165">
        <f>'[28]GABM_R03_MitchellAPI-data'!$D164</f>
        <v>0</v>
      </c>
      <c r="J165">
        <f>'[29]GABM_R03_SudipaAPI-data'!$D164</f>
        <v>3</v>
      </c>
      <c r="K165">
        <f>'[30]R03_GABM_run2-data'!$D164</f>
        <v>0</v>
      </c>
      <c r="L165">
        <f t="shared" si="2"/>
        <v>0.3</v>
      </c>
    </row>
    <row r="166" spans="1:12" x14ac:dyDescent="0.35">
      <c r="A166">
        <v>163</v>
      </c>
      <c r="B166">
        <f>'[21]R03_GABM-data'!$D165</f>
        <v>0</v>
      </c>
      <c r="C166">
        <f>'[22]GABM_R03_RossAPI-data'!$D165</f>
        <v>0</v>
      </c>
      <c r="D166">
        <f>'[23]GABM_R03_RandiAPI-data'!$D165</f>
        <v>0</v>
      </c>
      <c r="E166">
        <f>'[24]GABM_R03_NavidAPI-data'!$D165</f>
        <v>0</v>
      </c>
      <c r="F166">
        <f>'[25]GABM_R03_Terry-data'!$D165</f>
        <v>0</v>
      </c>
      <c r="G166">
        <f>'[26]GABM_R03_SarahAPI-data'!$D165</f>
        <v>0</v>
      </c>
      <c r="H166">
        <f>'[27]GABM_R03_savannah-data'!$D165</f>
        <v>0</v>
      </c>
      <c r="I166">
        <f>'[28]GABM_R03_MitchellAPI-data'!$D165</f>
        <v>0</v>
      </c>
      <c r="J166">
        <f>'[29]GABM_R03_SudipaAPI-data'!$D165</f>
        <v>6</v>
      </c>
      <c r="K166">
        <f>'[30]R03_GABM_run2-data'!$D165</f>
        <v>0</v>
      </c>
      <c r="L166">
        <f t="shared" si="2"/>
        <v>0.6</v>
      </c>
    </row>
    <row r="167" spans="1:12" x14ac:dyDescent="0.35">
      <c r="A167">
        <v>164</v>
      </c>
      <c r="B167">
        <f>'[21]R03_GABM-data'!$D166</f>
        <v>0</v>
      </c>
      <c r="C167">
        <f>'[22]GABM_R03_RossAPI-data'!$D166</f>
        <v>0</v>
      </c>
      <c r="D167">
        <f>'[23]GABM_R03_RandiAPI-data'!$D166</f>
        <v>0</v>
      </c>
      <c r="E167">
        <f>'[24]GABM_R03_NavidAPI-data'!$D166</f>
        <v>0</v>
      </c>
      <c r="F167">
        <f>'[25]GABM_R03_Terry-data'!$D166</f>
        <v>0</v>
      </c>
      <c r="G167">
        <f>'[26]GABM_R03_SarahAPI-data'!$D166</f>
        <v>0</v>
      </c>
      <c r="H167">
        <f>'[27]GABM_R03_savannah-data'!$D166</f>
        <v>0</v>
      </c>
      <c r="I167">
        <f>'[28]GABM_R03_MitchellAPI-data'!$D166</f>
        <v>0</v>
      </c>
      <c r="J167">
        <f>'[29]GABM_R03_SudipaAPI-data'!$D166</f>
        <v>9</v>
      </c>
      <c r="K167">
        <f>'[30]R03_GABM_run2-data'!$D166</f>
        <v>0</v>
      </c>
      <c r="L167">
        <f t="shared" si="2"/>
        <v>0.9</v>
      </c>
    </row>
    <row r="168" spans="1:12" x14ac:dyDescent="0.35">
      <c r="A168">
        <v>165</v>
      </c>
      <c r="B168">
        <f>'[21]R03_GABM-data'!$D167</f>
        <v>0</v>
      </c>
      <c r="C168">
        <f>'[22]GABM_R03_RossAPI-data'!$D167</f>
        <v>0</v>
      </c>
      <c r="D168">
        <f>'[23]GABM_R03_RandiAPI-data'!$D167</f>
        <v>0</v>
      </c>
      <c r="E168">
        <f>'[24]GABM_R03_NavidAPI-data'!$D167</f>
        <v>0</v>
      </c>
      <c r="F168">
        <f>'[25]GABM_R03_Terry-data'!$D167</f>
        <v>0</v>
      </c>
      <c r="G168">
        <f>'[26]GABM_R03_SarahAPI-data'!$D167</f>
        <v>0</v>
      </c>
      <c r="H168">
        <f>'[27]GABM_R03_savannah-data'!$D167</f>
        <v>0</v>
      </c>
      <c r="I168">
        <f>'[28]GABM_R03_MitchellAPI-data'!$D167</f>
        <v>0</v>
      </c>
      <c r="J168">
        <f>'[29]GABM_R03_SudipaAPI-data'!$D167</f>
        <v>15</v>
      </c>
      <c r="K168">
        <f>'[30]R03_GABM_run2-data'!$D167</f>
        <v>0</v>
      </c>
      <c r="L168">
        <f t="shared" si="2"/>
        <v>1.5</v>
      </c>
    </row>
    <row r="169" spans="1:12" x14ac:dyDescent="0.35">
      <c r="A169">
        <v>166</v>
      </c>
      <c r="B169">
        <f>'[21]R03_GABM-data'!$D168</f>
        <v>0</v>
      </c>
      <c r="C169">
        <f>'[22]GABM_R03_RossAPI-data'!$D168</f>
        <v>0</v>
      </c>
      <c r="D169">
        <f>'[23]GABM_R03_RandiAPI-data'!$D168</f>
        <v>0</v>
      </c>
      <c r="E169">
        <f>'[24]GABM_R03_NavidAPI-data'!$D168</f>
        <v>0</v>
      </c>
      <c r="F169">
        <f>'[25]GABM_R03_Terry-data'!$D168</f>
        <v>0</v>
      </c>
      <c r="G169">
        <f>'[26]GABM_R03_SarahAPI-data'!$D168</f>
        <v>0</v>
      </c>
      <c r="H169">
        <f>'[27]GABM_R03_savannah-data'!$D168</f>
        <v>0</v>
      </c>
      <c r="I169">
        <f>'[28]GABM_R03_MitchellAPI-data'!$D168</f>
        <v>0</v>
      </c>
      <c r="J169">
        <f>'[29]GABM_R03_SudipaAPI-data'!$D168</f>
        <v>20</v>
      </c>
      <c r="K169">
        <f>'[30]R03_GABM_run2-data'!$D168</f>
        <v>0</v>
      </c>
      <c r="L169">
        <f t="shared" si="2"/>
        <v>2</v>
      </c>
    </row>
    <row r="170" spans="1:12" x14ac:dyDescent="0.35">
      <c r="A170">
        <v>167</v>
      </c>
      <c r="B170">
        <f>'[21]R03_GABM-data'!$D169</f>
        <v>0</v>
      </c>
      <c r="C170">
        <f>'[22]GABM_R03_RossAPI-data'!$D169</f>
        <v>0</v>
      </c>
      <c r="D170">
        <f>'[23]GABM_R03_RandiAPI-data'!$D169</f>
        <v>0</v>
      </c>
      <c r="E170">
        <f>'[24]GABM_R03_NavidAPI-data'!$D169</f>
        <v>0</v>
      </c>
      <c r="F170">
        <f>'[25]GABM_R03_Terry-data'!$D169</f>
        <v>0</v>
      </c>
      <c r="G170">
        <f>'[26]GABM_R03_SarahAPI-data'!$D169</f>
        <v>0</v>
      </c>
      <c r="H170">
        <f>'[27]GABM_R03_savannah-data'!$D169</f>
        <v>0</v>
      </c>
      <c r="I170">
        <f>'[28]GABM_R03_MitchellAPI-data'!$D169</f>
        <v>0</v>
      </c>
      <c r="J170">
        <f>'[29]GABM_R03_SudipaAPI-data'!$D169</f>
        <v>24</v>
      </c>
      <c r="K170">
        <f>'[30]R03_GABM_run2-data'!$D169</f>
        <v>0</v>
      </c>
      <c r="L170">
        <f t="shared" si="2"/>
        <v>2.4</v>
      </c>
    </row>
    <row r="171" spans="1:12" x14ac:dyDescent="0.35">
      <c r="A171">
        <v>168</v>
      </c>
      <c r="B171">
        <f>'[21]R03_GABM-data'!$D170</f>
        <v>0</v>
      </c>
      <c r="C171">
        <f>'[22]GABM_R03_RossAPI-data'!$D170</f>
        <v>0</v>
      </c>
      <c r="D171">
        <f>'[23]GABM_R03_RandiAPI-data'!$D170</f>
        <v>0</v>
      </c>
      <c r="E171">
        <f>'[24]GABM_R03_NavidAPI-data'!$D170</f>
        <v>0</v>
      </c>
      <c r="F171">
        <f>'[25]GABM_R03_Terry-data'!$D170</f>
        <v>0</v>
      </c>
      <c r="G171">
        <f>'[26]GABM_R03_SarahAPI-data'!$D170</f>
        <v>0</v>
      </c>
      <c r="H171">
        <f>'[27]GABM_R03_savannah-data'!$D170</f>
        <v>0</v>
      </c>
      <c r="I171">
        <f>'[28]GABM_R03_MitchellAPI-data'!$D170</f>
        <v>0</v>
      </c>
      <c r="J171">
        <f>'[29]GABM_R03_SudipaAPI-data'!$D170</f>
        <v>28</v>
      </c>
      <c r="K171">
        <f>'[30]R03_GABM_run2-data'!$D170</f>
        <v>0</v>
      </c>
      <c r="L171">
        <f t="shared" si="2"/>
        <v>2.8</v>
      </c>
    </row>
    <row r="172" spans="1:12" x14ac:dyDescent="0.35">
      <c r="A172">
        <v>169</v>
      </c>
      <c r="B172">
        <f>'[21]R03_GABM-data'!$D171</f>
        <v>0</v>
      </c>
      <c r="C172">
        <f>'[22]GABM_R03_RossAPI-data'!$D171</f>
        <v>0</v>
      </c>
      <c r="D172">
        <f>'[23]GABM_R03_RandiAPI-data'!$D171</f>
        <v>0</v>
      </c>
      <c r="E172">
        <f>'[24]GABM_R03_NavidAPI-data'!$D171</f>
        <v>0</v>
      </c>
      <c r="F172">
        <f>'[25]GABM_R03_Terry-data'!$D171</f>
        <v>0</v>
      </c>
      <c r="G172">
        <f>'[26]GABM_R03_SarahAPI-data'!$D171</f>
        <v>0</v>
      </c>
      <c r="H172">
        <f>'[27]GABM_R03_savannah-data'!$D171</f>
        <v>0</v>
      </c>
      <c r="I172">
        <f>'[28]GABM_R03_MitchellAPI-data'!$D171</f>
        <v>0</v>
      </c>
      <c r="J172">
        <f>'[29]GABM_R03_SudipaAPI-data'!$D171</f>
        <v>27</v>
      </c>
      <c r="K172">
        <f>'[30]R03_GABM_run2-data'!$D171</f>
        <v>0</v>
      </c>
      <c r="L172">
        <f t="shared" si="2"/>
        <v>2.7</v>
      </c>
    </row>
    <row r="173" spans="1:12" x14ac:dyDescent="0.35">
      <c r="A173">
        <v>170</v>
      </c>
      <c r="B173">
        <f>'[21]R03_GABM-data'!$D172</f>
        <v>0</v>
      </c>
      <c r="C173">
        <f>'[22]GABM_R03_RossAPI-data'!$D172</f>
        <v>0</v>
      </c>
      <c r="D173">
        <f>'[23]GABM_R03_RandiAPI-data'!$D172</f>
        <v>0</v>
      </c>
      <c r="E173">
        <f>'[24]GABM_R03_NavidAPI-data'!$D172</f>
        <v>0</v>
      </c>
      <c r="F173">
        <f>'[25]GABM_R03_Terry-data'!$D172</f>
        <v>0</v>
      </c>
      <c r="G173">
        <f>'[26]GABM_R03_SarahAPI-data'!$D172</f>
        <v>0</v>
      </c>
      <c r="H173">
        <f>'[27]GABM_R03_savannah-data'!$D172</f>
        <v>0</v>
      </c>
      <c r="I173">
        <f>'[28]GABM_R03_MitchellAPI-data'!$D172</f>
        <v>0</v>
      </c>
      <c r="J173">
        <f>'[29]GABM_R03_SudipaAPI-data'!$D172</f>
        <v>24</v>
      </c>
      <c r="K173">
        <f>'[30]R03_GABM_run2-data'!$D172</f>
        <v>0</v>
      </c>
      <c r="L173">
        <f t="shared" si="2"/>
        <v>2.4</v>
      </c>
    </row>
    <row r="174" spans="1:12" x14ac:dyDescent="0.35">
      <c r="A174">
        <v>171</v>
      </c>
      <c r="B174">
        <f>'[21]R03_GABM-data'!$D173</f>
        <v>0</v>
      </c>
      <c r="C174">
        <f>'[22]GABM_R03_RossAPI-data'!$D173</f>
        <v>0</v>
      </c>
      <c r="D174">
        <f>'[23]GABM_R03_RandiAPI-data'!$D173</f>
        <v>0</v>
      </c>
      <c r="E174">
        <f>'[24]GABM_R03_NavidAPI-data'!$D173</f>
        <v>0</v>
      </c>
      <c r="F174">
        <f>'[25]GABM_R03_Terry-data'!$D173</f>
        <v>0</v>
      </c>
      <c r="G174">
        <f>'[26]GABM_R03_SarahAPI-data'!$D173</f>
        <v>0</v>
      </c>
      <c r="H174">
        <f>'[27]GABM_R03_savannah-data'!$D173</f>
        <v>0</v>
      </c>
      <c r="I174">
        <f>'[28]GABM_R03_MitchellAPI-data'!$D173</f>
        <v>0</v>
      </c>
      <c r="J174">
        <f>'[29]GABM_R03_SudipaAPI-data'!$D173</f>
        <v>18</v>
      </c>
      <c r="K174">
        <f>'[30]R03_GABM_run2-data'!$D173</f>
        <v>0</v>
      </c>
      <c r="L174">
        <f t="shared" si="2"/>
        <v>1.8</v>
      </c>
    </row>
    <row r="175" spans="1:12" x14ac:dyDescent="0.35">
      <c r="A175">
        <v>172</v>
      </c>
      <c r="B175">
        <f>'[21]R03_GABM-data'!$D174</f>
        <v>0</v>
      </c>
      <c r="C175">
        <f>'[22]GABM_R03_RossAPI-data'!$D174</f>
        <v>0</v>
      </c>
      <c r="D175">
        <f>'[23]GABM_R03_RandiAPI-data'!$D174</f>
        <v>0</v>
      </c>
      <c r="E175">
        <f>'[24]GABM_R03_NavidAPI-data'!$D174</f>
        <v>0</v>
      </c>
      <c r="F175">
        <f>'[25]GABM_R03_Terry-data'!$D174</f>
        <v>0</v>
      </c>
      <c r="G175">
        <f>'[26]GABM_R03_SarahAPI-data'!$D174</f>
        <v>0</v>
      </c>
      <c r="H175">
        <f>'[27]GABM_R03_savannah-data'!$D174</f>
        <v>0</v>
      </c>
      <c r="I175">
        <f>'[28]GABM_R03_MitchellAPI-data'!$D174</f>
        <v>0</v>
      </c>
      <c r="J175">
        <f>'[29]GABM_R03_SudipaAPI-data'!$D174</f>
        <v>12</v>
      </c>
      <c r="K175">
        <f>'[30]R03_GABM_run2-data'!$D174</f>
        <v>0</v>
      </c>
      <c r="L175">
        <f t="shared" si="2"/>
        <v>1.2</v>
      </c>
    </row>
    <row r="176" spans="1:12" x14ac:dyDescent="0.35">
      <c r="A176">
        <v>173</v>
      </c>
      <c r="B176">
        <f>'[21]R03_GABM-data'!$D175</f>
        <v>0</v>
      </c>
      <c r="C176">
        <f>'[22]GABM_R03_RossAPI-data'!$D175</f>
        <v>0</v>
      </c>
      <c r="D176">
        <f>'[23]GABM_R03_RandiAPI-data'!$D175</f>
        <v>0</v>
      </c>
      <c r="E176">
        <f>'[24]GABM_R03_NavidAPI-data'!$D175</f>
        <v>0</v>
      </c>
      <c r="F176">
        <f>'[25]GABM_R03_Terry-data'!$D175</f>
        <v>0</v>
      </c>
      <c r="G176">
        <f>'[26]GABM_R03_SarahAPI-data'!$D175</f>
        <v>0</v>
      </c>
      <c r="H176">
        <f>'[27]GABM_R03_savannah-data'!$D175</f>
        <v>0</v>
      </c>
      <c r="I176">
        <f>'[28]GABM_R03_MitchellAPI-data'!$D175</f>
        <v>0</v>
      </c>
      <c r="J176">
        <f>'[29]GABM_R03_SudipaAPI-data'!$D175</f>
        <v>8</v>
      </c>
      <c r="K176">
        <f>'[30]R03_GABM_run2-data'!$D175</f>
        <v>0</v>
      </c>
      <c r="L176">
        <f t="shared" si="2"/>
        <v>0.8</v>
      </c>
    </row>
    <row r="177" spans="1:12" x14ac:dyDescent="0.35">
      <c r="A177">
        <v>174</v>
      </c>
      <c r="B177">
        <f>'[21]R03_GABM-data'!$D176</f>
        <v>0</v>
      </c>
      <c r="C177">
        <f>'[22]GABM_R03_RossAPI-data'!$D176</f>
        <v>0</v>
      </c>
      <c r="D177">
        <f>'[23]GABM_R03_RandiAPI-data'!$D176</f>
        <v>0</v>
      </c>
      <c r="E177">
        <f>'[24]GABM_R03_NavidAPI-data'!$D176</f>
        <v>0</v>
      </c>
      <c r="F177">
        <f>'[25]GABM_R03_Terry-data'!$D176</f>
        <v>0</v>
      </c>
      <c r="G177">
        <f>'[26]GABM_R03_SarahAPI-data'!$D176</f>
        <v>0</v>
      </c>
      <c r="H177">
        <f>'[27]GABM_R03_savannah-data'!$D176</f>
        <v>0</v>
      </c>
      <c r="I177">
        <f>'[28]GABM_R03_MitchellAPI-data'!$D176</f>
        <v>0</v>
      </c>
      <c r="J177">
        <f>'[29]GABM_R03_SudipaAPI-data'!$D176</f>
        <v>3</v>
      </c>
      <c r="K177">
        <f>'[30]R03_GABM_run2-data'!$D176</f>
        <v>0</v>
      </c>
      <c r="L177">
        <f t="shared" si="2"/>
        <v>0.3</v>
      </c>
    </row>
    <row r="178" spans="1:12" x14ac:dyDescent="0.35">
      <c r="A178">
        <v>175</v>
      </c>
      <c r="B178">
        <f>'[21]R03_GABM-data'!$D177</f>
        <v>0</v>
      </c>
      <c r="C178">
        <f>'[22]GABM_R03_RossAPI-data'!$D177</f>
        <v>0</v>
      </c>
      <c r="D178">
        <f>'[23]GABM_R03_RandiAPI-data'!$D177</f>
        <v>0</v>
      </c>
      <c r="E178">
        <f>'[24]GABM_R03_NavidAPI-data'!$D177</f>
        <v>0</v>
      </c>
      <c r="F178">
        <f>'[25]GABM_R03_Terry-data'!$D177</f>
        <v>0</v>
      </c>
      <c r="G178">
        <f>'[26]GABM_R03_SarahAPI-data'!$D177</f>
        <v>0</v>
      </c>
      <c r="H178">
        <f>'[27]GABM_R03_savannah-data'!$D177</f>
        <v>0</v>
      </c>
      <c r="I178">
        <f>'[28]GABM_R03_MitchellAPI-data'!$D177</f>
        <v>0</v>
      </c>
      <c r="J178">
        <f>'[29]GABM_R03_SudipaAPI-data'!$D177</f>
        <v>2</v>
      </c>
      <c r="K178">
        <f>'[30]R03_GABM_run2-data'!$D177</f>
        <v>0</v>
      </c>
      <c r="L178">
        <f t="shared" si="2"/>
        <v>0.2</v>
      </c>
    </row>
    <row r="179" spans="1:12" x14ac:dyDescent="0.35">
      <c r="A179">
        <v>176</v>
      </c>
      <c r="B179">
        <f>'[21]R03_GABM-data'!$D178</f>
        <v>0</v>
      </c>
      <c r="C179">
        <f>'[22]GABM_R03_RossAPI-data'!$D178</f>
        <v>0</v>
      </c>
      <c r="D179">
        <f>'[23]GABM_R03_RandiAPI-data'!$D178</f>
        <v>0</v>
      </c>
      <c r="E179">
        <f>'[24]GABM_R03_NavidAPI-data'!$D178</f>
        <v>0</v>
      </c>
      <c r="F179">
        <f>'[25]GABM_R03_Terry-data'!$D178</f>
        <v>0</v>
      </c>
      <c r="G179">
        <f>'[26]GABM_R03_SarahAPI-data'!$D178</f>
        <v>0</v>
      </c>
      <c r="H179">
        <f>'[27]GABM_R03_savannah-data'!$D178</f>
        <v>0</v>
      </c>
      <c r="I179">
        <f>'[28]GABM_R03_MitchellAPI-data'!$D178</f>
        <v>0</v>
      </c>
      <c r="J179">
        <f>'[29]GABM_R03_SudipaAPI-data'!$D178</f>
        <v>3</v>
      </c>
      <c r="K179">
        <f>'[30]R03_GABM_run2-data'!$D178</f>
        <v>0</v>
      </c>
      <c r="L179">
        <f t="shared" si="2"/>
        <v>0.3</v>
      </c>
    </row>
    <row r="180" spans="1:12" x14ac:dyDescent="0.35">
      <c r="A180">
        <v>177</v>
      </c>
      <c r="B180">
        <f>'[21]R03_GABM-data'!$D179</f>
        <v>0</v>
      </c>
      <c r="C180">
        <f>'[22]GABM_R03_RossAPI-data'!$D179</f>
        <v>0</v>
      </c>
      <c r="D180">
        <f>'[23]GABM_R03_RandiAPI-data'!$D179</f>
        <v>0</v>
      </c>
      <c r="E180">
        <f>'[24]GABM_R03_NavidAPI-data'!$D179</f>
        <v>0</v>
      </c>
      <c r="F180">
        <f>'[25]GABM_R03_Terry-data'!$D179</f>
        <v>0</v>
      </c>
      <c r="G180">
        <f>'[26]GABM_R03_SarahAPI-data'!$D179</f>
        <v>0</v>
      </c>
      <c r="H180">
        <f>'[27]GABM_R03_savannah-data'!$D179</f>
        <v>0</v>
      </c>
      <c r="I180">
        <f>'[28]GABM_R03_MitchellAPI-data'!$D179</f>
        <v>0</v>
      </c>
      <c r="J180">
        <f>'[29]GABM_R03_SudipaAPI-data'!$D179</f>
        <v>5</v>
      </c>
      <c r="K180">
        <f>'[30]R03_GABM_run2-data'!$D179</f>
        <v>0</v>
      </c>
      <c r="L180">
        <f t="shared" si="2"/>
        <v>0.5</v>
      </c>
    </row>
    <row r="181" spans="1:12" x14ac:dyDescent="0.35">
      <c r="A181">
        <v>178</v>
      </c>
      <c r="B181">
        <f>'[21]R03_GABM-data'!$D180</f>
        <v>0</v>
      </c>
      <c r="C181">
        <f>'[22]GABM_R03_RossAPI-data'!$D180</f>
        <v>0</v>
      </c>
      <c r="D181">
        <f>'[23]GABM_R03_RandiAPI-data'!$D180</f>
        <v>0</v>
      </c>
      <c r="E181">
        <f>'[24]GABM_R03_NavidAPI-data'!$D180</f>
        <v>0</v>
      </c>
      <c r="F181">
        <f>'[25]GABM_R03_Terry-data'!$D180</f>
        <v>0</v>
      </c>
      <c r="G181">
        <f>'[26]GABM_R03_SarahAPI-data'!$D180</f>
        <v>0</v>
      </c>
      <c r="H181">
        <f>'[27]GABM_R03_savannah-data'!$D180</f>
        <v>0</v>
      </c>
      <c r="I181">
        <f>'[28]GABM_R03_MitchellAPI-data'!$D180</f>
        <v>0</v>
      </c>
      <c r="J181">
        <f>'[29]GABM_R03_SudipaAPI-data'!$D180</f>
        <v>5</v>
      </c>
      <c r="K181">
        <f>'[30]R03_GABM_run2-data'!$D180</f>
        <v>0</v>
      </c>
      <c r="L181">
        <f t="shared" si="2"/>
        <v>0.5</v>
      </c>
    </row>
    <row r="182" spans="1:12" x14ac:dyDescent="0.35">
      <c r="A182">
        <v>179</v>
      </c>
      <c r="B182">
        <f>'[21]R03_GABM-data'!$D181</f>
        <v>0</v>
      </c>
      <c r="C182">
        <f>'[22]GABM_R03_RossAPI-data'!$D181</f>
        <v>0</v>
      </c>
      <c r="D182">
        <f>'[23]GABM_R03_RandiAPI-data'!$D181</f>
        <v>0</v>
      </c>
      <c r="E182">
        <f>'[24]GABM_R03_NavidAPI-data'!$D181</f>
        <v>0</v>
      </c>
      <c r="F182">
        <f>'[25]GABM_R03_Terry-data'!$D181</f>
        <v>0</v>
      </c>
      <c r="G182">
        <f>'[26]GABM_R03_SarahAPI-data'!$D181</f>
        <v>0</v>
      </c>
      <c r="H182">
        <f>'[27]GABM_R03_savannah-data'!$D181</f>
        <v>0</v>
      </c>
      <c r="I182">
        <f>'[28]GABM_R03_MitchellAPI-data'!$D181</f>
        <v>0</v>
      </c>
      <c r="J182">
        <f>'[29]GABM_R03_SudipaAPI-data'!$D181</f>
        <v>6</v>
      </c>
      <c r="K182">
        <f>'[30]R03_GABM_run2-data'!$D181</f>
        <v>0</v>
      </c>
      <c r="L182">
        <f t="shared" si="2"/>
        <v>0.6</v>
      </c>
    </row>
    <row r="183" spans="1:12" x14ac:dyDescent="0.35">
      <c r="A183">
        <v>180</v>
      </c>
      <c r="B183">
        <f>'[21]R03_GABM-data'!$D182</f>
        <v>0</v>
      </c>
      <c r="C183">
        <f>'[22]GABM_R03_RossAPI-data'!$D182</f>
        <v>0</v>
      </c>
      <c r="D183">
        <f>'[23]GABM_R03_RandiAPI-data'!$D182</f>
        <v>0</v>
      </c>
      <c r="E183">
        <f>'[24]GABM_R03_NavidAPI-data'!$D182</f>
        <v>0</v>
      </c>
      <c r="F183">
        <f>'[25]GABM_R03_Terry-data'!$D182</f>
        <v>0</v>
      </c>
      <c r="G183">
        <f>'[26]GABM_R03_SarahAPI-data'!$D182</f>
        <v>0</v>
      </c>
      <c r="H183">
        <f>'[27]GABM_R03_savannah-data'!$D182</f>
        <v>0</v>
      </c>
      <c r="I183">
        <f>'[28]GABM_R03_MitchellAPI-data'!$D182</f>
        <v>0</v>
      </c>
      <c r="J183">
        <f>'[29]GABM_R03_SudipaAPI-data'!$D182</f>
        <v>6</v>
      </c>
      <c r="K183">
        <f>'[30]R03_GABM_run2-data'!$D182</f>
        <v>0</v>
      </c>
      <c r="L183">
        <f t="shared" si="2"/>
        <v>0.6</v>
      </c>
    </row>
    <row r="184" spans="1:12" x14ac:dyDescent="0.35">
      <c r="A184">
        <v>181</v>
      </c>
      <c r="B184">
        <f>'[21]R03_GABM-data'!$D183</f>
        <v>0</v>
      </c>
      <c r="C184">
        <f>'[22]GABM_R03_RossAPI-data'!$D183</f>
        <v>0</v>
      </c>
      <c r="D184">
        <f>'[23]GABM_R03_RandiAPI-data'!$D183</f>
        <v>0</v>
      </c>
      <c r="E184">
        <f>'[24]GABM_R03_NavidAPI-data'!$D183</f>
        <v>0</v>
      </c>
      <c r="F184">
        <f>'[25]GABM_R03_Terry-data'!$D183</f>
        <v>0</v>
      </c>
      <c r="G184">
        <f>'[26]GABM_R03_SarahAPI-data'!$D183</f>
        <v>0</v>
      </c>
      <c r="H184">
        <f>'[27]GABM_R03_savannah-data'!$D183</f>
        <v>0</v>
      </c>
      <c r="I184">
        <f>'[28]GABM_R03_MitchellAPI-data'!$D183</f>
        <v>0</v>
      </c>
      <c r="J184">
        <f>'[29]GABM_R03_SudipaAPI-data'!$D183</f>
        <v>5</v>
      </c>
      <c r="K184">
        <f>'[30]R03_GABM_run2-data'!$D183</f>
        <v>0</v>
      </c>
      <c r="L184">
        <f t="shared" si="2"/>
        <v>0.5</v>
      </c>
    </row>
    <row r="185" spans="1:12" x14ac:dyDescent="0.35">
      <c r="A185">
        <v>182</v>
      </c>
      <c r="B185">
        <f>'[21]R03_GABM-data'!$D184</f>
        <v>0</v>
      </c>
      <c r="C185">
        <f>'[22]GABM_R03_RossAPI-data'!$D184</f>
        <v>0</v>
      </c>
      <c r="D185">
        <f>'[23]GABM_R03_RandiAPI-data'!$D184</f>
        <v>0</v>
      </c>
      <c r="E185">
        <f>'[24]GABM_R03_NavidAPI-data'!$D184</f>
        <v>0</v>
      </c>
      <c r="F185">
        <f>'[25]GABM_R03_Terry-data'!$D184</f>
        <v>0</v>
      </c>
      <c r="G185">
        <f>'[26]GABM_R03_SarahAPI-data'!$D184</f>
        <v>0</v>
      </c>
      <c r="H185">
        <f>'[27]GABM_R03_savannah-data'!$D184</f>
        <v>0</v>
      </c>
      <c r="I185">
        <f>'[28]GABM_R03_MitchellAPI-data'!$D184</f>
        <v>0</v>
      </c>
      <c r="J185">
        <f>'[29]GABM_R03_SudipaAPI-data'!$D184</f>
        <v>6</v>
      </c>
      <c r="K185">
        <f>'[30]R03_GABM_run2-data'!$D184</f>
        <v>0</v>
      </c>
      <c r="L185">
        <f t="shared" si="2"/>
        <v>0.6</v>
      </c>
    </row>
    <row r="186" spans="1:12" x14ac:dyDescent="0.35">
      <c r="A186">
        <v>183</v>
      </c>
      <c r="B186">
        <f>'[21]R03_GABM-data'!$D185</f>
        <v>0</v>
      </c>
      <c r="C186">
        <f>'[22]GABM_R03_RossAPI-data'!$D185</f>
        <v>0</v>
      </c>
      <c r="D186">
        <f>'[23]GABM_R03_RandiAPI-data'!$D185</f>
        <v>0</v>
      </c>
      <c r="E186">
        <f>'[24]GABM_R03_NavidAPI-data'!$D185</f>
        <v>0</v>
      </c>
      <c r="F186">
        <f>'[25]GABM_R03_Terry-data'!$D185</f>
        <v>0</v>
      </c>
      <c r="G186">
        <f>'[26]GABM_R03_SarahAPI-data'!$D185</f>
        <v>0</v>
      </c>
      <c r="H186">
        <f>'[27]GABM_R03_savannah-data'!$D185</f>
        <v>0</v>
      </c>
      <c r="I186">
        <f>'[28]GABM_R03_MitchellAPI-data'!$D185</f>
        <v>0</v>
      </c>
      <c r="J186">
        <f>'[29]GABM_R03_SudipaAPI-data'!$D185</f>
        <v>5</v>
      </c>
      <c r="K186">
        <f>'[30]R03_GABM_run2-data'!$D185</f>
        <v>0</v>
      </c>
      <c r="L186">
        <f t="shared" si="2"/>
        <v>0.5</v>
      </c>
    </row>
    <row r="187" spans="1:12" x14ac:dyDescent="0.35">
      <c r="A187">
        <v>184</v>
      </c>
      <c r="B187">
        <f>'[21]R03_GABM-data'!$D186</f>
        <v>0</v>
      </c>
      <c r="C187">
        <f>'[22]GABM_R03_RossAPI-data'!$D186</f>
        <v>0</v>
      </c>
      <c r="D187">
        <f>'[23]GABM_R03_RandiAPI-data'!$D186</f>
        <v>0</v>
      </c>
      <c r="E187">
        <f>'[24]GABM_R03_NavidAPI-data'!$D186</f>
        <v>0</v>
      </c>
      <c r="F187">
        <f>'[25]GABM_R03_Terry-data'!$D186</f>
        <v>0</v>
      </c>
      <c r="G187">
        <f>'[26]GABM_R03_SarahAPI-data'!$D186</f>
        <v>0</v>
      </c>
      <c r="H187">
        <f>'[27]GABM_R03_savannah-data'!$D186</f>
        <v>0</v>
      </c>
      <c r="I187">
        <f>'[28]GABM_R03_MitchellAPI-data'!$D186</f>
        <v>0</v>
      </c>
      <c r="J187">
        <f>'[29]GABM_R03_SudipaAPI-data'!$D186</f>
        <v>6</v>
      </c>
      <c r="K187">
        <f>'[30]R03_GABM_run2-data'!$D186</f>
        <v>0</v>
      </c>
      <c r="L187">
        <f t="shared" si="2"/>
        <v>0.6</v>
      </c>
    </row>
    <row r="188" spans="1:12" x14ac:dyDescent="0.35">
      <c r="A188">
        <v>185</v>
      </c>
      <c r="B188">
        <f>'[21]R03_GABM-data'!$D187</f>
        <v>0</v>
      </c>
      <c r="C188">
        <f>'[22]GABM_R03_RossAPI-data'!$D187</f>
        <v>0</v>
      </c>
      <c r="D188">
        <f>'[23]GABM_R03_RandiAPI-data'!$D187</f>
        <v>0</v>
      </c>
      <c r="E188">
        <f>'[24]GABM_R03_NavidAPI-data'!$D187</f>
        <v>0</v>
      </c>
      <c r="F188">
        <f>'[25]GABM_R03_Terry-data'!$D187</f>
        <v>0</v>
      </c>
      <c r="G188">
        <f>'[26]GABM_R03_SarahAPI-data'!$D187</f>
        <v>0</v>
      </c>
      <c r="H188">
        <f>'[27]GABM_R03_savannah-data'!$D187</f>
        <v>0</v>
      </c>
      <c r="I188">
        <f>'[28]GABM_R03_MitchellAPI-data'!$D187</f>
        <v>0</v>
      </c>
      <c r="J188">
        <f>'[29]GABM_R03_SudipaAPI-data'!$D187</f>
        <v>6</v>
      </c>
      <c r="K188">
        <f>'[30]R03_GABM_run2-data'!$D187</f>
        <v>0</v>
      </c>
      <c r="L188">
        <f t="shared" si="2"/>
        <v>0.6</v>
      </c>
    </row>
    <row r="189" spans="1:12" x14ac:dyDescent="0.35">
      <c r="A189">
        <v>186</v>
      </c>
      <c r="B189">
        <f>'[21]R03_GABM-data'!$D188</f>
        <v>0</v>
      </c>
      <c r="C189">
        <f>'[22]GABM_R03_RossAPI-data'!$D188</f>
        <v>0</v>
      </c>
      <c r="D189">
        <f>'[23]GABM_R03_RandiAPI-data'!$D188</f>
        <v>0</v>
      </c>
      <c r="E189">
        <f>'[24]GABM_R03_NavidAPI-data'!$D188</f>
        <v>0</v>
      </c>
      <c r="F189">
        <f>'[25]GABM_R03_Terry-data'!$D188</f>
        <v>0</v>
      </c>
      <c r="G189">
        <f>'[26]GABM_R03_SarahAPI-data'!$D188</f>
        <v>0</v>
      </c>
      <c r="H189">
        <f>'[27]GABM_R03_savannah-data'!$D188</f>
        <v>0</v>
      </c>
      <c r="I189">
        <f>'[28]GABM_R03_MitchellAPI-data'!$D188</f>
        <v>0</v>
      </c>
      <c r="J189">
        <f>'[29]GABM_R03_SudipaAPI-data'!$D188</f>
        <v>7</v>
      </c>
      <c r="K189">
        <f>'[30]R03_GABM_run2-data'!$D188</f>
        <v>0</v>
      </c>
      <c r="L189">
        <f t="shared" si="2"/>
        <v>0.7</v>
      </c>
    </row>
    <row r="190" spans="1:12" x14ac:dyDescent="0.35">
      <c r="A190">
        <v>187</v>
      </c>
      <c r="B190">
        <f>'[21]R03_GABM-data'!$D189</f>
        <v>0</v>
      </c>
      <c r="C190">
        <f>'[22]GABM_R03_RossAPI-data'!$D189</f>
        <v>0</v>
      </c>
      <c r="D190">
        <f>'[23]GABM_R03_RandiAPI-data'!$D189</f>
        <v>0</v>
      </c>
      <c r="E190">
        <f>'[24]GABM_R03_NavidAPI-data'!$D189</f>
        <v>0</v>
      </c>
      <c r="F190">
        <f>'[25]GABM_R03_Terry-data'!$D189</f>
        <v>0</v>
      </c>
      <c r="G190">
        <f>'[26]GABM_R03_SarahAPI-data'!$D189</f>
        <v>0</v>
      </c>
      <c r="H190">
        <f>'[27]GABM_R03_savannah-data'!$D189</f>
        <v>0</v>
      </c>
      <c r="I190">
        <f>'[28]GABM_R03_MitchellAPI-data'!$D189</f>
        <v>0</v>
      </c>
      <c r="J190">
        <f>'[29]GABM_R03_SudipaAPI-data'!$D189</f>
        <v>9</v>
      </c>
      <c r="K190">
        <f>'[30]R03_GABM_run2-data'!$D189</f>
        <v>0</v>
      </c>
      <c r="L190">
        <f t="shared" si="2"/>
        <v>0.9</v>
      </c>
    </row>
    <row r="191" spans="1:12" x14ac:dyDescent="0.35">
      <c r="A191">
        <v>188</v>
      </c>
      <c r="B191">
        <f>'[21]R03_GABM-data'!$D190</f>
        <v>0</v>
      </c>
      <c r="C191">
        <f>'[22]GABM_R03_RossAPI-data'!$D190</f>
        <v>0</v>
      </c>
      <c r="D191">
        <f>'[23]GABM_R03_RandiAPI-data'!$D190</f>
        <v>0</v>
      </c>
      <c r="E191">
        <f>'[24]GABM_R03_NavidAPI-data'!$D190</f>
        <v>0</v>
      </c>
      <c r="F191">
        <f>'[25]GABM_R03_Terry-data'!$D190</f>
        <v>0</v>
      </c>
      <c r="G191">
        <f>'[26]GABM_R03_SarahAPI-data'!$D190</f>
        <v>0</v>
      </c>
      <c r="H191">
        <f>'[27]GABM_R03_savannah-data'!$D190</f>
        <v>0</v>
      </c>
      <c r="I191">
        <f>'[28]GABM_R03_MitchellAPI-data'!$D190</f>
        <v>0</v>
      </c>
      <c r="J191">
        <f>'[29]GABM_R03_SudipaAPI-data'!$D190</f>
        <v>8</v>
      </c>
      <c r="K191">
        <f>'[30]R03_GABM_run2-data'!$D190</f>
        <v>0</v>
      </c>
      <c r="L191">
        <f t="shared" si="2"/>
        <v>0.8</v>
      </c>
    </row>
    <row r="192" spans="1:12" x14ac:dyDescent="0.35">
      <c r="A192">
        <v>189</v>
      </c>
      <c r="B192">
        <f>'[21]R03_GABM-data'!$D191</f>
        <v>0</v>
      </c>
      <c r="C192">
        <f>'[22]GABM_R03_RossAPI-data'!$D191</f>
        <v>0</v>
      </c>
      <c r="D192">
        <f>'[23]GABM_R03_RandiAPI-data'!$D191</f>
        <v>0</v>
      </c>
      <c r="E192">
        <f>'[24]GABM_R03_NavidAPI-data'!$D191</f>
        <v>0</v>
      </c>
      <c r="F192">
        <f>'[25]GABM_R03_Terry-data'!$D191</f>
        <v>0</v>
      </c>
      <c r="G192">
        <f>'[26]GABM_R03_SarahAPI-data'!$D191</f>
        <v>0</v>
      </c>
      <c r="H192">
        <f>'[27]GABM_R03_savannah-data'!$D191</f>
        <v>0</v>
      </c>
      <c r="I192">
        <f>'[28]GABM_R03_MitchellAPI-data'!$D191</f>
        <v>0</v>
      </c>
      <c r="J192">
        <f>'[29]GABM_R03_SudipaAPI-data'!$D191</f>
        <v>8</v>
      </c>
      <c r="K192">
        <f>'[30]R03_GABM_run2-data'!$D191</f>
        <v>0</v>
      </c>
      <c r="L192">
        <f t="shared" si="2"/>
        <v>0.8</v>
      </c>
    </row>
    <row r="193" spans="1:12" x14ac:dyDescent="0.35">
      <c r="A193">
        <v>190</v>
      </c>
      <c r="B193">
        <f>'[21]R03_GABM-data'!$D192</f>
        <v>0</v>
      </c>
      <c r="C193">
        <f>'[22]GABM_R03_RossAPI-data'!$D192</f>
        <v>0</v>
      </c>
      <c r="D193">
        <f>'[23]GABM_R03_RandiAPI-data'!$D192</f>
        <v>0</v>
      </c>
      <c r="E193">
        <f>'[24]GABM_R03_NavidAPI-data'!$D192</f>
        <v>0</v>
      </c>
      <c r="F193">
        <f>'[25]GABM_R03_Terry-data'!$D192</f>
        <v>0</v>
      </c>
      <c r="G193">
        <f>'[26]GABM_R03_SarahAPI-data'!$D192</f>
        <v>0</v>
      </c>
      <c r="H193">
        <f>'[27]GABM_R03_savannah-data'!$D192</f>
        <v>0</v>
      </c>
      <c r="I193">
        <f>'[28]GABM_R03_MitchellAPI-data'!$D192</f>
        <v>0</v>
      </c>
      <c r="J193">
        <f>'[29]GABM_R03_SudipaAPI-data'!$D192</f>
        <v>8</v>
      </c>
      <c r="K193">
        <f>'[30]R03_GABM_run2-data'!$D192</f>
        <v>0</v>
      </c>
      <c r="L193">
        <f t="shared" si="2"/>
        <v>0.8</v>
      </c>
    </row>
    <row r="194" spans="1:12" x14ac:dyDescent="0.35">
      <c r="A194">
        <v>191</v>
      </c>
      <c r="B194">
        <f>'[21]R03_GABM-data'!$D193</f>
        <v>0</v>
      </c>
      <c r="C194">
        <f>'[22]GABM_R03_RossAPI-data'!$D193</f>
        <v>0</v>
      </c>
      <c r="D194">
        <f>'[23]GABM_R03_RandiAPI-data'!$D193</f>
        <v>0</v>
      </c>
      <c r="E194">
        <f>'[24]GABM_R03_NavidAPI-data'!$D193</f>
        <v>0</v>
      </c>
      <c r="F194">
        <f>'[25]GABM_R03_Terry-data'!$D193</f>
        <v>0</v>
      </c>
      <c r="G194">
        <f>'[26]GABM_R03_SarahAPI-data'!$D193</f>
        <v>0</v>
      </c>
      <c r="H194">
        <f>'[27]GABM_R03_savannah-data'!$D193</f>
        <v>0</v>
      </c>
      <c r="I194">
        <f>'[28]GABM_R03_MitchellAPI-data'!$D193</f>
        <v>0</v>
      </c>
      <c r="J194">
        <f>'[29]GABM_R03_SudipaAPI-data'!$D193</f>
        <v>8</v>
      </c>
      <c r="K194">
        <f>'[30]R03_GABM_run2-data'!$D193</f>
        <v>0</v>
      </c>
      <c r="L194">
        <f t="shared" si="2"/>
        <v>0.8</v>
      </c>
    </row>
    <row r="195" spans="1:12" x14ac:dyDescent="0.35">
      <c r="A195">
        <v>192</v>
      </c>
      <c r="B195">
        <f>'[21]R03_GABM-data'!$D194</f>
        <v>0</v>
      </c>
      <c r="C195">
        <f>'[22]GABM_R03_RossAPI-data'!$D194</f>
        <v>0</v>
      </c>
      <c r="D195">
        <f>'[23]GABM_R03_RandiAPI-data'!$D194</f>
        <v>0</v>
      </c>
      <c r="E195">
        <f>'[24]GABM_R03_NavidAPI-data'!$D194</f>
        <v>0</v>
      </c>
      <c r="F195">
        <f>'[25]GABM_R03_Terry-data'!$D194</f>
        <v>0</v>
      </c>
      <c r="G195">
        <f>'[26]GABM_R03_SarahAPI-data'!$D194</f>
        <v>0</v>
      </c>
      <c r="H195">
        <f>'[27]GABM_R03_savannah-data'!$D194</f>
        <v>0</v>
      </c>
      <c r="I195">
        <f>'[28]GABM_R03_MitchellAPI-data'!$D194</f>
        <v>0</v>
      </c>
      <c r="J195">
        <f>'[29]GABM_R03_SudipaAPI-data'!$D194</f>
        <v>6</v>
      </c>
      <c r="K195">
        <f>'[30]R03_GABM_run2-data'!$D194</f>
        <v>0</v>
      </c>
      <c r="L195">
        <f t="shared" si="2"/>
        <v>0.6</v>
      </c>
    </row>
    <row r="196" spans="1:12" x14ac:dyDescent="0.35">
      <c r="A196">
        <v>193</v>
      </c>
      <c r="B196">
        <f>'[21]R03_GABM-data'!$D195</f>
        <v>0</v>
      </c>
      <c r="C196">
        <f>'[22]GABM_R03_RossAPI-data'!$D195</f>
        <v>0</v>
      </c>
      <c r="D196">
        <f>'[23]GABM_R03_RandiAPI-data'!$D195</f>
        <v>0</v>
      </c>
      <c r="E196">
        <f>'[24]GABM_R03_NavidAPI-data'!$D195</f>
        <v>0</v>
      </c>
      <c r="F196">
        <f>'[25]GABM_R03_Terry-data'!$D195</f>
        <v>0</v>
      </c>
      <c r="G196">
        <f>'[26]GABM_R03_SarahAPI-data'!$D195</f>
        <v>0</v>
      </c>
      <c r="H196">
        <f>'[27]GABM_R03_savannah-data'!$D195</f>
        <v>0</v>
      </c>
      <c r="I196">
        <f>'[28]GABM_R03_MitchellAPI-data'!$D195</f>
        <v>0</v>
      </c>
      <c r="J196">
        <f>'[29]GABM_R03_SudipaAPI-data'!$D195</f>
        <v>4</v>
      </c>
      <c r="K196">
        <f>'[30]R03_GABM_run2-data'!$D195</f>
        <v>0</v>
      </c>
      <c r="L196">
        <f t="shared" ref="L196:L200" si="3">AVERAGE(B196:K196)</f>
        <v>0.4</v>
      </c>
    </row>
    <row r="197" spans="1:12" x14ac:dyDescent="0.35">
      <c r="A197">
        <v>194</v>
      </c>
      <c r="B197">
        <f>'[21]R03_GABM-data'!$D196</f>
        <v>0</v>
      </c>
      <c r="C197">
        <f>'[22]GABM_R03_RossAPI-data'!$D196</f>
        <v>0</v>
      </c>
      <c r="D197">
        <f>'[23]GABM_R03_RandiAPI-data'!$D196</f>
        <v>0</v>
      </c>
      <c r="E197">
        <f>'[24]GABM_R03_NavidAPI-data'!$D196</f>
        <v>0</v>
      </c>
      <c r="F197">
        <f>'[25]GABM_R03_Terry-data'!$D196</f>
        <v>0</v>
      </c>
      <c r="G197">
        <f>'[26]GABM_R03_SarahAPI-data'!$D196</f>
        <v>0</v>
      </c>
      <c r="H197">
        <f>'[27]GABM_R03_savannah-data'!$D196</f>
        <v>0</v>
      </c>
      <c r="I197">
        <f>'[28]GABM_R03_MitchellAPI-data'!$D196</f>
        <v>0</v>
      </c>
      <c r="J197">
        <f>'[29]GABM_R03_SudipaAPI-data'!$D196</f>
        <v>3</v>
      </c>
      <c r="K197">
        <f>'[30]R03_GABM_run2-data'!$D196</f>
        <v>0</v>
      </c>
      <c r="L197">
        <f t="shared" si="3"/>
        <v>0.3</v>
      </c>
    </row>
    <row r="198" spans="1:12" x14ac:dyDescent="0.35">
      <c r="A198">
        <v>195</v>
      </c>
      <c r="B198">
        <f>'[21]R03_GABM-data'!$D197</f>
        <v>0</v>
      </c>
      <c r="C198">
        <f>'[22]GABM_R03_RossAPI-data'!$D197</f>
        <v>0</v>
      </c>
      <c r="D198">
        <f>'[23]GABM_R03_RandiAPI-data'!$D197</f>
        <v>0</v>
      </c>
      <c r="E198">
        <f>'[24]GABM_R03_NavidAPI-data'!$D197</f>
        <v>0</v>
      </c>
      <c r="F198">
        <f>'[25]GABM_R03_Terry-data'!$D197</f>
        <v>0</v>
      </c>
      <c r="G198">
        <f>'[26]GABM_R03_SarahAPI-data'!$D197</f>
        <v>0</v>
      </c>
      <c r="H198">
        <f>'[27]GABM_R03_savannah-data'!$D197</f>
        <v>0</v>
      </c>
      <c r="I198">
        <f>'[28]GABM_R03_MitchellAPI-data'!$D197</f>
        <v>0</v>
      </c>
      <c r="J198">
        <f>'[29]GABM_R03_SudipaAPI-data'!$D197</f>
        <v>2</v>
      </c>
      <c r="K198">
        <f>'[30]R03_GABM_run2-data'!$D197</f>
        <v>0</v>
      </c>
      <c r="L198">
        <f t="shared" si="3"/>
        <v>0.2</v>
      </c>
    </row>
    <row r="199" spans="1:12" x14ac:dyDescent="0.35">
      <c r="A199">
        <v>196</v>
      </c>
      <c r="B199">
        <f>'[21]R03_GABM-data'!$D198</f>
        <v>0</v>
      </c>
      <c r="C199">
        <f>'[22]GABM_R03_RossAPI-data'!$D198</f>
        <v>0</v>
      </c>
      <c r="D199">
        <f>'[23]GABM_R03_RandiAPI-data'!$D198</f>
        <v>0</v>
      </c>
      <c r="E199">
        <f>'[24]GABM_R03_NavidAPI-data'!$D198</f>
        <v>0</v>
      </c>
      <c r="F199">
        <f>'[25]GABM_R03_Terry-data'!$D198</f>
        <v>0</v>
      </c>
      <c r="G199">
        <f>'[26]GABM_R03_SarahAPI-data'!$D198</f>
        <v>0</v>
      </c>
      <c r="H199">
        <f>'[27]GABM_R03_savannah-data'!$D198</f>
        <v>0</v>
      </c>
      <c r="I199">
        <f>'[28]GABM_R03_MitchellAPI-data'!$D198</f>
        <v>0</v>
      </c>
      <c r="J199">
        <f>'[29]GABM_R03_SudipaAPI-data'!$D198</f>
        <v>1</v>
      </c>
      <c r="K199">
        <f>'[30]R03_GABM_run2-data'!$D198</f>
        <v>0</v>
      </c>
      <c r="L199">
        <f t="shared" si="3"/>
        <v>0.1</v>
      </c>
    </row>
    <row r="200" spans="1:12" x14ac:dyDescent="0.35">
      <c r="A200">
        <v>197</v>
      </c>
      <c r="B200">
        <f>'[21]R03_GABM-data'!$D199</f>
        <v>0</v>
      </c>
      <c r="C200">
        <f>'[22]GABM_R03_RossAPI-data'!$D199</f>
        <v>0</v>
      </c>
      <c r="D200">
        <f>'[23]GABM_R03_RandiAPI-data'!$D199</f>
        <v>0</v>
      </c>
      <c r="E200">
        <f>'[24]GABM_R03_NavidAPI-data'!$D199</f>
        <v>0</v>
      </c>
      <c r="F200">
        <f>'[25]GABM_R03_Terry-data'!$D199</f>
        <v>0</v>
      </c>
      <c r="G200">
        <f>'[26]GABM_R03_SarahAPI-data'!$D199</f>
        <v>0</v>
      </c>
      <c r="H200">
        <f>'[27]GABM_R03_savannah-data'!$D199</f>
        <v>0</v>
      </c>
      <c r="I200">
        <f>'[28]GABM_R03_MitchellAPI-data'!$D199</f>
        <v>0</v>
      </c>
      <c r="J200">
        <f>'[29]GABM_R03_SudipaAPI-data'!$D199</f>
        <v>0</v>
      </c>
      <c r="K200">
        <f>'[30]R03_GABM_run2-data'!$D199</f>
        <v>0</v>
      </c>
      <c r="L200">
        <f t="shared" si="3"/>
        <v>0</v>
      </c>
    </row>
  </sheetData>
  <mergeCells count="1">
    <mergeCell ref="A1:L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B90DF-0C94-417E-9FD7-BE090ADA1E68}">
  <dimension ref="A1:L29"/>
  <sheetViews>
    <sheetView topLeftCell="A22" zoomScale="145" zoomScaleNormal="145" workbookViewId="0">
      <selection activeCell="L4" sqref="L4"/>
    </sheetView>
  </sheetViews>
  <sheetFormatPr defaultRowHeight="14.5" x14ac:dyDescent="0.35"/>
  <sheetData>
    <row r="1" spans="1:12" x14ac:dyDescent="0.35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5">
      <c r="A2" t="s">
        <v>10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12</v>
      </c>
    </row>
    <row r="3" spans="1:12" x14ac:dyDescent="0.3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f>AVERAGE(B3:K3)</f>
        <v>1</v>
      </c>
    </row>
    <row r="4" spans="1:12" x14ac:dyDescent="0.35">
      <c r="A4">
        <v>1</v>
      </c>
      <c r="B4">
        <f>'[1]GABM_R03_Terry_no_fb-data'!$J3/'[1]GABM_R03_Terry_no_fb-data'!$L3</f>
        <v>0.99960000000000004</v>
      </c>
      <c r="C4">
        <f>'[2]GABM_R03_MitchellAPI_no_fb-data'!$J3/'[2]GABM_R03_MitchellAPI_no_fb-data'!$L3</f>
        <v>1</v>
      </c>
      <c r="D4">
        <f>'[3]GABM_R03_NavidAPI_no_fb-data'!$J3/'[3]GABM_R03_NavidAPI_no_fb-data'!$L3</f>
        <v>0.998</v>
      </c>
      <c r="E4">
        <f>'[4]GABM_R03_RandiAPI_no_fb_runtwo-'!$J3/'[4]GABM_R03_RandiAPI_no_fb_runtwo-'!$L3</f>
        <v>0.998</v>
      </c>
      <c r="F4">
        <f>'[5]GABM_R03_SudipaAPI_no_fb-data'!$J3/'[5]GABM_R03_SudipaAPI_no_fb-data'!$L3</f>
        <v>0.99719999999999998</v>
      </c>
      <c r="G4">
        <f>'[6]GABM_R03_NavidAPI_no_fb_runtwo-'!$J3/'[6]GABM_R03_NavidAPI_no_fb_runtwo-'!$L3</f>
        <v>1</v>
      </c>
      <c r="H4">
        <f>'[7]GABM_R03_savannah_no_fb-data'!$J3/'[7]GABM_R03_savannah_no_fb-data'!$L3</f>
        <v>0.99960000000000004</v>
      </c>
      <c r="I4">
        <f>'[8]GABM_R03_Terry_no_fb_run_two-da'!$J3/'[8]GABM_R03_Terry_no_fb_run_two-da'!$L3</f>
        <v>0.99560000000000004</v>
      </c>
      <c r="J4">
        <f>[9]GABM_R03_MitchellAPI_no_fb_runt!$J3/[9]GABM_R03_MitchellAPI_no_fb_runt!$L3</f>
        <v>1</v>
      </c>
      <c r="K4">
        <f>'[10]R03_GABM_NiyoushaAPI_no_fb-data'!$J3/'[10]R03_GABM_NiyoushaAPI_no_fb-data'!$L3</f>
        <v>0.99919999999999998</v>
      </c>
      <c r="L4">
        <f t="shared" ref="L4:L26" si="0">AVERAGE(B4:K4)</f>
        <v>0.99872000000000016</v>
      </c>
    </row>
    <row r="5" spans="1:12" x14ac:dyDescent="0.35">
      <c r="A5">
        <v>2</v>
      </c>
      <c r="B5">
        <f>'[1]GABM_R03_Terry_no_fb-data'!$J4/'[1]GABM_R03_Terry_no_fb-data'!$L4</f>
        <v>1</v>
      </c>
      <c r="C5">
        <f>'[2]GABM_R03_MitchellAPI_no_fb-data'!$J4/'[2]GABM_R03_MitchellAPI_no_fb-data'!$L4</f>
        <v>0.99960000000000004</v>
      </c>
      <c r="D5">
        <f>'[3]GABM_R03_NavidAPI_no_fb-data'!$J4/'[3]GABM_R03_NavidAPI_no_fb-data'!$L4</f>
        <v>0.99719999999999998</v>
      </c>
      <c r="E5">
        <f>'[4]GABM_R03_RandiAPI_no_fb_runtwo-'!$J4/'[4]GABM_R03_RandiAPI_no_fb_runtwo-'!$L4</f>
        <v>0.99839999999999995</v>
      </c>
      <c r="F5">
        <f>'[5]GABM_R03_SudipaAPI_no_fb-data'!$J4/'[5]GABM_R03_SudipaAPI_no_fb-data'!$L4</f>
        <v>0.99719999999999998</v>
      </c>
      <c r="G5">
        <f>'[6]GABM_R03_NavidAPI_no_fb_runtwo-'!$J4/'[6]GABM_R03_NavidAPI_no_fb_runtwo-'!$L4</f>
        <v>0.99960000000000004</v>
      </c>
      <c r="H5">
        <f>'[7]GABM_R03_savannah_no_fb-data'!$J4/'[7]GABM_R03_savannah_no_fb-data'!$L4</f>
        <v>1</v>
      </c>
      <c r="I5">
        <f>'[8]GABM_R03_Terry_no_fb_run_two-da'!$J4/'[8]GABM_R03_Terry_no_fb_run_two-da'!$L4</f>
        <v>0.99480000000000002</v>
      </c>
      <c r="J5">
        <f>[9]GABM_R03_MitchellAPI_no_fb_runt!$J4/[9]GABM_R03_MitchellAPI_no_fb_runt!$L4</f>
        <v>0.99960000000000004</v>
      </c>
      <c r="K5">
        <f>'[10]R03_GABM_NiyoushaAPI_no_fb-data'!$J4/'[10]R03_GABM_NiyoushaAPI_no_fb-data'!$L4</f>
        <v>0.99960000000000004</v>
      </c>
      <c r="L5">
        <f t="shared" si="0"/>
        <v>0.99860000000000004</v>
      </c>
    </row>
    <row r="6" spans="1:12" x14ac:dyDescent="0.35">
      <c r="A6">
        <v>3</v>
      </c>
      <c r="B6">
        <f>'[1]GABM_R03_Terry_no_fb-data'!$J5/'[1]GABM_R03_Terry_no_fb-data'!$L5</f>
        <v>1</v>
      </c>
      <c r="C6">
        <f>'[2]GABM_R03_MitchellAPI_no_fb-data'!$J5/'[2]GABM_R03_MitchellAPI_no_fb-data'!$L5</f>
        <v>1</v>
      </c>
      <c r="D6">
        <f>'[3]GABM_R03_NavidAPI_no_fb-data'!$J5/'[3]GABM_R03_NavidAPI_no_fb-data'!$L5</f>
        <v>0.998</v>
      </c>
      <c r="E6">
        <f>'[4]GABM_R03_RandiAPI_no_fb_runtwo-'!$J5/'[4]GABM_R03_RandiAPI_no_fb_runtwo-'!$L5</f>
        <v>0.99760000000000004</v>
      </c>
      <c r="F6">
        <f>'[5]GABM_R03_SudipaAPI_no_fb-data'!$J5/'[5]GABM_R03_SudipaAPI_no_fb-data'!$L5</f>
        <v>0.99760000000000004</v>
      </c>
      <c r="G6">
        <f>'[6]GABM_R03_NavidAPI_no_fb_runtwo-'!$J5/'[6]GABM_R03_NavidAPI_no_fb_runtwo-'!$L5</f>
        <v>1</v>
      </c>
      <c r="H6">
        <f>'[7]GABM_R03_savannah_no_fb-data'!$J5/'[7]GABM_R03_savannah_no_fb-data'!$L5</f>
        <v>1</v>
      </c>
      <c r="I6">
        <f>'[8]GABM_R03_Terry_no_fb_run_two-da'!$J5/'[8]GABM_R03_Terry_no_fb_run_two-da'!$L5</f>
        <v>0.99519999999999997</v>
      </c>
      <c r="J6">
        <f>[9]GABM_R03_MitchellAPI_no_fb_runt!$J5/[9]GABM_R03_MitchellAPI_no_fb_runt!$L5</f>
        <v>0.99960000000000004</v>
      </c>
      <c r="K6">
        <f>'[10]R03_GABM_NiyoushaAPI_no_fb-data'!$J5/'[10]R03_GABM_NiyoushaAPI_no_fb-data'!$L5</f>
        <v>1</v>
      </c>
      <c r="L6">
        <f t="shared" si="0"/>
        <v>0.99879999999999991</v>
      </c>
    </row>
    <row r="7" spans="1:12" x14ac:dyDescent="0.35">
      <c r="A7">
        <v>4</v>
      </c>
      <c r="B7">
        <f>'[1]GABM_R03_Terry_no_fb-data'!$J6/'[1]GABM_R03_Terry_no_fb-data'!$L6</f>
        <v>0.99960000000000004</v>
      </c>
      <c r="C7">
        <f>'[2]GABM_R03_MitchellAPI_no_fb-data'!$J6/'[2]GABM_R03_MitchellAPI_no_fb-data'!$L6</f>
        <v>1</v>
      </c>
      <c r="D7">
        <f>'[3]GABM_R03_NavidAPI_no_fb-data'!$J6/'[3]GABM_R03_NavidAPI_no_fb-data'!$L6</f>
        <v>0.99839999999999995</v>
      </c>
      <c r="E7">
        <f>'[4]GABM_R03_RandiAPI_no_fb_runtwo-'!$J6/'[4]GABM_R03_RandiAPI_no_fb_runtwo-'!$L6</f>
        <v>0.99719999999999998</v>
      </c>
      <c r="F7">
        <f>'[5]GABM_R03_SudipaAPI_no_fb-data'!$J6/'[5]GABM_R03_SudipaAPI_no_fb-data'!$L6</f>
        <v>0.998</v>
      </c>
      <c r="G7">
        <f>'[6]GABM_R03_NavidAPI_no_fb_runtwo-'!$J6/'[6]GABM_R03_NavidAPI_no_fb_runtwo-'!$L6</f>
        <v>0.99960000000000004</v>
      </c>
      <c r="H7">
        <f>'[7]GABM_R03_savannah_no_fb-data'!$J6/'[7]GABM_R03_savannah_no_fb-data'!$L6</f>
        <v>1</v>
      </c>
      <c r="I7">
        <f>'[8]GABM_R03_Terry_no_fb_run_two-da'!$J6/'[8]GABM_R03_Terry_no_fb_run_two-da'!$L6</f>
        <v>0.996</v>
      </c>
      <c r="J7">
        <f>[9]GABM_R03_MitchellAPI_no_fb_runt!$J6/[9]GABM_R03_MitchellAPI_no_fb_runt!$L6</f>
        <v>0.99960000000000004</v>
      </c>
      <c r="K7">
        <f>'[10]R03_GABM_NiyoushaAPI_no_fb-data'!$J6/'[10]R03_GABM_NiyoushaAPI_no_fb-data'!$L6</f>
        <v>0.99639999999999995</v>
      </c>
      <c r="L7">
        <f t="shared" si="0"/>
        <v>0.99847999999999981</v>
      </c>
    </row>
    <row r="8" spans="1:12" x14ac:dyDescent="0.35">
      <c r="A8">
        <v>5</v>
      </c>
      <c r="B8">
        <f>'[1]GABM_R03_Terry_no_fb-data'!$J7/'[1]GABM_R03_Terry_no_fb-data'!$L7</f>
        <v>0.99960000000000004</v>
      </c>
      <c r="C8">
        <f>'[2]GABM_R03_MitchellAPI_no_fb-data'!$J7/'[2]GABM_R03_MitchellAPI_no_fb-data'!$L7</f>
        <v>1</v>
      </c>
      <c r="D8">
        <f>'[3]GABM_R03_NavidAPI_no_fb-data'!$J7/'[3]GABM_R03_NavidAPI_no_fb-data'!$L7</f>
        <v>0.99719999999999998</v>
      </c>
      <c r="E8">
        <f>'[4]GABM_R03_RandiAPI_no_fb_runtwo-'!$J7/'[4]GABM_R03_RandiAPI_no_fb_runtwo-'!$L7</f>
        <v>0.998</v>
      </c>
      <c r="F8">
        <f>'[5]GABM_R03_SudipaAPI_no_fb-data'!$J7/'[5]GABM_R03_SudipaAPI_no_fb-data'!$L7</f>
        <v>0.998</v>
      </c>
      <c r="G8">
        <f>'[6]GABM_R03_NavidAPI_no_fb_runtwo-'!$J7/'[6]GABM_R03_NavidAPI_no_fb_runtwo-'!$L7</f>
        <v>1</v>
      </c>
      <c r="H8">
        <f>'[7]GABM_R03_savannah_no_fb-data'!$J7/'[7]GABM_R03_savannah_no_fb-data'!$L7</f>
        <v>1</v>
      </c>
      <c r="I8">
        <f>'[8]GABM_R03_Terry_no_fb_run_two-da'!$J7/'[8]GABM_R03_Terry_no_fb_run_two-da'!$L7</f>
        <v>0.99399999999999999</v>
      </c>
      <c r="J8">
        <f>[9]GABM_R03_MitchellAPI_no_fb_runt!$J7/[9]GABM_R03_MitchellAPI_no_fb_runt!$L7</f>
        <v>0.99960000000000004</v>
      </c>
      <c r="K8">
        <f>'[10]R03_GABM_NiyoushaAPI_no_fb-data'!$J7/'[10]R03_GABM_NiyoushaAPI_no_fb-data'!$L7</f>
        <v>1</v>
      </c>
      <c r="L8">
        <f t="shared" si="0"/>
        <v>0.99863999999999997</v>
      </c>
    </row>
    <row r="9" spans="1:12" x14ac:dyDescent="0.35">
      <c r="A9">
        <v>6</v>
      </c>
      <c r="B9">
        <f>'[1]GABM_R03_Terry_no_fb-data'!$J8/'[1]GABM_R03_Terry_no_fb-data'!$L8</f>
        <v>0.99960000000000004</v>
      </c>
      <c r="C9">
        <f>'[2]GABM_R03_MitchellAPI_no_fb-data'!$J8/'[2]GABM_R03_MitchellAPI_no_fb-data'!$L8</f>
        <v>1</v>
      </c>
      <c r="D9">
        <f>'[3]GABM_R03_NavidAPI_no_fb-data'!$J8/'[3]GABM_R03_NavidAPI_no_fb-data'!$L8</f>
        <v>0.99760000000000004</v>
      </c>
      <c r="E9">
        <f>'[4]GABM_R03_RandiAPI_no_fb_runtwo-'!$J8/'[4]GABM_R03_RandiAPI_no_fb_runtwo-'!$L8</f>
        <v>0.99719999999999998</v>
      </c>
      <c r="F9">
        <f>'[5]GABM_R03_SudipaAPI_no_fb-data'!$J8/'[5]GABM_R03_SudipaAPI_no_fb-data'!$L8</f>
        <v>0.998</v>
      </c>
      <c r="G9">
        <f>'[6]GABM_R03_NavidAPI_no_fb_runtwo-'!$J8/'[6]GABM_R03_NavidAPI_no_fb_runtwo-'!$L8</f>
        <v>1</v>
      </c>
      <c r="H9">
        <f>'[7]GABM_R03_savannah_no_fb-data'!$J8/'[7]GABM_R03_savannah_no_fb-data'!$L8</f>
        <v>0.99960000000000004</v>
      </c>
      <c r="I9">
        <f>'[8]GABM_R03_Terry_no_fb_run_two-da'!$J8/'[8]GABM_R03_Terry_no_fb_run_two-da'!$L8</f>
        <v>0.996</v>
      </c>
      <c r="J9">
        <f>[9]GABM_R03_MitchellAPI_no_fb_runt!$J8/[9]GABM_R03_MitchellAPI_no_fb_runt!$L8</f>
        <v>1</v>
      </c>
      <c r="K9">
        <f>'[10]R03_GABM_NiyoushaAPI_no_fb-data'!$J8/'[10]R03_GABM_NiyoushaAPI_no_fb-data'!$L8</f>
        <v>1</v>
      </c>
      <c r="L9">
        <f t="shared" si="0"/>
        <v>0.99879999999999991</v>
      </c>
    </row>
    <row r="10" spans="1:12" x14ac:dyDescent="0.35">
      <c r="A10">
        <v>7</v>
      </c>
      <c r="B10">
        <f>'[1]GABM_R03_Terry_no_fb-data'!$J9/'[1]GABM_R03_Terry_no_fb-data'!$L9</f>
        <v>0.99919999999999998</v>
      </c>
      <c r="C10">
        <f>'[2]GABM_R03_MitchellAPI_no_fb-data'!$J9/'[2]GABM_R03_MitchellAPI_no_fb-data'!$L9</f>
        <v>1</v>
      </c>
      <c r="D10">
        <f>'[3]GABM_R03_NavidAPI_no_fb-data'!$J9/'[3]GABM_R03_NavidAPI_no_fb-data'!$L9</f>
        <v>0.998</v>
      </c>
      <c r="E10">
        <f>'[4]GABM_R03_RandiAPI_no_fb_runtwo-'!$J9/'[4]GABM_R03_RandiAPI_no_fb_runtwo-'!$L9</f>
        <v>0.998</v>
      </c>
      <c r="F10">
        <f>'[5]GABM_R03_SudipaAPI_no_fb-data'!$J9/'[5]GABM_R03_SudipaAPI_no_fb-data'!$L9</f>
        <v>0.998</v>
      </c>
      <c r="G10">
        <f>'[6]GABM_R03_NavidAPI_no_fb_runtwo-'!$J9/'[6]GABM_R03_NavidAPI_no_fb_runtwo-'!$L9</f>
        <v>0.99960000000000004</v>
      </c>
      <c r="H10">
        <f>'[7]GABM_R03_savannah_no_fb-data'!$J9/'[7]GABM_R03_savannah_no_fb-data'!$L9</f>
        <v>1</v>
      </c>
      <c r="I10">
        <f>'[8]GABM_R03_Terry_no_fb_run_two-da'!$J9/'[8]GABM_R03_Terry_no_fb_run_two-da'!$L9</f>
        <v>0.99719999999999998</v>
      </c>
      <c r="J10">
        <f>[9]GABM_R03_MitchellAPI_no_fb_runt!$J9/[9]GABM_R03_MitchellAPI_no_fb_runt!$L9</f>
        <v>0.99960000000000004</v>
      </c>
      <c r="K10">
        <f>'[10]R03_GABM_NiyoushaAPI_no_fb-data'!$J9/'[10]R03_GABM_NiyoushaAPI_no_fb-data'!$L9</f>
        <v>1</v>
      </c>
      <c r="L10">
        <f t="shared" si="0"/>
        <v>0.99896000000000007</v>
      </c>
    </row>
    <row r="11" spans="1:12" x14ac:dyDescent="0.35">
      <c r="A11">
        <v>8</v>
      </c>
      <c r="B11">
        <f>'[1]GABM_R03_Terry_no_fb-data'!$J10/'[1]GABM_R03_Terry_no_fb-data'!$L10</f>
        <v>0.99960000000000004</v>
      </c>
      <c r="C11">
        <f>'[2]GABM_R03_MitchellAPI_no_fb-data'!$J10/'[2]GABM_R03_MitchellAPI_no_fb-data'!$L10</f>
        <v>1</v>
      </c>
      <c r="D11">
        <f>'[3]GABM_R03_NavidAPI_no_fb-data'!$J10/'[3]GABM_R03_NavidAPI_no_fb-data'!$L10</f>
        <v>0.99680000000000002</v>
      </c>
      <c r="E11">
        <f>'[4]GABM_R03_RandiAPI_no_fb_runtwo-'!$J10/'[4]GABM_R03_RandiAPI_no_fb_runtwo-'!$L10</f>
        <v>0.998</v>
      </c>
      <c r="F11">
        <f>'[5]GABM_R03_SudipaAPI_no_fb-data'!$J10/'[5]GABM_R03_SudipaAPI_no_fb-data'!$L10</f>
        <v>0.99719999999999998</v>
      </c>
      <c r="G11">
        <f>'[6]GABM_R03_NavidAPI_no_fb_runtwo-'!$J10/'[6]GABM_R03_NavidAPI_no_fb_runtwo-'!$L10</f>
        <v>1</v>
      </c>
      <c r="H11">
        <f>'[7]GABM_R03_savannah_no_fb-data'!$J10/'[7]GABM_R03_savannah_no_fb-data'!$L10</f>
        <v>1</v>
      </c>
      <c r="I11">
        <f>'[8]GABM_R03_Terry_no_fb_run_two-da'!$J10/'[8]GABM_R03_Terry_no_fb_run_two-da'!$L10</f>
        <v>0.996</v>
      </c>
      <c r="J11">
        <f>[9]GABM_R03_MitchellAPI_no_fb_runt!$J10/[9]GABM_R03_MitchellAPI_no_fb_runt!$L10</f>
        <v>0.99960000000000004</v>
      </c>
      <c r="K11">
        <f>'[10]R03_GABM_NiyoushaAPI_no_fb-data'!$J10/'[10]R03_GABM_NiyoushaAPI_no_fb-data'!$L10</f>
        <v>1</v>
      </c>
      <c r="L11">
        <f t="shared" si="0"/>
        <v>0.99872000000000016</v>
      </c>
    </row>
    <row r="12" spans="1:12" x14ac:dyDescent="0.35">
      <c r="A12">
        <v>9</v>
      </c>
      <c r="B12">
        <f>'[1]GABM_R03_Terry_no_fb-data'!$J11/'[1]GABM_R03_Terry_no_fb-data'!$L11</f>
        <v>1</v>
      </c>
      <c r="C12">
        <f>'[2]GABM_R03_MitchellAPI_no_fb-data'!$J11/'[2]GABM_R03_MitchellAPI_no_fb-data'!$L11</f>
        <v>0.99960000000000004</v>
      </c>
      <c r="D12">
        <f>'[3]GABM_R03_NavidAPI_no_fb-data'!$J11/'[3]GABM_R03_NavidAPI_no_fb-data'!$L11</f>
        <v>0.99839999999999995</v>
      </c>
      <c r="E12">
        <f>'[4]GABM_R03_RandiAPI_no_fb_runtwo-'!$J11/'[4]GABM_R03_RandiAPI_no_fb_runtwo-'!$L11</f>
        <v>0.99680000000000002</v>
      </c>
      <c r="F12">
        <f>'[5]GABM_R03_SudipaAPI_no_fb-data'!$J11/'[5]GABM_R03_SudipaAPI_no_fb-data'!$L11</f>
        <v>0.998</v>
      </c>
      <c r="G12">
        <f>'[6]GABM_R03_NavidAPI_no_fb_runtwo-'!$J11/'[6]GABM_R03_NavidAPI_no_fb_runtwo-'!$L11</f>
        <v>1</v>
      </c>
      <c r="H12">
        <f>'[7]GABM_R03_savannah_no_fb-data'!$J11/'[7]GABM_R03_savannah_no_fb-data'!$L11</f>
        <v>0.99960000000000004</v>
      </c>
      <c r="I12">
        <f>'[8]GABM_R03_Terry_no_fb_run_two-da'!$J11/'[8]GABM_R03_Terry_no_fb_run_two-da'!$L11</f>
        <v>0.99680000000000002</v>
      </c>
      <c r="J12">
        <f>[9]GABM_R03_MitchellAPI_no_fb_runt!$J11/[9]GABM_R03_MitchellAPI_no_fb_runt!$L11</f>
        <v>0.99960000000000004</v>
      </c>
      <c r="K12">
        <f>'[10]R03_GABM_NiyoushaAPI_no_fb-data'!$J11/'[10]R03_GABM_NiyoushaAPI_no_fb-data'!$L11</f>
        <v>0.998</v>
      </c>
      <c r="L12">
        <f t="shared" si="0"/>
        <v>0.99868000000000001</v>
      </c>
    </row>
    <row r="13" spans="1:12" x14ac:dyDescent="0.35">
      <c r="A13">
        <v>10</v>
      </c>
      <c r="B13">
        <f>'[1]GABM_R03_Terry_no_fb-data'!$J12/'[1]GABM_R03_Terry_no_fb-data'!$L12</f>
        <v>0.99960000000000004</v>
      </c>
      <c r="C13">
        <f>'[2]GABM_R03_MitchellAPI_no_fb-data'!$J12/'[2]GABM_R03_MitchellAPI_no_fb-data'!$L12</f>
        <v>1</v>
      </c>
      <c r="D13">
        <f>'[3]GABM_R03_NavidAPI_no_fb-data'!$J12/'[3]GABM_R03_NavidAPI_no_fb-data'!$L12</f>
        <v>0.99760000000000004</v>
      </c>
      <c r="E13">
        <f>'[4]GABM_R03_RandiAPI_no_fb_runtwo-'!$J12/'[4]GABM_R03_RandiAPI_no_fb_runtwo-'!$L12</f>
        <v>0.99760000000000004</v>
      </c>
      <c r="F13">
        <f>'[5]GABM_R03_SudipaAPI_no_fb-data'!$J12/'[5]GABM_R03_SudipaAPI_no_fb-data'!$L12</f>
        <v>0.99439999999999995</v>
      </c>
      <c r="G13">
        <f>'[6]GABM_R03_NavidAPI_no_fb_runtwo-'!$J12/'[6]GABM_R03_NavidAPI_no_fb_runtwo-'!$L12</f>
        <v>0.99960000000000004</v>
      </c>
      <c r="H13">
        <f>'[7]GABM_R03_savannah_no_fb-data'!$J12/'[7]GABM_R03_savannah_no_fb-data'!$L12</f>
        <v>1</v>
      </c>
      <c r="I13">
        <f>'[8]GABM_R03_Terry_no_fb_run_two-da'!$J12/'[8]GABM_R03_Terry_no_fb_run_two-da'!$L12</f>
        <v>0.99519999999999997</v>
      </c>
      <c r="J13">
        <f>[9]GABM_R03_MitchellAPI_no_fb_runt!$J12/[9]GABM_R03_MitchellAPI_no_fb_runt!$L12</f>
        <v>1</v>
      </c>
      <c r="K13">
        <f>'[10]R03_GABM_NiyoushaAPI_no_fb-data'!$J12/'[10]R03_GABM_NiyoushaAPI_no_fb-data'!$L12</f>
        <v>0.99960000000000004</v>
      </c>
      <c r="L13">
        <f t="shared" si="0"/>
        <v>0.99835999999999991</v>
      </c>
    </row>
    <row r="14" spans="1:12" x14ac:dyDescent="0.35">
      <c r="A14">
        <v>11</v>
      </c>
      <c r="B14">
        <f>'[1]GABM_R03_Terry_no_fb-data'!$J13/'[1]GABM_R03_Terry_no_fb-data'!$L13</f>
        <v>0.99960000000000004</v>
      </c>
      <c r="C14">
        <f>'[2]GABM_R03_MitchellAPI_no_fb-data'!$J13/'[2]GABM_R03_MitchellAPI_no_fb-data'!$L13</f>
        <v>0.99919999999999998</v>
      </c>
      <c r="D14">
        <f>'[3]GABM_R03_NavidAPI_no_fb-data'!$J13/'[3]GABM_R03_NavidAPI_no_fb-data'!$L13</f>
        <v>0.99839999999999995</v>
      </c>
      <c r="E14">
        <f>'[4]GABM_R03_RandiAPI_no_fb_runtwo-'!$J13/'[4]GABM_R03_RandiAPI_no_fb_runtwo-'!$L13</f>
        <v>0.99760000000000004</v>
      </c>
      <c r="F14">
        <f>'[5]GABM_R03_SudipaAPI_no_fb-data'!$J13/'[5]GABM_R03_SudipaAPI_no_fb-data'!$L13</f>
        <v>0.99760000000000004</v>
      </c>
      <c r="G14">
        <f>'[6]GABM_R03_NavidAPI_no_fb_runtwo-'!$J13/'[6]GABM_R03_NavidAPI_no_fb_runtwo-'!$L13</f>
        <v>0.99960000000000004</v>
      </c>
      <c r="H14">
        <f>'[7]GABM_R03_savannah_no_fb-data'!$J13/'[7]GABM_R03_savannah_no_fb-data'!$L13</f>
        <v>0.99960000000000004</v>
      </c>
      <c r="I14">
        <f>'[8]GABM_R03_Terry_no_fb_run_two-da'!$J13/'[8]GABM_R03_Terry_no_fb_run_two-da'!$L13</f>
        <v>0.99680000000000002</v>
      </c>
      <c r="J14">
        <f>[9]GABM_R03_MitchellAPI_no_fb_runt!$J13/[9]GABM_R03_MitchellAPI_no_fb_runt!$L13</f>
        <v>0.99960000000000004</v>
      </c>
      <c r="K14">
        <f>'[10]R03_GABM_NiyoushaAPI_no_fb-data'!$J13/'[10]R03_GABM_NiyoushaAPI_no_fb-data'!$L13</f>
        <v>1</v>
      </c>
      <c r="L14">
        <f t="shared" si="0"/>
        <v>0.99880000000000013</v>
      </c>
    </row>
    <row r="15" spans="1:12" x14ac:dyDescent="0.35">
      <c r="A15">
        <v>12</v>
      </c>
      <c r="B15">
        <f>'[1]GABM_R03_Terry_no_fb-data'!$J14/'[1]GABM_R03_Terry_no_fb-data'!$L14</f>
        <v>1</v>
      </c>
      <c r="C15">
        <f>'[2]GABM_R03_MitchellAPI_no_fb-data'!$J14/'[2]GABM_R03_MitchellAPI_no_fb-data'!$L14</f>
        <v>0.99960000000000004</v>
      </c>
      <c r="D15">
        <f>'[3]GABM_R03_NavidAPI_no_fb-data'!$J14/'[3]GABM_R03_NavidAPI_no_fb-data'!$L14</f>
        <v>0.998</v>
      </c>
      <c r="E15">
        <f>'[4]GABM_R03_RandiAPI_no_fb_runtwo-'!$J14/'[4]GABM_R03_RandiAPI_no_fb_runtwo-'!$L14</f>
        <v>0.99719999999999998</v>
      </c>
      <c r="F15">
        <f>'[5]GABM_R03_SudipaAPI_no_fb-data'!$J14/'[5]GABM_R03_SudipaAPI_no_fb-data'!$L14</f>
        <v>0.996</v>
      </c>
      <c r="G15">
        <f>'[6]GABM_R03_NavidAPI_no_fb_runtwo-'!$J14/'[6]GABM_R03_NavidAPI_no_fb_runtwo-'!$L14</f>
        <v>1</v>
      </c>
      <c r="H15">
        <f>'[7]GABM_R03_savannah_no_fb-data'!$J14/'[7]GABM_R03_savannah_no_fb-data'!$L14</f>
        <v>0.99960000000000004</v>
      </c>
      <c r="I15">
        <f>'[8]GABM_R03_Terry_no_fb_run_two-da'!$J14/'[8]GABM_R03_Terry_no_fb_run_two-da'!$L14</f>
        <v>0.996</v>
      </c>
      <c r="J15">
        <f>[9]GABM_R03_MitchellAPI_no_fb_runt!$J14/[9]GABM_R03_MitchellAPI_no_fb_runt!$L14</f>
        <v>1</v>
      </c>
      <c r="K15">
        <f>'[10]R03_GABM_NiyoushaAPI_no_fb-data'!$J14/'[10]R03_GABM_NiyoushaAPI_no_fb-data'!$L14</f>
        <v>0.998</v>
      </c>
      <c r="L15">
        <f t="shared" si="0"/>
        <v>0.99843999999999988</v>
      </c>
    </row>
    <row r="16" spans="1:12" x14ac:dyDescent="0.35">
      <c r="A16">
        <v>13</v>
      </c>
      <c r="B16">
        <f>'[1]GABM_R03_Terry_no_fb-data'!$J15/'[1]GABM_R03_Terry_no_fb-data'!$L15</f>
        <v>1</v>
      </c>
      <c r="C16">
        <f>'[2]GABM_R03_MitchellAPI_no_fb-data'!$J15/'[2]GABM_R03_MitchellAPI_no_fb-data'!$L15</f>
        <v>0.99919999999999998</v>
      </c>
      <c r="D16">
        <f>'[3]GABM_R03_NavidAPI_no_fb-data'!$J15/'[3]GABM_R03_NavidAPI_no_fb-data'!$L15</f>
        <v>0.99760000000000004</v>
      </c>
      <c r="E16">
        <f>'[4]GABM_R03_RandiAPI_no_fb_runtwo-'!$J15/'[4]GABM_R03_RandiAPI_no_fb_runtwo-'!$L15</f>
        <v>0.998</v>
      </c>
      <c r="F16">
        <f>'[5]GABM_R03_SudipaAPI_no_fb-data'!$J15/'[5]GABM_R03_SudipaAPI_no_fb-data'!$L15</f>
        <v>0.99839999999999995</v>
      </c>
      <c r="G16">
        <f>'[6]GABM_R03_NavidAPI_no_fb_runtwo-'!$J15/'[6]GABM_R03_NavidAPI_no_fb_runtwo-'!$L15</f>
        <v>0.99960000000000004</v>
      </c>
      <c r="H16">
        <f>'[7]GABM_R03_savannah_no_fb-data'!$J15/'[7]GABM_R03_savannah_no_fb-data'!$L15</f>
        <v>0.99960000000000004</v>
      </c>
      <c r="I16">
        <f>'[8]GABM_R03_Terry_no_fb_run_two-da'!$J15/'[8]GABM_R03_Terry_no_fb_run_two-da'!$L15</f>
        <v>0.99560000000000004</v>
      </c>
      <c r="J16">
        <f>[9]GABM_R03_MitchellAPI_no_fb_runt!$J15/[9]GABM_R03_MitchellAPI_no_fb_runt!$L15</f>
        <v>1</v>
      </c>
      <c r="K16">
        <f>'[10]R03_GABM_NiyoushaAPI_no_fb-data'!$J15/'[10]R03_GABM_NiyoushaAPI_no_fb-data'!$L15</f>
        <v>0.99960000000000004</v>
      </c>
      <c r="L16">
        <f t="shared" si="0"/>
        <v>0.99876000000000009</v>
      </c>
    </row>
    <row r="17" spans="1:12" x14ac:dyDescent="0.35">
      <c r="A17">
        <v>14</v>
      </c>
      <c r="B17">
        <f>'[1]GABM_R03_Terry_no_fb-data'!$J16/'[1]GABM_R03_Terry_no_fb-data'!$L16</f>
        <v>1</v>
      </c>
      <c r="C17">
        <f>'[2]GABM_R03_MitchellAPI_no_fb-data'!$J16/'[2]GABM_R03_MitchellAPI_no_fb-data'!$L16</f>
        <v>1</v>
      </c>
      <c r="D17">
        <f>'[3]GABM_R03_NavidAPI_no_fb-data'!$J16/'[3]GABM_R03_NavidAPI_no_fb-data'!$L16</f>
        <v>0.99719999999999998</v>
      </c>
      <c r="E17">
        <f>'[4]GABM_R03_RandiAPI_no_fb_runtwo-'!$J16/'[4]GABM_R03_RandiAPI_no_fb_runtwo-'!$L16</f>
        <v>0.998</v>
      </c>
      <c r="F17">
        <f>'[5]GABM_R03_SudipaAPI_no_fb-data'!$J16/'[5]GABM_R03_SudipaAPI_no_fb-data'!$L16</f>
        <v>0.99760000000000004</v>
      </c>
      <c r="G17">
        <f>'[6]GABM_R03_NavidAPI_no_fb_runtwo-'!$J16/'[6]GABM_R03_NavidAPI_no_fb_runtwo-'!$L16</f>
        <v>0.99960000000000004</v>
      </c>
      <c r="H17">
        <f>'[7]GABM_R03_savannah_no_fb-data'!$J16/'[7]GABM_R03_savannah_no_fb-data'!$L16</f>
        <v>0.99960000000000004</v>
      </c>
      <c r="I17">
        <f>'[8]GABM_R03_Terry_no_fb_run_two-da'!$J16/'[8]GABM_R03_Terry_no_fb_run_two-da'!$L16</f>
        <v>0.99560000000000004</v>
      </c>
      <c r="J17">
        <f>[9]GABM_R03_MitchellAPI_no_fb_runt!$J16/[9]GABM_R03_MitchellAPI_no_fb_runt!$L16</f>
        <v>1</v>
      </c>
      <c r="K17">
        <f>'[10]R03_GABM_NiyoushaAPI_no_fb-data'!$J16/'[10]R03_GABM_NiyoushaAPI_no_fb-data'!$L16</f>
        <v>1</v>
      </c>
      <c r="L17">
        <f t="shared" si="0"/>
        <v>0.99876000000000009</v>
      </c>
    </row>
    <row r="18" spans="1:12" x14ac:dyDescent="0.35">
      <c r="A18">
        <v>15</v>
      </c>
      <c r="B18">
        <f>'[1]GABM_R03_Terry_no_fb-data'!$J17/'[1]GABM_R03_Terry_no_fb-data'!$L17</f>
        <v>1</v>
      </c>
      <c r="C18">
        <f>'[2]GABM_R03_MitchellAPI_no_fb-data'!$J17/'[2]GABM_R03_MitchellAPI_no_fb-data'!$L17</f>
        <v>0.99960000000000004</v>
      </c>
      <c r="D18">
        <f>'[3]GABM_R03_NavidAPI_no_fb-data'!$J17/'[3]GABM_R03_NavidAPI_no_fb-data'!$L17</f>
        <v>0.998</v>
      </c>
      <c r="E18">
        <f>'[4]GABM_R03_RandiAPI_no_fb_runtwo-'!$J17/'[4]GABM_R03_RandiAPI_no_fb_runtwo-'!$L17</f>
        <v>0.99680000000000002</v>
      </c>
      <c r="F18">
        <f>'[5]GABM_R03_SudipaAPI_no_fb-data'!$J17/'[5]GABM_R03_SudipaAPI_no_fb-data'!$L17</f>
        <v>0.998</v>
      </c>
      <c r="G18">
        <f>'[6]GABM_R03_NavidAPI_no_fb_runtwo-'!$J17/'[6]GABM_R03_NavidAPI_no_fb_runtwo-'!$L17</f>
        <v>1</v>
      </c>
      <c r="H18">
        <f>'[7]GABM_R03_savannah_no_fb-data'!$J17/'[7]GABM_R03_savannah_no_fb-data'!$L17</f>
        <v>0.99960000000000004</v>
      </c>
      <c r="I18">
        <f>'[8]GABM_R03_Terry_no_fb_run_two-da'!$J17/'[8]GABM_R03_Terry_no_fb_run_two-da'!$L17</f>
        <v>0.99560000000000004</v>
      </c>
      <c r="J18">
        <f>[9]GABM_R03_MitchellAPI_no_fb_runt!$J17/[9]GABM_R03_MitchellAPI_no_fb_runt!$L17</f>
        <v>0.99960000000000004</v>
      </c>
      <c r="K18">
        <f>'[10]R03_GABM_NiyoushaAPI_no_fb-data'!$J17/'[10]R03_GABM_NiyoushaAPI_no_fb-data'!$L17</f>
        <v>0.99960000000000004</v>
      </c>
      <c r="L18">
        <f t="shared" si="0"/>
        <v>0.99868000000000023</v>
      </c>
    </row>
    <row r="19" spans="1:12" x14ac:dyDescent="0.35">
      <c r="A19">
        <v>16</v>
      </c>
      <c r="B19">
        <f>'[1]GABM_R03_Terry_no_fb-data'!$J18/'[1]GABM_R03_Terry_no_fb-data'!$L18</f>
        <v>1</v>
      </c>
      <c r="C19">
        <f>'[2]GABM_R03_MitchellAPI_no_fb-data'!$J18/'[2]GABM_R03_MitchellAPI_no_fb-data'!$L18</f>
        <v>1</v>
      </c>
      <c r="D19">
        <f>'[3]GABM_R03_NavidAPI_no_fb-data'!$J18/'[3]GABM_R03_NavidAPI_no_fb-data'!$L18</f>
        <v>0.99719999999999998</v>
      </c>
      <c r="E19">
        <f>'[4]GABM_R03_RandiAPI_no_fb_runtwo-'!$J18/'[4]GABM_R03_RandiAPI_no_fb_runtwo-'!$L18</f>
        <v>0.99760000000000004</v>
      </c>
      <c r="F19">
        <f>'[5]GABM_R03_SudipaAPI_no_fb-data'!$J18/'[5]GABM_R03_SudipaAPI_no_fb-data'!$L18</f>
        <v>0.99839999999999995</v>
      </c>
      <c r="G19">
        <f>'[6]GABM_R03_NavidAPI_no_fb_runtwo-'!$J18/'[6]GABM_R03_NavidAPI_no_fb_runtwo-'!$L18</f>
        <v>1</v>
      </c>
      <c r="H19">
        <f>'[7]GABM_R03_savannah_no_fb-data'!$J18/'[7]GABM_R03_savannah_no_fb-data'!$L18</f>
        <v>1</v>
      </c>
      <c r="I19">
        <f>'[8]GABM_R03_Terry_no_fb_run_two-da'!$J18/'[8]GABM_R03_Terry_no_fb_run_two-da'!$L18</f>
        <v>0.99519999999999997</v>
      </c>
      <c r="J19">
        <f>[9]GABM_R03_MitchellAPI_no_fb_runt!$J18/[9]GABM_R03_MitchellAPI_no_fb_runt!$L18</f>
        <v>1</v>
      </c>
      <c r="K19">
        <f>'[10]R03_GABM_NiyoushaAPI_no_fb-data'!$J18/'[10]R03_GABM_NiyoushaAPI_no_fb-data'!$L18</f>
        <v>0.99719999999999998</v>
      </c>
      <c r="L19">
        <f t="shared" si="0"/>
        <v>0.99855999999999978</v>
      </c>
    </row>
    <row r="20" spans="1:12" x14ac:dyDescent="0.35">
      <c r="A20">
        <v>17</v>
      </c>
      <c r="B20">
        <f>'[1]GABM_R03_Terry_no_fb-data'!$J19/'[1]GABM_R03_Terry_no_fb-data'!$L19</f>
        <v>0.99960000000000004</v>
      </c>
      <c r="C20">
        <f>'[2]GABM_R03_MitchellAPI_no_fb-data'!$J19/'[2]GABM_R03_MitchellAPI_no_fb-data'!$L19</f>
        <v>0.99919999999999998</v>
      </c>
      <c r="D20">
        <f>'[3]GABM_R03_NavidAPI_no_fb-data'!$J19/'[3]GABM_R03_NavidAPI_no_fb-data'!$L19</f>
        <v>0.99760000000000004</v>
      </c>
      <c r="E20">
        <f>'[4]GABM_R03_RandiAPI_no_fb_runtwo-'!$J19/'[4]GABM_R03_RandiAPI_no_fb_runtwo-'!$L19</f>
        <v>0.998</v>
      </c>
      <c r="F20">
        <f>'[5]GABM_R03_SudipaAPI_no_fb-data'!$J19/'[5]GABM_R03_SudipaAPI_no_fb-data'!$L19</f>
        <v>0.99760000000000004</v>
      </c>
      <c r="G20">
        <f>'[6]GABM_R03_NavidAPI_no_fb_runtwo-'!$J19/'[6]GABM_R03_NavidAPI_no_fb_runtwo-'!$L19</f>
        <v>0.99960000000000004</v>
      </c>
      <c r="H20">
        <f>'[7]GABM_R03_savannah_no_fb-data'!$J19/'[7]GABM_R03_savannah_no_fb-data'!$L19</f>
        <v>0.99960000000000004</v>
      </c>
      <c r="I20">
        <f>'[8]GABM_R03_Terry_no_fb_run_two-da'!$J19/'[8]GABM_R03_Terry_no_fb_run_two-da'!$L19</f>
        <v>0.996</v>
      </c>
      <c r="J20">
        <f>[9]GABM_R03_MitchellAPI_no_fb_runt!$J19/[9]GABM_R03_MitchellAPI_no_fb_runt!$L19</f>
        <v>1</v>
      </c>
      <c r="K20">
        <f>'[10]R03_GABM_NiyoushaAPI_no_fb-data'!$J19/'[10]R03_GABM_NiyoushaAPI_no_fb-data'!$L19</f>
        <v>1</v>
      </c>
      <c r="L20">
        <f t="shared" si="0"/>
        <v>0.99872000000000016</v>
      </c>
    </row>
    <row r="21" spans="1:12" x14ac:dyDescent="0.35">
      <c r="A21">
        <v>18</v>
      </c>
      <c r="B21">
        <f>'[1]GABM_R03_Terry_no_fb-data'!$J20/'[1]GABM_R03_Terry_no_fb-data'!$L20</f>
        <v>1</v>
      </c>
      <c r="C21">
        <f>'[2]GABM_R03_MitchellAPI_no_fb-data'!$J20/'[2]GABM_R03_MitchellAPI_no_fb-data'!$L20</f>
        <v>1</v>
      </c>
      <c r="D21">
        <f>'[3]GABM_R03_NavidAPI_no_fb-data'!$J20/'[3]GABM_R03_NavidAPI_no_fb-data'!$L20</f>
        <v>0.99719999999999998</v>
      </c>
      <c r="E21">
        <f>'[4]GABM_R03_RandiAPI_no_fb_runtwo-'!$J20/'[4]GABM_R03_RandiAPI_no_fb_runtwo-'!$L20</f>
        <v>0.99760000000000004</v>
      </c>
      <c r="F21">
        <f>'[5]GABM_R03_SudipaAPI_no_fb-data'!$J20/'[5]GABM_R03_SudipaAPI_no_fb-data'!$L20</f>
        <v>0.998</v>
      </c>
      <c r="G21">
        <f>'[6]GABM_R03_NavidAPI_no_fb_runtwo-'!$J20/'[6]GABM_R03_NavidAPI_no_fb_runtwo-'!$L20</f>
        <v>1</v>
      </c>
      <c r="H21">
        <f>'[7]GABM_R03_savannah_no_fb-data'!$J20/'[7]GABM_R03_savannah_no_fb-data'!$L20</f>
        <v>0.99960000000000004</v>
      </c>
      <c r="I21">
        <f>'[8]GABM_R03_Terry_no_fb_run_two-da'!$J20/'[8]GABM_R03_Terry_no_fb_run_two-da'!$L20</f>
        <v>0.99439999999999995</v>
      </c>
      <c r="J21">
        <f>[9]GABM_R03_MitchellAPI_no_fb_runt!$J20/[9]GABM_R03_MitchellAPI_no_fb_runt!$L20</f>
        <v>0.99960000000000004</v>
      </c>
      <c r="K21">
        <f>'[10]R03_GABM_NiyoushaAPI_no_fb-data'!$J20/'[10]R03_GABM_NiyoushaAPI_no_fb-data'!$L20</f>
        <v>1</v>
      </c>
      <c r="L21">
        <f t="shared" si="0"/>
        <v>0.99863999999999997</v>
      </c>
    </row>
    <row r="22" spans="1:12" x14ac:dyDescent="0.35">
      <c r="A22">
        <v>19</v>
      </c>
      <c r="B22">
        <f>'[1]GABM_R03_Terry_no_fb-data'!$J21/'[1]GABM_R03_Terry_no_fb-data'!$L21</f>
        <v>0.99960000000000004</v>
      </c>
      <c r="C22">
        <f>'[2]GABM_R03_MitchellAPI_no_fb-data'!$J21/'[2]GABM_R03_MitchellAPI_no_fb-data'!$L21</f>
        <v>1</v>
      </c>
      <c r="D22">
        <f>'[3]GABM_R03_NavidAPI_no_fb-data'!$J21/'[3]GABM_R03_NavidAPI_no_fb-data'!$L21</f>
        <v>0.99719999999999998</v>
      </c>
      <c r="E22">
        <f>'[4]GABM_R03_RandiAPI_no_fb_runtwo-'!$J21/'[4]GABM_R03_RandiAPI_no_fb_runtwo-'!$L21</f>
        <v>0.998</v>
      </c>
      <c r="F22">
        <f>'[5]GABM_R03_SudipaAPI_no_fb-data'!$J21/'[5]GABM_R03_SudipaAPI_no_fb-data'!$L21</f>
        <v>0.99760000000000004</v>
      </c>
      <c r="G22">
        <f>'[6]GABM_R03_NavidAPI_no_fb_runtwo-'!$J21/'[6]GABM_R03_NavidAPI_no_fb_runtwo-'!$L21</f>
        <v>0.99960000000000004</v>
      </c>
      <c r="H22">
        <f>'[7]GABM_R03_savannah_no_fb-data'!$J21/'[7]GABM_R03_savannah_no_fb-data'!$L21</f>
        <v>1</v>
      </c>
      <c r="I22">
        <f>'[8]GABM_R03_Terry_no_fb_run_two-da'!$J21/'[8]GABM_R03_Terry_no_fb_run_two-da'!$L21</f>
        <v>0.99760000000000004</v>
      </c>
      <c r="J22">
        <f>[9]GABM_R03_MitchellAPI_no_fb_runt!$J21/[9]GABM_R03_MitchellAPI_no_fb_runt!$L21</f>
        <v>0.99960000000000004</v>
      </c>
      <c r="K22">
        <f>'[10]R03_GABM_NiyoushaAPI_no_fb-data'!$J21/'[10]R03_GABM_NiyoushaAPI_no_fb-data'!$L21</f>
        <v>1</v>
      </c>
      <c r="L22">
        <f t="shared" si="0"/>
        <v>0.99892000000000003</v>
      </c>
    </row>
    <row r="23" spans="1:12" x14ac:dyDescent="0.35">
      <c r="A23">
        <v>20</v>
      </c>
      <c r="B23">
        <f>'[1]GABM_R03_Terry_no_fb-data'!$J22/'[1]GABM_R03_Terry_no_fb-data'!$L22</f>
        <v>0.99960000000000004</v>
      </c>
      <c r="C23">
        <f>'[2]GABM_R03_MitchellAPI_no_fb-data'!$J22/'[2]GABM_R03_MitchellAPI_no_fb-data'!$L22</f>
        <v>0.99919999999999998</v>
      </c>
      <c r="D23">
        <f>'[3]GABM_R03_NavidAPI_no_fb-data'!$J22/'[3]GABM_R03_NavidAPI_no_fb-data'!$L22</f>
        <v>0.998</v>
      </c>
      <c r="E23">
        <f>'[4]GABM_R03_RandiAPI_no_fb_runtwo-'!$J22/'[4]GABM_R03_RandiAPI_no_fb_runtwo-'!$L22</f>
        <v>0.99560000000000004</v>
      </c>
      <c r="F23">
        <f>'[5]GABM_R03_SudipaAPI_no_fb-data'!$J22/'[5]GABM_R03_SudipaAPI_no_fb-data'!$L22</f>
        <v>0.99439999999999995</v>
      </c>
      <c r="G23">
        <f>'[6]GABM_R03_NavidAPI_no_fb_runtwo-'!$J22/'[6]GABM_R03_NavidAPI_no_fb_runtwo-'!$L22</f>
        <v>1</v>
      </c>
      <c r="H23">
        <f>'[7]GABM_R03_savannah_no_fb-data'!$J22/'[7]GABM_R03_savannah_no_fb-data'!$L22</f>
        <v>0.99960000000000004</v>
      </c>
      <c r="I23">
        <f>'[8]GABM_R03_Terry_no_fb_run_two-da'!$J22/'[8]GABM_R03_Terry_no_fb_run_two-da'!$L22</f>
        <v>0.99680000000000002</v>
      </c>
      <c r="J23">
        <f>[9]GABM_R03_MitchellAPI_no_fb_runt!$J22/[9]GABM_R03_MitchellAPI_no_fb_runt!$L22</f>
        <v>1</v>
      </c>
      <c r="K23">
        <f>'[10]R03_GABM_NiyoushaAPI_no_fb-data'!$J22/'[10]R03_GABM_NiyoushaAPI_no_fb-data'!$L22</f>
        <v>1</v>
      </c>
      <c r="L23">
        <f t="shared" si="0"/>
        <v>0.99831999999999999</v>
      </c>
    </row>
    <row r="24" spans="1:12" x14ac:dyDescent="0.35">
      <c r="A24">
        <v>21</v>
      </c>
      <c r="B24">
        <f>'[1]GABM_R03_Terry_no_fb-data'!$J23/'[1]GABM_R03_Terry_no_fb-data'!$L23</f>
        <v>1</v>
      </c>
      <c r="C24">
        <f>'[2]GABM_R03_MitchellAPI_no_fb-data'!$J23/'[2]GABM_R03_MitchellAPI_no_fb-data'!$L23</f>
        <v>0.99960000000000004</v>
      </c>
      <c r="D24">
        <f>'[3]GABM_R03_NavidAPI_no_fb-data'!$J23/'[3]GABM_R03_NavidAPI_no_fb-data'!$L23</f>
        <v>0.998</v>
      </c>
      <c r="E24">
        <f>'[4]GABM_R03_RandiAPI_no_fb_runtwo-'!$J23/'[4]GABM_R03_RandiAPI_no_fb_runtwo-'!$L23</f>
        <v>0.99719999999999998</v>
      </c>
      <c r="F24">
        <f>'[5]GABM_R03_SudipaAPI_no_fb-data'!$J23/'[5]GABM_R03_SudipaAPI_no_fb-data'!$L23</f>
        <v>0.998</v>
      </c>
      <c r="G24">
        <f>'[6]GABM_R03_NavidAPI_no_fb_runtwo-'!$J23/'[6]GABM_R03_NavidAPI_no_fb_runtwo-'!$L23</f>
        <v>1</v>
      </c>
      <c r="H24">
        <f>'[7]GABM_R03_savannah_no_fb-data'!$J23/'[7]GABM_R03_savannah_no_fb-data'!$L23</f>
        <v>0.99960000000000004</v>
      </c>
      <c r="I24">
        <f>'[8]GABM_R03_Terry_no_fb_run_two-da'!$J23/'[8]GABM_R03_Terry_no_fb_run_two-da'!$L23</f>
        <v>0.996</v>
      </c>
      <c r="J24">
        <f>[9]GABM_R03_MitchellAPI_no_fb_runt!$J23/[9]GABM_R03_MitchellAPI_no_fb_runt!$L23</f>
        <v>1</v>
      </c>
      <c r="K24">
        <f>'[10]R03_GABM_NiyoushaAPI_no_fb-data'!$J23/'[10]R03_GABM_NiyoushaAPI_no_fb-data'!$L23</f>
        <v>1</v>
      </c>
      <c r="L24">
        <f t="shared" si="0"/>
        <v>0.99884000000000006</v>
      </c>
    </row>
    <row r="25" spans="1:12" x14ac:dyDescent="0.35">
      <c r="A25">
        <v>22</v>
      </c>
      <c r="B25">
        <f>'[1]GABM_R03_Terry_no_fb-data'!$J24/'[1]GABM_R03_Terry_no_fb-data'!$L24</f>
        <v>0.99919999999999998</v>
      </c>
      <c r="C25">
        <f>'[2]GABM_R03_MitchellAPI_no_fb-data'!$J24/'[2]GABM_R03_MitchellAPI_no_fb-data'!$L24</f>
        <v>0.99960000000000004</v>
      </c>
      <c r="D25">
        <f>'[3]GABM_R03_NavidAPI_no_fb-data'!$J24/'[3]GABM_R03_NavidAPI_no_fb-data'!$L24</f>
        <v>0.99760000000000004</v>
      </c>
      <c r="E25">
        <f>'[4]GABM_R03_RandiAPI_no_fb_runtwo-'!$J24/'[4]GABM_R03_RandiAPI_no_fb_runtwo-'!$L24</f>
        <v>0.998</v>
      </c>
      <c r="F25">
        <f>'[5]GABM_R03_SudipaAPI_no_fb-data'!$J24/'[5]GABM_R03_SudipaAPI_no_fb-data'!$L24</f>
        <v>0.996</v>
      </c>
      <c r="G25">
        <f>'[6]GABM_R03_NavidAPI_no_fb_runtwo-'!$J24/'[6]GABM_R03_NavidAPI_no_fb_runtwo-'!$L24</f>
        <v>1</v>
      </c>
      <c r="H25">
        <f>'[7]GABM_R03_savannah_no_fb-data'!$J24/'[7]GABM_R03_savannah_no_fb-data'!$L24</f>
        <v>1</v>
      </c>
      <c r="I25">
        <f>'[8]GABM_R03_Terry_no_fb_run_two-da'!$J24/'[8]GABM_R03_Terry_no_fb_run_two-da'!$L24</f>
        <v>0.99519999999999997</v>
      </c>
      <c r="J25">
        <f>[9]GABM_R03_MitchellAPI_no_fb_runt!$J24/[9]GABM_R03_MitchellAPI_no_fb_runt!$L24</f>
        <v>1</v>
      </c>
      <c r="K25">
        <f>'[10]R03_GABM_NiyoushaAPI_no_fb-data'!$J24/'[10]R03_GABM_NiyoushaAPI_no_fb-data'!$L24</f>
        <v>1</v>
      </c>
      <c r="L25">
        <f t="shared" si="0"/>
        <v>0.99856000000000011</v>
      </c>
    </row>
    <row r="26" spans="1:12" x14ac:dyDescent="0.35">
      <c r="A26">
        <v>23</v>
      </c>
      <c r="B26">
        <v>1</v>
      </c>
      <c r="C26">
        <f>'[2]GABM_R03_MitchellAPI_no_fb-data'!$J25/'[2]GABM_R03_MitchellAPI_no_fb-data'!$L25</f>
        <v>0.99960000000000004</v>
      </c>
      <c r="D26">
        <f>'[3]GABM_R03_NavidAPI_no_fb-data'!$J25/'[3]GABM_R03_NavidAPI_no_fb-data'!$L25</f>
        <v>0.99719999999999998</v>
      </c>
      <c r="E26">
        <f>'[4]GABM_R03_RandiAPI_no_fb_runtwo-'!$J25/'[4]GABM_R03_RandiAPI_no_fb_runtwo-'!$L25</f>
        <v>0.998</v>
      </c>
      <c r="F26">
        <f>'[5]GABM_R03_SudipaAPI_no_fb-data'!$J25/'[5]GABM_R03_SudipaAPI_no_fb-data'!$L25</f>
        <v>0.99519999999999997</v>
      </c>
      <c r="G26">
        <f>'[6]GABM_R03_NavidAPI_no_fb_runtwo-'!$J25/'[6]GABM_R03_NavidAPI_no_fb_runtwo-'!$L25</f>
        <v>0.99960000000000004</v>
      </c>
      <c r="H26">
        <f>'[7]GABM_R03_savannah_no_fb-data'!$J25/'[7]GABM_R03_savannah_no_fb-data'!$L25</f>
        <v>0.99960000000000004</v>
      </c>
      <c r="I26">
        <f>'[8]GABM_R03_Terry_no_fb_run_two-da'!$J25/'[8]GABM_R03_Terry_no_fb_run_two-da'!$L25</f>
        <v>0.99560000000000004</v>
      </c>
      <c r="J26">
        <f>[9]GABM_R03_MitchellAPI_no_fb_runt!$J25/[9]GABM_R03_MitchellAPI_no_fb_runt!$L25</f>
        <v>0.99960000000000004</v>
      </c>
      <c r="K26">
        <v>1</v>
      </c>
      <c r="L26">
        <f t="shared" si="0"/>
        <v>0.99844000000000011</v>
      </c>
    </row>
    <row r="27" spans="1:12" x14ac:dyDescent="0.35">
      <c r="A27">
        <v>24</v>
      </c>
      <c r="B27">
        <v>1</v>
      </c>
      <c r="C27">
        <f>'[2]GABM_R03_MitchellAPI_no_fb-data'!$J26/'[2]GABM_R03_MitchellAPI_no_fb-data'!$L26</f>
        <v>0.99960000000000004</v>
      </c>
      <c r="D27">
        <f>'[3]GABM_R03_NavidAPI_no_fb-data'!$J26/'[3]GABM_R03_NavidAPI_no_fb-data'!$L26</f>
        <v>0.998</v>
      </c>
      <c r="E27">
        <v>1</v>
      </c>
      <c r="F27">
        <f>'[5]GABM_R03_SudipaAPI_no_fb-data'!$J26/'[5]GABM_R03_SudipaAPI_no_fb-data'!$L26</f>
        <v>0.996</v>
      </c>
      <c r="G27">
        <v>1</v>
      </c>
      <c r="H27">
        <f>'[7]GABM_R03_savannah_no_fb-data'!$J26/'[7]GABM_R03_savannah_no_fb-data'!$L26</f>
        <v>1</v>
      </c>
      <c r="I27">
        <f>'[8]GABM_R03_Terry_no_fb_run_two-da'!$J26/'[8]GABM_R03_Terry_no_fb_run_two-da'!$L26</f>
        <v>0.99560000000000004</v>
      </c>
      <c r="J27">
        <f>[9]GABM_R03_MitchellAPI_no_fb_runt!$J26/[9]GABM_R03_MitchellAPI_no_fb_runt!$L26</f>
        <v>1</v>
      </c>
      <c r="K27">
        <v>1</v>
      </c>
      <c r="L27">
        <v>1</v>
      </c>
    </row>
    <row r="28" spans="1:12" x14ac:dyDescent="0.35">
      <c r="A28">
        <v>25</v>
      </c>
      <c r="B28">
        <v>1</v>
      </c>
      <c r="C28">
        <v>1</v>
      </c>
      <c r="D28">
        <f>'[3]GABM_R03_NavidAPI_no_fb-data'!$J27/'[3]GABM_R03_NavidAPI_no_fb-data'!$L27</f>
        <v>0.99760000000000004</v>
      </c>
      <c r="E28">
        <v>1</v>
      </c>
      <c r="F28">
        <f>'[5]GABM_R03_SudipaAPI_no_fb-data'!$J27/'[5]GABM_R03_SudipaAPI_no_fb-data'!$L27</f>
        <v>0.99519999999999997</v>
      </c>
      <c r="G28">
        <v>1</v>
      </c>
      <c r="H28">
        <f>'[7]GABM_R03_savannah_no_fb-data'!$J27/'[7]GABM_R03_savannah_no_fb-data'!$L27</f>
        <v>1</v>
      </c>
      <c r="I28">
        <f>'[8]GABM_R03_Terry_no_fb_run_two-da'!$J27/'[8]GABM_R03_Terry_no_fb_run_two-da'!$L27</f>
        <v>0.99519999999999997</v>
      </c>
      <c r="J28">
        <v>1</v>
      </c>
      <c r="K28">
        <v>1</v>
      </c>
      <c r="L28">
        <v>1</v>
      </c>
    </row>
    <row r="29" spans="1:12" x14ac:dyDescent="0.35">
      <c r="A29">
        <v>26</v>
      </c>
      <c r="B29">
        <v>1</v>
      </c>
      <c r="C29">
        <v>1</v>
      </c>
      <c r="D29">
        <v>1</v>
      </c>
      <c r="E29">
        <v>1</v>
      </c>
      <c r="F29">
        <f>'[5]GABM_R03_SudipaAPI_no_fb-data'!$J28/'[5]GABM_R03_SudipaAPI_no_fb-data'!$L28</f>
        <v>0.99919999999999998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</sheetData>
  <mergeCells count="1">
    <mergeCell ref="A1:L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90EE8-2459-4754-8C15-26F48D3C82B9}">
  <dimension ref="A1:Z37"/>
  <sheetViews>
    <sheetView workbookViewId="0">
      <selection activeCell="K25" sqref="K25"/>
    </sheetView>
  </sheetViews>
  <sheetFormatPr defaultRowHeight="14.5" x14ac:dyDescent="0.35"/>
  <sheetData>
    <row r="1" spans="1:26" x14ac:dyDescent="0.35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26" x14ac:dyDescent="0.35">
      <c r="A2" t="s">
        <v>10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12</v>
      </c>
    </row>
    <row r="3" spans="1:26" x14ac:dyDescent="0.3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f>AVERAGE(B3:K3)</f>
        <v>1</v>
      </c>
    </row>
    <row r="4" spans="1:26" x14ac:dyDescent="0.35">
      <c r="A4">
        <v>1</v>
      </c>
      <c r="B4">
        <f>'[11]GABM_R03_NavidAPI_sf_fb-data'!$J3/'[11]GABM_R03_NavidAPI_sf_fb-data'!$L3</f>
        <v>0.99960000000000004</v>
      </c>
      <c r="C4">
        <f>'[12]GABM_R03_savannah_sf_fb-data'!$J3/'[12]GABM_R03_savannah_sf_fb-data'!$L3</f>
        <v>0.99919999999999998</v>
      </c>
      <c r="D4">
        <f>'[13]GABM_R03_MitchellAPI_sf_fb-data'!$J3/'[13]GABM_R03_MitchellAPI_sf_fb-data'!$L3</f>
        <v>0.99919999999999998</v>
      </c>
      <c r="E4">
        <f>'[14]GABM_R03_RandiAPI_sf_fb-data'!$J3/'[14]GABM_R03_RandiAPI_sf_fb-data'!$L3</f>
        <v>1</v>
      </c>
      <c r="F4">
        <f>'[15]GABM_R03_Terry_sf_fb-data'!$J3/'[15]GABM_R03_Terry_sf_fb-data'!$L3</f>
        <v>1</v>
      </c>
      <c r="G4">
        <f>'[16]R03_GABM_NiyoushaAPI_sf_fb-data'!$J3/'[16]R03_GABM_NiyoushaAPI_sf_fb-data'!$L3</f>
        <v>1</v>
      </c>
      <c r="H4">
        <f>'[17]GABM_R03_SudipaAPI_sf_fb-data'!$J3/'[17]GABM_R03_SudipaAPI_sf_fb-data'!$L3</f>
        <v>0.99960000000000004</v>
      </c>
      <c r="I4">
        <f>'[18]GABM_R03_Terry_sf_fb_2-data'!$J3/'[18]GABM_R03_Terry_sf_fb_2-data'!$L3</f>
        <v>0.99960000000000004</v>
      </c>
      <c r="J4">
        <f>'[19]GABM_R03_NavidAPI_sf_fb_2-data'!$J3/'[19]GABM_R03_NavidAPI_sf_fb_2-data'!$L3</f>
        <v>0.99960000000000004</v>
      </c>
      <c r="K4">
        <f>'[20]R03_GABM_NiyoushaAPI_sf_fb_2-da'!$J3/'[20]R03_GABM_NiyoushaAPI_sf_fb_2-da'!$L3</f>
        <v>0.99960000000000004</v>
      </c>
      <c r="L4">
        <f t="shared" ref="L4:L37" si="0">AVERAGE(B4:K4)</f>
        <v>0.99964000000000008</v>
      </c>
    </row>
    <row r="5" spans="1:26" x14ac:dyDescent="0.35">
      <c r="A5">
        <v>2</v>
      </c>
      <c r="B5">
        <f>'[11]GABM_R03_NavidAPI_sf_fb-data'!$J4/'[11]GABM_R03_NavidAPI_sf_fb-data'!$L4</f>
        <v>1</v>
      </c>
      <c r="C5">
        <f>'[12]GABM_R03_savannah_sf_fb-data'!$J4/'[12]GABM_R03_savannah_sf_fb-data'!$L4</f>
        <v>1</v>
      </c>
      <c r="D5">
        <f>'[13]GABM_R03_MitchellAPI_sf_fb-data'!$J4/'[13]GABM_R03_MitchellAPI_sf_fb-data'!$L4</f>
        <v>0.99960000000000004</v>
      </c>
      <c r="E5">
        <f>'[14]GABM_R03_RandiAPI_sf_fb-data'!$J4/'[14]GABM_R03_RandiAPI_sf_fb-data'!$L4</f>
        <v>0.99960000000000004</v>
      </c>
      <c r="F5">
        <f>'[15]GABM_R03_Terry_sf_fb-data'!$J4/'[15]GABM_R03_Terry_sf_fb-data'!$L4</f>
        <v>0.99960000000000004</v>
      </c>
      <c r="G5">
        <f>'[16]R03_GABM_NiyoushaAPI_sf_fb-data'!$J4/'[16]R03_GABM_NiyoushaAPI_sf_fb-data'!$L4</f>
        <v>1</v>
      </c>
      <c r="H5">
        <f>'[17]GABM_R03_SudipaAPI_sf_fb-data'!$J4/'[17]GABM_R03_SudipaAPI_sf_fb-data'!$L4</f>
        <v>1</v>
      </c>
      <c r="I5">
        <f>'[18]GABM_R03_Terry_sf_fb_2-data'!$J4/'[18]GABM_R03_Terry_sf_fb_2-data'!$L4</f>
        <v>1</v>
      </c>
      <c r="J5">
        <f>'[19]GABM_R03_NavidAPI_sf_fb_2-data'!$J4/'[19]GABM_R03_NavidAPI_sf_fb_2-data'!$L4</f>
        <v>0.99960000000000004</v>
      </c>
      <c r="K5">
        <f>'[20]R03_GABM_NiyoushaAPI_sf_fb_2-da'!$J4/'[20]R03_GABM_NiyoushaAPI_sf_fb_2-da'!$L4</f>
        <v>0.99960000000000004</v>
      </c>
      <c r="L5">
        <f t="shared" si="0"/>
        <v>0.99980000000000013</v>
      </c>
    </row>
    <row r="6" spans="1:26" x14ac:dyDescent="0.35">
      <c r="A6">
        <v>3</v>
      </c>
      <c r="B6">
        <f>'[11]GABM_R03_NavidAPI_sf_fb-data'!$J5/'[11]GABM_R03_NavidAPI_sf_fb-data'!$L5</f>
        <v>0.99639999999999995</v>
      </c>
      <c r="C6">
        <f>'[12]GABM_R03_savannah_sf_fb-data'!$J5/'[12]GABM_R03_savannah_sf_fb-data'!$L5</f>
        <v>0.99680000000000002</v>
      </c>
      <c r="D6">
        <f>'[13]GABM_R03_MitchellAPI_sf_fb-data'!$J5/'[13]GABM_R03_MitchellAPI_sf_fb-data'!$L5</f>
        <v>0.99519999999999997</v>
      </c>
      <c r="E6">
        <f>'[14]GABM_R03_RandiAPI_sf_fb-data'!$J5/'[14]GABM_R03_RandiAPI_sf_fb-data'!$L5</f>
        <v>0.99639999999999995</v>
      </c>
      <c r="F6">
        <f>'[15]GABM_R03_Terry_sf_fb-data'!$J5/'[15]GABM_R03_Terry_sf_fb-data'!$L5</f>
        <v>0.99560000000000004</v>
      </c>
      <c r="G6">
        <f>'[16]R03_GABM_NiyoushaAPI_sf_fb-data'!$J5/'[16]R03_GABM_NiyoushaAPI_sf_fb-data'!$L5</f>
        <v>0.99639999999999995</v>
      </c>
      <c r="H6">
        <f>'[17]GABM_R03_SudipaAPI_sf_fb-data'!$J5/'[17]GABM_R03_SudipaAPI_sf_fb-data'!$L5</f>
        <v>0.99480000000000002</v>
      </c>
      <c r="I6">
        <f>'[18]GABM_R03_Terry_sf_fb_2-data'!$J5/'[18]GABM_R03_Terry_sf_fb_2-data'!$L5</f>
        <v>0.99639999999999995</v>
      </c>
      <c r="J6">
        <f>'[19]GABM_R03_NavidAPI_sf_fb_2-data'!$J5/'[19]GABM_R03_NavidAPI_sf_fb_2-data'!$L5</f>
        <v>0.99560000000000004</v>
      </c>
      <c r="K6">
        <f>'[20]R03_GABM_NiyoushaAPI_sf_fb_2-da'!$J5/'[20]R03_GABM_NiyoushaAPI_sf_fb_2-da'!$L5</f>
        <v>0.99560000000000004</v>
      </c>
      <c r="L6">
        <f t="shared" si="0"/>
        <v>0.99591999999999969</v>
      </c>
    </row>
    <row r="7" spans="1:26" x14ac:dyDescent="0.35">
      <c r="A7">
        <v>4</v>
      </c>
      <c r="B7">
        <f>'[11]GABM_R03_NavidAPI_sf_fb-data'!$J6/'[11]GABM_R03_NavidAPI_sf_fb-data'!$L6</f>
        <v>0.98799999999999999</v>
      </c>
      <c r="C7">
        <f>'[12]GABM_R03_savannah_sf_fb-data'!$J6/'[12]GABM_R03_savannah_sf_fb-data'!$L6</f>
        <v>0.99080000000000001</v>
      </c>
      <c r="D7">
        <f>'[13]GABM_R03_MitchellAPI_sf_fb-data'!$J6/'[13]GABM_R03_MitchellAPI_sf_fb-data'!$L6</f>
        <v>0.98960000000000004</v>
      </c>
      <c r="E7">
        <f>'[14]GABM_R03_RandiAPI_sf_fb-data'!$J6/'[14]GABM_R03_RandiAPI_sf_fb-data'!$L6</f>
        <v>0.99680000000000002</v>
      </c>
      <c r="F7">
        <f>'[15]GABM_R03_Terry_sf_fb-data'!$J6/'[15]GABM_R03_Terry_sf_fb-data'!$L6</f>
        <v>0.99080000000000001</v>
      </c>
      <c r="G7">
        <f>'[16]R03_GABM_NiyoushaAPI_sf_fb-data'!$J6/'[16]R03_GABM_NiyoushaAPI_sf_fb-data'!$L6</f>
        <v>0.99280000000000002</v>
      </c>
      <c r="H7">
        <f>'[17]GABM_R03_SudipaAPI_sf_fb-data'!$J6/'[17]GABM_R03_SudipaAPI_sf_fb-data'!$L6</f>
        <v>0.99360000000000004</v>
      </c>
      <c r="I7">
        <f>'[18]GABM_R03_Terry_sf_fb_2-data'!$J6/'[18]GABM_R03_Terry_sf_fb_2-data'!$L6</f>
        <v>0.98719999999999997</v>
      </c>
      <c r="J7">
        <f>'[19]GABM_R03_NavidAPI_sf_fb_2-data'!$J6/'[19]GABM_R03_NavidAPI_sf_fb_2-data'!$L6</f>
        <v>0.99199999999999999</v>
      </c>
      <c r="K7">
        <f>'[20]R03_GABM_NiyoushaAPI_sf_fb_2-da'!$J6/'[20]R03_GABM_NiyoushaAPI_sf_fb_2-da'!$L6</f>
        <v>0.99519999999999997</v>
      </c>
      <c r="L7">
        <f t="shared" si="0"/>
        <v>0.99167999999999989</v>
      </c>
    </row>
    <row r="8" spans="1:26" x14ac:dyDescent="0.35">
      <c r="A8">
        <v>5</v>
      </c>
      <c r="B8">
        <f>'[11]GABM_R03_NavidAPI_sf_fb-data'!$J7/'[11]GABM_R03_NavidAPI_sf_fb-data'!$L7</f>
        <v>0.97719999999999996</v>
      </c>
      <c r="C8">
        <f>'[12]GABM_R03_savannah_sf_fb-data'!$J7/'[12]GABM_R03_savannah_sf_fb-data'!$L7</f>
        <v>0.97640000000000005</v>
      </c>
      <c r="D8">
        <f>'[13]GABM_R03_MitchellAPI_sf_fb-data'!$J7/'[13]GABM_R03_MitchellAPI_sf_fb-data'!$L7</f>
        <v>0.98760000000000003</v>
      </c>
      <c r="E8">
        <f>'[14]GABM_R03_RandiAPI_sf_fb-data'!$J7/'[14]GABM_R03_RandiAPI_sf_fb-data'!$L7</f>
        <v>0.996</v>
      </c>
      <c r="F8">
        <f>'[15]GABM_R03_Terry_sf_fb-data'!$J7/'[15]GABM_R03_Terry_sf_fb-data'!$L7</f>
        <v>0.98240000000000005</v>
      </c>
      <c r="G8">
        <f>'[16]R03_GABM_NiyoushaAPI_sf_fb-data'!$J7/'[16]R03_GABM_NiyoushaAPI_sf_fb-data'!$L7</f>
        <v>0.98399999999999999</v>
      </c>
      <c r="H8">
        <f>'[17]GABM_R03_SudipaAPI_sf_fb-data'!$J7/'[17]GABM_R03_SudipaAPI_sf_fb-data'!$L7</f>
        <v>0.98560000000000003</v>
      </c>
      <c r="I8">
        <f>'[18]GABM_R03_Terry_sf_fb_2-data'!$J7/'[18]GABM_R03_Terry_sf_fb_2-data'!$L7</f>
        <v>0.97560000000000002</v>
      </c>
      <c r="J8">
        <f>'[19]GABM_R03_NavidAPI_sf_fb_2-data'!$J7/'[19]GABM_R03_NavidAPI_sf_fb_2-data'!$L7</f>
        <v>0.97640000000000005</v>
      </c>
      <c r="K8">
        <f>'[20]R03_GABM_NiyoushaAPI_sf_fb_2-da'!$J7/'[20]R03_GABM_NiyoushaAPI_sf_fb_2-da'!$L7</f>
        <v>0.98599999999999999</v>
      </c>
      <c r="L8">
        <f t="shared" si="0"/>
        <v>0.98272000000000015</v>
      </c>
    </row>
    <row r="9" spans="1:26" x14ac:dyDescent="0.35">
      <c r="A9">
        <v>6</v>
      </c>
      <c r="B9">
        <f>'[11]GABM_R03_NavidAPI_sf_fb-data'!$J8/'[11]GABM_R03_NavidAPI_sf_fb-data'!$L8</f>
        <v>0.95520000000000005</v>
      </c>
      <c r="C9">
        <f>'[12]GABM_R03_savannah_sf_fb-data'!$J8/'[12]GABM_R03_savannah_sf_fb-data'!$L8</f>
        <v>0.96799999999999997</v>
      </c>
      <c r="D9">
        <f>'[13]GABM_R03_MitchellAPI_sf_fb-data'!$J8/'[13]GABM_R03_MitchellAPI_sf_fb-data'!$L8</f>
        <v>0.97440000000000004</v>
      </c>
      <c r="E9">
        <f>'[14]GABM_R03_RandiAPI_sf_fb-data'!$J8/'[14]GABM_R03_RandiAPI_sf_fb-data'!$L8</f>
        <v>0.99560000000000004</v>
      </c>
      <c r="F9">
        <f>'[15]GABM_R03_Terry_sf_fb-data'!$J8/'[15]GABM_R03_Terry_sf_fb-data'!$L8</f>
        <v>0.96360000000000001</v>
      </c>
      <c r="G9">
        <f>'[16]R03_GABM_NiyoushaAPI_sf_fb-data'!$J8/'[16]R03_GABM_NiyoushaAPI_sf_fb-data'!$L8</f>
        <v>0.96</v>
      </c>
      <c r="H9">
        <f>'[17]GABM_R03_SudipaAPI_sf_fb-data'!$J8/'[17]GABM_R03_SudipaAPI_sf_fb-data'!$L8</f>
        <v>0.97440000000000004</v>
      </c>
      <c r="I9">
        <f>'[18]GABM_R03_Terry_sf_fb_2-data'!$J8/'[18]GABM_R03_Terry_sf_fb_2-data'!$L8</f>
        <v>0.9556</v>
      </c>
      <c r="J9">
        <f>'[19]GABM_R03_NavidAPI_sf_fb_2-data'!$J8/'[19]GABM_R03_NavidAPI_sf_fb_2-data'!$L8</f>
        <v>0.96799999999999997</v>
      </c>
      <c r="K9">
        <f>'[20]R03_GABM_NiyoushaAPI_sf_fb_2-da'!$J8/'[20]R03_GABM_NiyoushaAPI_sf_fb_2-da'!$L8</f>
        <v>0.98440000000000005</v>
      </c>
      <c r="L9">
        <f t="shared" si="0"/>
        <v>0.96992000000000012</v>
      </c>
    </row>
    <row r="10" spans="1:26" x14ac:dyDescent="0.35">
      <c r="A10">
        <v>7</v>
      </c>
      <c r="B10">
        <f>'[11]GABM_R03_NavidAPI_sf_fb-data'!$J9/'[11]GABM_R03_NavidAPI_sf_fb-data'!$L9</f>
        <v>0.9304</v>
      </c>
      <c r="C10">
        <f>'[12]GABM_R03_savannah_sf_fb-data'!$J9/'[12]GABM_R03_savannah_sf_fb-data'!$L9</f>
        <v>0.95040000000000002</v>
      </c>
      <c r="D10">
        <f>'[13]GABM_R03_MitchellAPI_sf_fb-data'!$J9/'[13]GABM_R03_MitchellAPI_sf_fb-data'!$L9</f>
        <v>0.96760000000000002</v>
      </c>
      <c r="E10">
        <v>1</v>
      </c>
      <c r="F10">
        <f>'[15]GABM_R03_Terry_sf_fb-data'!$J9/'[15]GABM_R03_Terry_sf_fb-data'!$L9</f>
        <v>0.95399999999999996</v>
      </c>
      <c r="G10">
        <f>'[16]R03_GABM_NiyoushaAPI_sf_fb-data'!$J9/'[16]R03_GABM_NiyoushaAPI_sf_fb-data'!$L9</f>
        <v>0.94440000000000002</v>
      </c>
      <c r="H10">
        <f>'[17]GABM_R03_SudipaAPI_sf_fb-data'!$J9/'[17]GABM_R03_SudipaAPI_sf_fb-data'!$L9</f>
        <v>0.96479999999999999</v>
      </c>
      <c r="I10">
        <f>'[18]GABM_R03_Terry_sf_fb_2-data'!$J9/'[18]GABM_R03_Terry_sf_fb_2-data'!$L9</f>
        <v>0.92920000000000003</v>
      </c>
      <c r="J10">
        <f>'[19]GABM_R03_NavidAPI_sf_fb_2-data'!$J9/'[19]GABM_R03_NavidAPI_sf_fb_2-data'!$L9</f>
        <v>0.95040000000000002</v>
      </c>
      <c r="K10">
        <f>'[20]R03_GABM_NiyoushaAPI_sf_fb_2-da'!$J9/'[20]R03_GABM_NiyoushaAPI_sf_fb_2-da'!$L9</f>
        <v>0.97599999999999998</v>
      </c>
      <c r="L10">
        <f t="shared" si="0"/>
        <v>0.95672000000000001</v>
      </c>
    </row>
    <row r="11" spans="1:26" x14ac:dyDescent="0.35">
      <c r="A11">
        <v>8</v>
      </c>
      <c r="B11">
        <f>'[11]GABM_R03_NavidAPI_sf_fb-data'!$J10/'[11]GABM_R03_NavidAPI_sf_fb-data'!$L10</f>
        <v>0.88119999999999998</v>
      </c>
      <c r="C11">
        <f>'[12]GABM_R03_savannah_sf_fb-data'!$J10/'[12]GABM_R03_savannah_sf_fb-data'!$L10</f>
        <v>0.92720000000000002</v>
      </c>
      <c r="D11">
        <f>'[13]GABM_R03_MitchellAPI_sf_fb-data'!$J10/'[13]GABM_R03_MitchellAPI_sf_fb-data'!$L10</f>
        <v>0.95</v>
      </c>
      <c r="E11">
        <v>1</v>
      </c>
      <c r="F11">
        <f>'[15]GABM_R03_Terry_sf_fb-data'!$J10/'[15]GABM_R03_Terry_sf_fb-data'!$L10</f>
        <v>0.9284</v>
      </c>
      <c r="G11">
        <f>'[16]R03_GABM_NiyoushaAPI_sf_fb-data'!$J10/'[16]R03_GABM_NiyoushaAPI_sf_fb-data'!$L10</f>
        <v>0.91600000000000004</v>
      </c>
      <c r="H11">
        <f>'[17]GABM_R03_SudipaAPI_sf_fb-data'!$J10/'[17]GABM_R03_SudipaAPI_sf_fb-data'!$L10</f>
        <v>0.94359999999999999</v>
      </c>
      <c r="I11">
        <f>'[18]GABM_R03_Terry_sf_fb_2-data'!$J10/'[18]GABM_R03_Terry_sf_fb_2-data'!$L10</f>
        <v>0.88919999999999999</v>
      </c>
      <c r="J11">
        <f>'[19]GABM_R03_NavidAPI_sf_fb_2-data'!$J10/'[19]GABM_R03_NavidAPI_sf_fb_2-data'!$L10</f>
        <v>0.9264</v>
      </c>
      <c r="K11">
        <f>'[20]R03_GABM_NiyoushaAPI_sf_fb_2-da'!$J10/'[20]R03_GABM_NiyoushaAPI_sf_fb_2-da'!$L10</f>
        <v>0.95960000000000001</v>
      </c>
      <c r="L11">
        <f t="shared" si="0"/>
        <v>0.93215999999999999</v>
      </c>
    </row>
    <row r="12" spans="1:26" x14ac:dyDescent="0.35">
      <c r="A12">
        <v>9</v>
      </c>
      <c r="B12">
        <f>'[11]GABM_R03_NavidAPI_sf_fb-data'!$J11/'[11]GABM_R03_NavidAPI_sf_fb-data'!$L11</f>
        <v>0.82</v>
      </c>
      <c r="C12">
        <f>'[12]GABM_R03_savannah_sf_fb-data'!$J11/'[12]GABM_R03_savannah_sf_fb-data'!$L11</f>
        <v>0.91679999999999995</v>
      </c>
      <c r="D12">
        <f>'[13]GABM_R03_MitchellAPI_sf_fb-data'!$J11/'[13]GABM_R03_MitchellAPI_sf_fb-data'!$L11</f>
        <v>0.91439999999999999</v>
      </c>
      <c r="E12">
        <v>1</v>
      </c>
      <c r="F12">
        <f>'[15]GABM_R03_Terry_sf_fb-data'!$J11/'[15]GABM_R03_Terry_sf_fb-data'!$L11</f>
        <v>0.89280000000000004</v>
      </c>
      <c r="G12">
        <f>'[16]R03_GABM_NiyoushaAPI_sf_fb-data'!$J11/'[16]R03_GABM_NiyoushaAPI_sf_fb-data'!$L11</f>
        <v>0.87360000000000004</v>
      </c>
      <c r="H12">
        <f>'[17]GABM_R03_SudipaAPI_sf_fb-data'!$J11/'[17]GABM_R03_SudipaAPI_sf_fb-data'!$L11</f>
        <v>0.90080000000000005</v>
      </c>
      <c r="I12">
        <f>'[18]GABM_R03_Terry_sf_fb_2-data'!$J11/'[18]GABM_R03_Terry_sf_fb_2-data'!$L11</f>
        <v>0.81920000000000004</v>
      </c>
      <c r="J12">
        <f>'[19]GABM_R03_NavidAPI_sf_fb_2-data'!$J11/'[19]GABM_R03_NavidAPI_sf_fb_2-data'!$L11</f>
        <v>0.91120000000000001</v>
      </c>
      <c r="K12">
        <f>'[20]R03_GABM_NiyoushaAPI_sf_fb_2-da'!$J11/'[20]R03_GABM_NiyoushaAPI_sf_fb_2-da'!$L11</f>
        <v>0.94279999999999997</v>
      </c>
      <c r="L12">
        <f t="shared" si="0"/>
        <v>0.89915999999999996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35">
      <c r="A13">
        <v>10</v>
      </c>
      <c r="B13">
        <f>'[11]GABM_R03_NavidAPI_sf_fb-data'!$J12/'[11]GABM_R03_NavidAPI_sf_fb-data'!$L12</f>
        <v>0.74199999999999999</v>
      </c>
      <c r="C13">
        <f>'[12]GABM_R03_savannah_sf_fb-data'!$J12/'[12]GABM_R03_savannah_sf_fb-data'!$L12</f>
        <v>0.87160000000000004</v>
      </c>
      <c r="D13">
        <f>'[13]GABM_R03_MitchellAPI_sf_fb-data'!$J12/'[13]GABM_R03_MitchellAPI_sf_fb-data'!$L12</f>
        <v>0.88639999999999997</v>
      </c>
      <c r="E13">
        <v>1</v>
      </c>
      <c r="F13">
        <f>'[15]GABM_R03_Terry_sf_fb-data'!$J12/'[15]GABM_R03_Terry_sf_fb-data'!$L12</f>
        <v>0.83840000000000003</v>
      </c>
      <c r="G13">
        <f>'[16]R03_GABM_NiyoushaAPI_sf_fb-data'!$J12/'[16]R03_GABM_NiyoushaAPI_sf_fb-data'!$L12</f>
        <v>0.80759999999999998</v>
      </c>
      <c r="H13">
        <f>'[17]GABM_R03_SudipaAPI_sf_fb-data'!$J12/'[17]GABM_R03_SudipaAPI_sf_fb-data'!$L12</f>
        <v>0.83879999999999999</v>
      </c>
      <c r="I13">
        <f>'[18]GABM_R03_Terry_sf_fb_2-data'!$J12/'[18]GABM_R03_Terry_sf_fb_2-data'!$L12</f>
        <v>0.73</v>
      </c>
      <c r="J13">
        <f>'[19]GABM_R03_NavidAPI_sf_fb_2-data'!$J12/'[19]GABM_R03_NavidAPI_sf_fb_2-data'!$L12</f>
        <v>0.86680000000000001</v>
      </c>
      <c r="K13">
        <f>'[20]R03_GABM_NiyoushaAPI_sf_fb_2-da'!$J12/'[20]R03_GABM_NiyoushaAPI_sf_fb_2-da'!$L12</f>
        <v>0.92800000000000005</v>
      </c>
      <c r="L13">
        <f t="shared" si="0"/>
        <v>0.85096000000000005</v>
      </c>
    </row>
    <row r="14" spans="1:26" x14ac:dyDescent="0.35">
      <c r="A14">
        <v>11</v>
      </c>
      <c r="B14">
        <f>'[11]GABM_R03_NavidAPI_sf_fb-data'!$J13/'[11]GABM_R03_NavidAPI_sf_fb-data'!$L13</f>
        <v>0.66639999999999999</v>
      </c>
      <c r="C14">
        <f>'[12]GABM_R03_savannah_sf_fb-data'!$J13/'[12]GABM_R03_savannah_sf_fb-data'!$L13</f>
        <v>0.82320000000000004</v>
      </c>
      <c r="D14">
        <f>'[13]GABM_R03_MitchellAPI_sf_fb-data'!$J13/'[13]GABM_R03_MitchellAPI_sf_fb-data'!$L13</f>
        <v>0.84319999999999995</v>
      </c>
      <c r="E14">
        <v>1</v>
      </c>
      <c r="F14">
        <f>'[15]GABM_R03_Terry_sf_fb-data'!$J13/'[15]GABM_R03_Terry_sf_fb-data'!$L13</f>
        <v>0.73960000000000004</v>
      </c>
      <c r="G14">
        <f>'[16]R03_GABM_NiyoushaAPI_sf_fb-data'!$J13/'[16]R03_GABM_NiyoushaAPI_sf_fb-data'!$L13</f>
        <v>0.72519999999999996</v>
      </c>
      <c r="H14">
        <f>'[17]GABM_R03_SudipaAPI_sf_fb-data'!$J13/'[17]GABM_R03_SudipaAPI_sf_fb-data'!$L13</f>
        <v>0.77280000000000004</v>
      </c>
      <c r="I14">
        <f>'[18]GABM_R03_Terry_sf_fb_2-data'!$J13/'[18]GABM_R03_Terry_sf_fb_2-data'!$L13</f>
        <v>0.63239999999999996</v>
      </c>
      <c r="J14">
        <f>'[19]GABM_R03_NavidAPI_sf_fb_2-data'!$J13/'[19]GABM_R03_NavidAPI_sf_fb_2-data'!$L13</f>
        <v>0.8196</v>
      </c>
      <c r="K14">
        <f>'[20]R03_GABM_NiyoushaAPI_sf_fb_2-da'!$J13/'[20]R03_GABM_NiyoushaAPI_sf_fb_2-da'!$L13</f>
        <v>0.88839999999999997</v>
      </c>
      <c r="L14">
        <f t="shared" si="0"/>
        <v>0.79108000000000001</v>
      </c>
    </row>
    <row r="15" spans="1:26" x14ac:dyDescent="0.35">
      <c r="A15">
        <v>12</v>
      </c>
      <c r="B15">
        <f>'[11]GABM_R03_NavidAPI_sf_fb-data'!$J14/'[11]GABM_R03_NavidAPI_sf_fb-data'!$L14</f>
        <v>0.59799999999999998</v>
      </c>
      <c r="C15">
        <f>'[12]GABM_R03_savannah_sf_fb-data'!$J14/'[12]GABM_R03_savannah_sf_fb-data'!$L14</f>
        <v>0.75839999999999996</v>
      </c>
      <c r="D15">
        <f>'[13]GABM_R03_MitchellAPI_sf_fb-data'!$J14/'[13]GABM_R03_MitchellAPI_sf_fb-data'!$L14</f>
        <v>0.78320000000000001</v>
      </c>
      <c r="E15">
        <v>1</v>
      </c>
      <c r="F15">
        <f>'[15]GABM_R03_Terry_sf_fb-data'!$J14/'[15]GABM_R03_Terry_sf_fb-data'!$L14</f>
        <v>0.64759999999999995</v>
      </c>
      <c r="G15">
        <f>'[16]R03_GABM_NiyoushaAPI_sf_fb-data'!$J14/'[16]R03_GABM_NiyoushaAPI_sf_fb-data'!$L14</f>
        <v>0.61760000000000004</v>
      </c>
      <c r="H15">
        <f>'[17]GABM_R03_SudipaAPI_sf_fb-data'!$J14/'[17]GABM_R03_SudipaAPI_sf_fb-data'!$L14</f>
        <v>0.67520000000000002</v>
      </c>
      <c r="I15">
        <f>'[18]GABM_R03_Terry_sf_fb_2-data'!$J14/'[18]GABM_R03_Terry_sf_fb_2-data'!$L14</f>
        <v>0.53080000000000005</v>
      </c>
      <c r="J15">
        <f>'[19]GABM_R03_NavidAPI_sf_fb_2-data'!$J14/'[19]GABM_R03_NavidAPI_sf_fb_2-data'!$L14</f>
        <v>0.75</v>
      </c>
      <c r="K15">
        <f>'[20]R03_GABM_NiyoushaAPI_sf_fb_2-da'!$J14/'[20]R03_GABM_NiyoushaAPI_sf_fb_2-da'!$L14</f>
        <v>0.84040000000000004</v>
      </c>
      <c r="L15">
        <f t="shared" si="0"/>
        <v>0.72011999999999998</v>
      </c>
    </row>
    <row r="16" spans="1:26" x14ac:dyDescent="0.35">
      <c r="A16">
        <v>13</v>
      </c>
      <c r="B16">
        <f>'[11]GABM_R03_NavidAPI_sf_fb-data'!$J15/'[11]GABM_R03_NavidAPI_sf_fb-data'!$L15</f>
        <v>0.52</v>
      </c>
      <c r="C16">
        <f>'[12]GABM_R03_savannah_sf_fb-data'!$J15/'[12]GABM_R03_savannah_sf_fb-data'!$L15</f>
        <v>0.6744</v>
      </c>
      <c r="D16">
        <f>'[13]GABM_R03_MitchellAPI_sf_fb-data'!$J15/'[13]GABM_R03_MitchellAPI_sf_fb-data'!$L15</f>
        <v>0.71599999999999997</v>
      </c>
      <c r="E16">
        <v>1</v>
      </c>
      <c r="F16">
        <f>'[15]GABM_R03_Terry_sf_fb-data'!$J15/'[15]GABM_R03_Terry_sf_fb-data'!$L15</f>
        <v>0.52559999999999996</v>
      </c>
      <c r="G16">
        <f>'[16]R03_GABM_NiyoushaAPI_sf_fb-data'!$J15/'[16]R03_GABM_NiyoushaAPI_sf_fb-data'!$L15</f>
        <v>0.5292</v>
      </c>
      <c r="H16">
        <f>'[17]GABM_R03_SudipaAPI_sf_fb-data'!$J15/'[17]GABM_R03_SudipaAPI_sf_fb-data'!$L15</f>
        <v>0.59079999999999999</v>
      </c>
      <c r="I16">
        <f>'[18]GABM_R03_Terry_sf_fb_2-data'!$J15/'[18]GABM_R03_Terry_sf_fb_2-data'!$L15</f>
        <v>0.4556</v>
      </c>
      <c r="J16">
        <f>'[19]GABM_R03_NavidAPI_sf_fb_2-data'!$J15/'[19]GABM_R03_NavidAPI_sf_fb_2-data'!$L15</f>
        <v>0.66839999999999999</v>
      </c>
      <c r="K16">
        <f>'[20]R03_GABM_NiyoushaAPI_sf_fb_2-da'!$J15/'[20]R03_GABM_NiyoushaAPI_sf_fb_2-da'!$L15</f>
        <v>0.78759999999999997</v>
      </c>
      <c r="L16">
        <f t="shared" si="0"/>
        <v>0.64676</v>
      </c>
    </row>
    <row r="17" spans="1:12" x14ac:dyDescent="0.35">
      <c r="A17">
        <v>14</v>
      </c>
      <c r="B17">
        <f>'[11]GABM_R03_NavidAPI_sf_fb-data'!$J16/'[11]GABM_R03_NavidAPI_sf_fb-data'!$L16</f>
        <v>0.48199999999999998</v>
      </c>
      <c r="C17">
        <f>'[12]GABM_R03_savannah_sf_fb-data'!$J16/'[12]GABM_R03_savannah_sf_fb-data'!$L16</f>
        <v>0.6028</v>
      </c>
      <c r="D17">
        <f>'[13]GABM_R03_MitchellAPI_sf_fb-data'!$J16/'[13]GABM_R03_MitchellAPI_sf_fb-data'!$L16</f>
        <v>0.6512</v>
      </c>
      <c r="E17">
        <v>1</v>
      </c>
      <c r="F17">
        <f>'[15]GABM_R03_Terry_sf_fb-data'!$J16/'[15]GABM_R03_Terry_sf_fb-data'!$L16</f>
        <v>0.44359999999999999</v>
      </c>
      <c r="G17">
        <f>'[16]R03_GABM_NiyoushaAPI_sf_fb-data'!$J16/'[16]R03_GABM_NiyoushaAPI_sf_fb-data'!$L16</f>
        <v>0.44400000000000001</v>
      </c>
      <c r="H17">
        <f>'[17]GABM_R03_SudipaAPI_sf_fb-data'!$J16/'[17]GABM_R03_SudipaAPI_sf_fb-data'!$L16</f>
        <v>0.50280000000000002</v>
      </c>
      <c r="I17">
        <f>'[18]GABM_R03_Terry_sf_fb_2-data'!$J16/'[18]GABM_R03_Terry_sf_fb_2-data'!$L16</f>
        <v>0.40200000000000002</v>
      </c>
      <c r="J17">
        <f>'[19]GABM_R03_NavidAPI_sf_fb_2-data'!$J16/'[19]GABM_R03_NavidAPI_sf_fb_2-data'!$L16</f>
        <v>0.59240000000000004</v>
      </c>
      <c r="K17">
        <f>'[20]R03_GABM_NiyoushaAPI_sf_fb_2-da'!$J16/'[20]R03_GABM_NiyoushaAPI_sf_fb_2-da'!$L16</f>
        <v>0.70960000000000001</v>
      </c>
      <c r="L17">
        <f t="shared" si="0"/>
        <v>0.58303999999999989</v>
      </c>
    </row>
    <row r="18" spans="1:12" x14ac:dyDescent="0.35">
      <c r="A18">
        <v>15</v>
      </c>
      <c r="B18">
        <f>'[11]GABM_R03_NavidAPI_sf_fb-data'!$J17/'[11]GABM_R03_NavidAPI_sf_fb-data'!$L17</f>
        <v>0.44800000000000001</v>
      </c>
      <c r="C18">
        <f>'[12]GABM_R03_savannah_sf_fb-data'!$J17/'[12]GABM_R03_savannah_sf_fb-data'!$L17</f>
        <v>0.52159999999999995</v>
      </c>
      <c r="D18">
        <f>'[13]GABM_R03_MitchellAPI_sf_fb-data'!$J17/'[13]GABM_R03_MitchellAPI_sf_fb-data'!$L17</f>
        <v>0.56999999999999995</v>
      </c>
      <c r="E18">
        <v>1</v>
      </c>
      <c r="F18">
        <f>'[15]GABM_R03_Terry_sf_fb-data'!$J17/'[15]GABM_R03_Terry_sf_fb-data'!$L17</f>
        <v>0.40279999999999999</v>
      </c>
      <c r="G18">
        <f>'[16]R03_GABM_NiyoushaAPI_sf_fb-data'!$J17/'[16]R03_GABM_NiyoushaAPI_sf_fb-data'!$L17</f>
        <v>0.36759999999999998</v>
      </c>
      <c r="H18">
        <f>'[17]GABM_R03_SudipaAPI_sf_fb-data'!$J17/'[17]GABM_R03_SudipaAPI_sf_fb-data'!$L17</f>
        <v>0.45400000000000001</v>
      </c>
      <c r="I18">
        <f>'[18]GABM_R03_Terry_sf_fb_2-data'!$J17/'[18]GABM_R03_Terry_sf_fb_2-data'!$L17</f>
        <v>0.39040000000000002</v>
      </c>
      <c r="J18">
        <f>'[19]GABM_R03_NavidAPI_sf_fb_2-data'!$J17/'[19]GABM_R03_NavidAPI_sf_fb_2-data'!$L17</f>
        <v>0.5</v>
      </c>
      <c r="K18">
        <f>'[20]R03_GABM_NiyoushaAPI_sf_fb_2-da'!$J17/'[20]R03_GABM_NiyoushaAPI_sf_fb_2-da'!$L17</f>
        <v>0.61639999999999995</v>
      </c>
      <c r="L18">
        <f t="shared" si="0"/>
        <v>0.52707999999999999</v>
      </c>
    </row>
    <row r="19" spans="1:12" x14ac:dyDescent="0.35">
      <c r="A19">
        <v>16</v>
      </c>
      <c r="B19">
        <f>'[11]GABM_R03_NavidAPI_sf_fb-data'!$J18/'[11]GABM_R03_NavidAPI_sf_fb-data'!$L18</f>
        <v>0.44640000000000002</v>
      </c>
      <c r="C19">
        <f>'[12]GABM_R03_savannah_sf_fb-data'!$J18/'[12]GABM_R03_savannah_sf_fb-data'!$L18</f>
        <v>0.45600000000000002</v>
      </c>
      <c r="D19">
        <f>'[13]GABM_R03_MitchellAPI_sf_fb-data'!$J18/'[13]GABM_R03_MitchellAPI_sf_fb-data'!$L18</f>
        <v>0.50719999999999998</v>
      </c>
      <c r="E19">
        <v>1</v>
      </c>
      <c r="F19">
        <f>'[15]GABM_R03_Terry_sf_fb-data'!$J18/'[15]GABM_R03_Terry_sf_fb-data'!$L18</f>
        <v>0.39240000000000003</v>
      </c>
      <c r="G19">
        <f>'[16]R03_GABM_NiyoushaAPI_sf_fb-data'!$J18/'[16]R03_GABM_NiyoushaAPI_sf_fb-data'!$L18</f>
        <v>0.36799999999999999</v>
      </c>
      <c r="H19">
        <f>'[17]GABM_R03_SudipaAPI_sf_fb-data'!$J18/'[17]GABM_R03_SudipaAPI_sf_fb-data'!$L18</f>
        <v>0.42959999999999998</v>
      </c>
      <c r="I19">
        <f>'[18]GABM_R03_Terry_sf_fb_2-data'!$J18/'[18]GABM_R03_Terry_sf_fb_2-data'!$L18</f>
        <v>0.42559999999999998</v>
      </c>
      <c r="J19">
        <f>'[19]GABM_R03_NavidAPI_sf_fb_2-data'!$J18/'[19]GABM_R03_NavidAPI_sf_fb_2-data'!$L18</f>
        <v>0.47160000000000002</v>
      </c>
      <c r="K19">
        <f>'[20]R03_GABM_NiyoushaAPI_sf_fb_2-da'!$J18/'[20]R03_GABM_NiyoushaAPI_sf_fb_2-da'!$L18</f>
        <v>0.51559999999999995</v>
      </c>
      <c r="L19">
        <f t="shared" si="0"/>
        <v>0.50124000000000002</v>
      </c>
    </row>
    <row r="20" spans="1:12" x14ac:dyDescent="0.35">
      <c r="A20">
        <v>17</v>
      </c>
      <c r="B20">
        <f>'[11]GABM_R03_NavidAPI_sf_fb-data'!$J19/'[11]GABM_R03_NavidAPI_sf_fb-data'!$L19</f>
        <v>0.49280000000000002</v>
      </c>
      <c r="C20">
        <f>'[12]GABM_R03_savannah_sf_fb-data'!$J19/'[12]GABM_R03_savannah_sf_fb-data'!$L19</f>
        <v>0.43640000000000001</v>
      </c>
      <c r="D20">
        <f>'[13]GABM_R03_MitchellAPI_sf_fb-data'!$J19/'[13]GABM_R03_MitchellAPI_sf_fb-data'!$L19</f>
        <v>0.46439999999999998</v>
      </c>
      <c r="E20">
        <v>1</v>
      </c>
      <c r="F20">
        <f>'[15]GABM_R03_Terry_sf_fb-data'!$J19/'[15]GABM_R03_Terry_sf_fb-data'!$L19</f>
        <v>0.47120000000000001</v>
      </c>
      <c r="G20">
        <f>'[16]R03_GABM_NiyoushaAPI_sf_fb-data'!$J19/'[16]R03_GABM_NiyoushaAPI_sf_fb-data'!$L19</f>
        <v>0.39040000000000002</v>
      </c>
      <c r="H20">
        <f>'[17]GABM_R03_SudipaAPI_sf_fb-data'!$J19/'[17]GABM_R03_SudipaAPI_sf_fb-data'!$L19</f>
        <v>0.436</v>
      </c>
      <c r="I20">
        <f>'[18]GABM_R03_Terry_sf_fb_2-data'!$J19/'[18]GABM_R03_Terry_sf_fb_2-data'!$L19</f>
        <v>0.48</v>
      </c>
      <c r="J20">
        <f>'[19]GABM_R03_NavidAPI_sf_fb_2-data'!$J19/'[19]GABM_R03_NavidAPI_sf_fb_2-data'!$L19</f>
        <v>0.45279999999999998</v>
      </c>
      <c r="K20">
        <f>'[20]R03_GABM_NiyoushaAPI_sf_fb_2-da'!$J19/'[20]R03_GABM_NiyoushaAPI_sf_fb_2-da'!$L19</f>
        <v>0.43359999999999999</v>
      </c>
      <c r="L20">
        <f t="shared" si="0"/>
        <v>0.5057600000000001</v>
      </c>
    </row>
    <row r="21" spans="1:12" x14ac:dyDescent="0.35">
      <c r="A21">
        <v>18</v>
      </c>
      <c r="B21">
        <f>'[11]GABM_R03_NavidAPI_sf_fb-data'!$J20/'[11]GABM_R03_NavidAPI_sf_fb-data'!$L20</f>
        <v>0.5504</v>
      </c>
      <c r="C21">
        <f>'[12]GABM_R03_savannah_sf_fb-data'!$J20/'[12]GABM_R03_savannah_sf_fb-data'!$L20</f>
        <v>0.4456</v>
      </c>
      <c r="D21">
        <f>'[13]GABM_R03_MitchellAPI_sf_fb-data'!$J20/'[13]GABM_R03_MitchellAPI_sf_fb-data'!$L20</f>
        <v>0.442</v>
      </c>
      <c r="E21">
        <v>1</v>
      </c>
      <c r="F21">
        <f>'[15]GABM_R03_Terry_sf_fb-data'!$J20/'[15]GABM_R03_Terry_sf_fb-data'!$L20</f>
        <v>0.55520000000000003</v>
      </c>
      <c r="G21">
        <f>'[16]R03_GABM_NiyoushaAPI_sf_fb-data'!$J20/'[16]R03_GABM_NiyoushaAPI_sf_fb-data'!$L20</f>
        <v>0.48880000000000001</v>
      </c>
      <c r="H21">
        <f>'[17]GABM_R03_SudipaAPI_sf_fb-data'!$J20/'[17]GABM_R03_SudipaAPI_sf_fb-data'!$L20</f>
        <v>0.48959999999999998</v>
      </c>
      <c r="I21">
        <f>'[18]GABM_R03_Terry_sf_fb_2-data'!$J20/'[18]GABM_R03_Terry_sf_fb_2-data'!$L20</f>
        <v>0.58479999999999999</v>
      </c>
      <c r="J21">
        <f>'[19]GABM_R03_NavidAPI_sf_fb_2-data'!$J20/'[19]GABM_R03_NavidAPI_sf_fb_2-data'!$L20</f>
        <v>0.47920000000000001</v>
      </c>
      <c r="K21">
        <f>'[20]R03_GABM_NiyoushaAPI_sf_fb_2-da'!$J20/'[20]R03_GABM_NiyoushaAPI_sf_fb_2-da'!$L20</f>
        <v>0.39600000000000002</v>
      </c>
      <c r="L21">
        <f t="shared" si="0"/>
        <v>0.54315999999999998</v>
      </c>
    </row>
    <row r="22" spans="1:12" x14ac:dyDescent="0.35">
      <c r="A22">
        <v>19</v>
      </c>
      <c r="B22">
        <f>'[11]GABM_R03_NavidAPI_sf_fb-data'!$J21/'[11]GABM_R03_NavidAPI_sf_fb-data'!$L21</f>
        <v>0.65439999999999998</v>
      </c>
      <c r="C22">
        <f>'[12]GABM_R03_savannah_sf_fb-data'!$J21/'[12]GABM_R03_savannah_sf_fb-data'!$L21</f>
        <v>0.49880000000000002</v>
      </c>
      <c r="D22">
        <f>'[13]GABM_R03_MitchellAPI_sf_fb-data'!$J21/'[13]GABM_R03_MitchellAPI_sf_fb-data'!$L21</f>
        <v>0.47720000000000001</v>
      </c>
      <c r="E22">
        <v>1</v>
      </c>
      <c r="F22">
        <f>'[15]GABM_R03_Terry_sf_fb-data'!$J21/'[15]GABM_R03_Terry_sf_fb-data'!$L21</f>
        <v>0.66920000000000002</v>
      </c>
      <c r="G22">
        <f>'[16]R03_GABM_NiyoushaAPI_sf_fb-data'!$J21/'[16]R03_GABM_NiyoushaAPI_sf_fb-data'!$L21</f>
        <v>0.62080000000000002</v>
      </c>
      <c r="H22">
        <f>'[17]GABM_R03_SudipaAPI_sf_fb-data'!$J21/'[17]GABM_R03_SudipaAPI_sf_fb-data'!$L21</f>
        <v>0.55879999999999996</v>
      </c>
      <c r="I22">
        <f>'[18]GABM_R03_Terry_sf_fb_2-data'!$J21/'[18]GABM_R03_Terry_sf_fb_2-data'!$L21</f>
        <v>0.70960000000000001</v>
      </c>
      <c r="J22">
        <f>'[19]GABM_R03_NavidAPI_sf_fb_2-data'!$J21/'[19]GABM_R03_NavidAPI_sf_fb_2-data'!$L21</f>
        <v>0.54200000000000004</v>
      </c>
      <c r="K22">
        <f>'[20]R03_GABM_NiyoushaAPI_sf_fb_2-da'!$J21/'[20]R03_GABM_NiyoushaAPI_sf_fb_2-da'!$L21</f>
        <v>0.41120000000000001</v>
      </c>
      <c r="L22">
        <f t="shared" si="0"/>
        <v>0.61419999999999997</v>
      </c>
    </row>
    <row r="23" spans="1:12" x14ac:dyDescent="0.35">
      <c r="A23">
        <v>20</v>
      </c>
      <c r="B23">
        <f>'[11]GABM_R03_NavidAPI_sf_fb-data'!$J22/'[11]GABM_R03_NavidAPI_sf_fb-data'!$L22</f>
        <v>0.74319999999999997</v>
      </c>
      <c r="C23">
        <f>'[12]GABM_R03_savannah_sf_fb-data'!$J22/'[12]GABM_R03_savannah_sf_fb-data'!$L22</f>
        <v>0.58520000000000005</v>
      </c>
      <c r="D23">
        <f>'[13]GABM_R03_MitchellAPI_sf_fb-data'!$J22/'[13]GABM_R03_MitchellAPI_sf_fb-data'!$L22</f>
        <v>0.54479999999999995</v>
      </c>
      <c r="E23">
        <v>1</v>
      </c>
      <c r="F23">
        <f>'[15]GABM_R03_Terry_sf_fb-data'!$J22/'[15]GABM_R03_Terry_sf_fb-data'!$L22</f>
        <v>0.78200000000000003</v>
      </c>
      <c r="G23">
        <f>'[16]R03_GABM_NiyoushaAPI_sf_fb-data'!$J22/'[16]R03_GABM_NiyoushaAPI_sf_fb-data'!$L22</f>
        <v>0.7268</v>
      </c>
      <c r="H23">
        <f>'[17]GABM_R03_SudipaAPI_sf_fb-data'!$J22/'[17]GABM_R03_SudipaAPI_sf_fb-data'!$L22</f>
        <v>0.67</v>
      </c>
      <c r="I23">
        <f>'[18]GABM_R03_Terry_sf_fb_2-data'!$J22/'[18]GABM_R03_Terry_sf_fb_2-data'!$L22</f>
        <v>0.81559999999999999</v>
      </c>
      <c r="J23">
        <f>'[19]GABM_R03_NavidAPI_sf_fb_2-data'!$J22/'[19]GABM_R03_NavidAPI_sf_fb_2-data'!$L22</f>
        <v>0.59279999999999999</v>
      </c>
      <c r="K23">
        <f>'[20]R03_GABM_NiyoushaAPI_sf_fb_2-da'!$J22/'[20]R03_GABM_NiyoushaAPI_sf_fb_2-da'!$L22</f>
        <v>0.4844</v>
      </c>
      <c r="L23">
        <f t="shared" si="0"/>
        <v>0.69447999999999999</v>
      </c>
    </row>
    <row r="24" spans="1:12" x14ac:dyDescent="0.35">
      <c r="A24">
        <v>21</v>
      </c>
      <c r="B24">
        <f>'[11]GABM_R03_NavidAPI_sf_fb-data'!$J23/'[11]GABM_R03_NavidAPI_sf_fb-data'!$L23</f>
        <v>0.82479999999999998</v>
      </c>
      <c r="C24">
        <f>'[12]GABM_R03_savannah_sf_fb-data'!$J23/'[12]GABM_R03_savannah_sf_fb-data'!$L23</f>
        <v>0.67479999999999996</v>
      </c>
      <c r="D24">
        <f>'[13]GABM_R03_MitchellAPI_sf_fb-data'!$J23/'[13]GABM_R03_MitchellAPI_sf_fb-data'!$L23</f>
        <v>0.63400000000000001</v>
      </c>
      <c r="E24">
        <v>1</v>
      </c>
      <c r="F24">
        <f>'[15]GABM_R03_Terry_sf_fb-data'!$J23/'[15]GABM_R03_Terry_sf_fb-data'!$L23</f>
        <v>0.83079999999999998</v>
      </c>
      <c r="G24">
        <f>'[16]R03_GABM_NiyoushaAPI_sf_fb-data'!$J23/'[16]R03_GABM_NiyoushaAPI_sf_fb-data'!$L23</f>
        <v>0.82679999999999998</v>
      </c>
      <c r="H24">
        <f>'[17]GABM_R03_SudipaAPI_sf_fb-data'!$J23/'[17]GABM_R03_SudipaAPI_sf_fb-data'!$L23</f>
        <v>0.77559999999999996</v>
      </c>
      <c r="I24">
        <f>'[18]GABM_R03_Terry_sf_fb_2-data'!$J23/'[18]GABM_R03_Terry_sf_fb_2-data'!$L23</f>
        <v>0.91</v>
      </c>
      <c r="J24">
        <f>'[19]GABM_R03_NavidAPI_sf_fb_2-data'!$J23/'[19]GABM_R03_NavidAPI_sf_fb_2-data'!$L23</f>
        <v>0.68479999999999996</v>
      </c>
      <c r="K24">
        <f>'[20]R03_GABM_NiyoushaAPI_sf_fb_2-da'!$J23/'[20]R03_GABM_NiyoushaAPI_sf_fb_2-da'!$L23</f>
        <v>0.57999999999999996</v>
      </c>
      <c r="L24">
        <f t="shared" si="0"/>
        <v>0.77415999999999996</v>
      </c>
    </row>
    <row r="25" spans="1:12" x14ac:dyDescent="0.35">
      <c r="A25">
        <v>22</v>
      </c>
      <c r="B25">
        <f>'[11]GABM_R03_NavidAPI_sf_fb-data'!$J24/'[11]GABM_R03_NavidAPI_sf_fb-data'!$L24</f>
        <v>0.89680000000000004</v>
      </c>
      <c r="C25">
        <f>'[12]GABM_R03_savannah_sf_fb-data'!$J24/'[12]GABM_R03_savannah_sf_fb-data'!$L24</f>
        <v>0.76119999999999999</v>
      </c>
      <c r="D25">
        <f>'[13]GABM_R03_MitchellAPI_sf_fb-data'!$J24/'[13]GABM_R03_MitchellAPI_sf_fb-data'!$L24</f>
        <v>0.72719999999999996</v>
      </c>
      <c r="E25">
        <v>1</v>
      </c>
      <c r="F25">
        <f>'[15]GABM_R03_Terry_sf_fb-data'!$J24/'[15]GABM_R03_Terry_sf_fb-data'!$L24</f>
        <v>0.89480000000000004</v>
      </c>
      <c r="G25">
        <f>'[16]R03_GABM_NiyoushaAPI_sf_fb-data'!$J24/'[16]R03_GABM_NiyoushaAPI_sf_fb-data'!$L24</f>
        <v>0.9052</v>
      </c>
      <c r="H25">
        <f>'[17]GABM_R03_SudipaAPI_sf_fb-data'!$J24/'[17]GABM_R03_SudipaAPI_sf_fb-data'!$L24</f>
        <v>0.85360000000000003</v>
      </c>
      <c r="I25">
        <f>'[18]GABM_R03_Terry_sf_fb_2-data'!$J24/'[18]GABM_R03_Terry_sf_fb_2-data'!$L24</f>
        <v>0.95920000000000005</v>
      </c>
      <c r="J25">
        <f>'[19]GABM_R03_NavidAPI_sf_fb_2-data'!$J24/'[19]GABM_R03_NavidAPI_sf_fb_2-data'!$L24</f>
        <v>0.77080000000000004</v>
      </c>
      <c r="K25">
        <f>'[20]R03_GABM_NiyoushaAPI_sf_fb_2-da'!$J24/'[20]R03_GABM_NiyoushaAPI_sf_fb_2-da'!$L24</f>
        <v>0.7</v>
      </c>
      <c r="L25">
        <f t="shared" si="0"/>
        <v>0.84687999999999997</v>
      </c>
    </row>
    <row r="26" spans="1:12" x14ac:dyDescent="0.35">
      <c r="A26">
        <v>23</v>
      </c>
      <c r="B26">
        <f>'[11]GABM_R03_NavidAPI_sf_fb-data'!$J25/'[11]GABM_R03_NavidAPI_sf_fb-data'!$L25</f>
        <v>0.93320000000000003</v>
      </c>
      <c r="C26">
        <f>'[12]GABM_R03_savannah_sf_fb-data'!$J25/'[12]GABM_R03_savannah_sf_fb-data'!$L25</f>
        <v>0.85719999999999996</v>
      </c>
      <c r="D26">
        <f>'[13]GABM_R03_MitchellAPI_sf_fb-data'!$J25/'[13]GABM_R03_MitchellAPI_sf_fb-data'!$L25</f>
        <v>0.80800000000000005</v>
      </c>
      <c r="E26">
        <v>1</v>
      </c>
      <c r="F26">
        <f>'[15]GABM_R03_Terry_sf_fb-data'!$J25/'[15]GABM_R03_Terry_sf_fb-data'!$L25</f>
        <v>0.92120000000000002</v>
      </c>
      <c r="G26">
        <f>'[16]R03_GABM_NiyoushaAPI_sf_fb-data'!$J25/'[16]R03_GABM_NiyoushaAPI_sf_fb-data'!$L25</f>
        <v>0.94720000000000004</v>
      </c>
      <c r="H26">
        <f>'[17]GABM_R03_SudipaAPI_sf_fb-data'!$J25/'[17]GABM_R03_SudipaAPI_sf_fb-data'!$L25</f>
        <v>0.91439999999999999</v>
      </c>
      <c r="I26">
        <f>'[18]GABM_R03_Terry_sf_fb_2-data'!$J25/'[18]GABM_R03_Terry_sf_fb_2-data'!$L25</f>
        <v>0.97199999999999998</v>
      </c>
      <c r="J26">
        <f>'[19]GABM_R03_NavidAPI_sf_fb_2-data'!$J25/'[19]GABM_R03_NavidAPI_sf_fb_2-data'!$L25</f>
        <v>0.85119999999999996</v>
      </c>
      <c r="K26">
        <f>'[20]R03_GABM_NiyoushaAPI_sf_fb_2-da'!$J25/'[20]R03_GABM_NiyoushaAPI_sf_fb_2-da'!$L25</f>
        <v>0.80559999999999998</v>
      </c>
      <c r="L26">
        <f t="shared" si="0"/>
        <v>0.90100000000000002</v>
      </c>
    </row>
    <row r="27" spans="1:12" x14ac:dyDescent="0.35">
      <c r="A27">
        <v>24</v>
      </c>
      <c r="B27">
        <f>'[11]GABM_R03_NavidAPI_sf_fb-data'!$J26/'[11]GABM_R03_NavidAPI_sf_fb-data'!$L26</f>
        <v>0.96160000000000001</v>
      </c>
      <c r="C27">
        <f>'[12]GABM_R03_savannah_sf_fb-data'!$J26/'[12]GABM_R03_savannah_sf_fb-data'!$L26</f>
        <v>0.91279999999999994</v>
      </c>
      <c r="D27">
        <f>'[13]GABM_R03_MitchellAPI_sf_fb-data'!$J26/'[13]GABM_R03_MitchellAPI_sf_fb-data'!$L26</f>
        <v>0.86480000000000001</v>
      </c>
      <c r="E27">
        <v>1</v>
      </c>
      <c r="F27">
        <f>'[15]GABM_R03_Terry_sf_fb-data'!$J26/'[15]GABM_R03_Terry_sf_fb-data'!$L26</f>
        <v>0.94479999999999997</v>
      </c>
      <c r="G27">
        <f>'[16]R03_GABM_NiyoushaAPI_sf_fb-data'!$J26/'[16]R03_GABM_NiyoushaAPI_sf_fb-data'!$L26</f>
        <v>0.97560000000000002</v>
      </c>
      <c r="H27">
        <f>'[17]GABM_R03_SudipaAPI_sf_fb-data'!$J26/'[17]GABM_R03_SudipaAPI_sf_fb-data'!$L26</f>
        <v>0.94159999999999999</v>
      </c>
      <c r="I27">
        <f>'[18]GABM_R03_Terry_sf_fb_2-data'!$J26/'[18]GABM_R03_Terry_sf_fb_2-data'!$L26</f>
        <v>0.98360000000000003</v>
      </c>
      <c r="J27">
        <f>'[19]GABM_R03_NavidAPI_sf_fb_2-data'!$J26/'[19]GABM_R03_NavidAPI_sf_fb_2-data'!$L26</f>
        <v>0.91800000000000004</v>
      </c>
      <c r="K27">
        <f>'[20]R03_GABM_NiyoushaAPI_sf_fb_2-da'!$J26/'[20]R03_GABM_NiyoushaAPI_sf_fb_2-da'!$L26</f>
        <v>0.88080000000000003</v>
      </c>
      <c r="L27">
        <f t="shared" si="0"/>
        <v>0.93836000000000008</v>
      </c>
    </row>
    <row r="28" spans="1:12" x14ac:dyDescent="0.35">
      <c r="A28">
        <v>25</v>
      </c>
      <c r="B28">
        <f>'[11]GABM_R03_NavidAPI_sf_fb-data'!$J27/'[11]GABM_R03_NavidAPI_sf_fb-data'!$L27</f>
        <v>0.9788</v>
      </c>
      <c r="C28">
        <f>'[12]GABM_R03_savannah_sf_fb-data'!$J27/'[12]GABM_R03_savannah_sf_fb-data'!$L27</f>
        <v>0.94520000000000004</v>
      </c>
      <c r="D28">
        <f>'[13]GABM_R03_MitchellAPI_sf_fb-data'!$J27/'[13]GABM_R03_MitchellAPI_sf_fb-data'!$L27</f>
        <v>0.91600000000000004</v>
      </c>
      <c r="E28">
        <v>1</v>
      </c>
      <c r="F28">
        <f>'[15]GABM_R03_Terry_sf_fb-data'!$J27/'[15]GABM_R03_Terry_sf_fb-data'!$L27</f>
        <v>0.96399999999999997</v>
      </c>
      <c r="G28">
        <f>'[16]R03_GABM_NiyoushaAPI_sf_fb-data'!$J27/'[16]R03_GABM_NiyoushaAPI_sf_fb-data'!$L27</f>
        <v>0.99080000000000001</v>
      </c>
      <c r="H28">
        <f>'[17]GABM_R03_SudipaAPI_sf_fb-data'!$J27/'[17]GABM_R03_SudipaAPI_sf_fb-data'!$L27</f>
        <v>0.95760000000000001</v>
      </c>
      <c r="I28">
        <f>'[18]GABM_R03_Terry_sf_fb_2-data'!$J27/'[18]GABM_R03_Terry_sf_fb_2-data'!$L27</f>
        <v>0.98519999999999996</v>
      </c>
      <c r="J28">
        <f>'[19]GABM_R03_NavidAPI_sf_fb_2-data'!$J27/'[19]GABM_R03_NavidAPI_sf_fb_2-data'!$L27</f>
        <v>0.95440000000000003</v>
      </c>
      <c r="K28">
        <f>'[20]R03_GABM_NiyoushaAPI_sf_fb_2-da'!$J27/'[20]R03_GABM_NiyoushaAPI_sf_fb_2-da'!$L27</f>
        <v>0.93240000000000001</v>
      </c>
      <c r="L28">
        <f t="shared" si="0"/>
        <v>0.96243999999999996</v>
      </c>
    </row>
    <row r="29" spans="1:12" x14ac:dyDescent="0.35">
      <c r="A29">
        <v>26</v>
      </c>
      <c r="B29">
        <f>'[11]GABM_R03_NavidAPI_sf_fb-data'!$J28/'[11]GABM_R03_NavidAPI_sf_fb-data'!$L28</f>
        <v>0.98919999999999997</v>
      </c>
      <c r="C29">
        <f>'[12]GABM_R03_savannah_sf_fb-data'!$J28/'[12]GABM_R03_savannah_sf_fb-data'!$L28</f>
        <v>0.96960000000000002</v>
      </c>
      <c r="D29">
        <f>'[13]GABM_R03_MitchellAPI_sf_fb-data'!$J28/'[13]GABM_R03_MitchellAPI_sf_fb-data'!$L28</f>
        <v>0.94240000000000002</v>
      </c>
      <c r="E29">
        <v>1</v>
      </c>
      <c r="F29">
        <f>'[15]GABM_R03_Terry_sf_fb-data'!$J28/'[15]GABM_R03_Terry_sf_fb-data'!$L28</f>
        <v>0.97640000000000005</v>
      </c>
      <c r="G29">
        <f>'[16]R03_GABM_NiyoushaAPI_sf_fb-data'!$J28/'[16]R03_GABM_NiyoushaAPI_sf_fb-data'!$L28</f>
        <v>0.996</v>
      </c>
      <c r="H29">
        <f>'[17]GABM_R03_SudipaAPI_sf_fb-data'!$J28/'[17]GABM_R03_SudipaAPI_sf_fb-data'!$L28</f>
        <v>0.97440000000000004</v>
      </c>
      <c r="I29">
        <f>'[18]GABM_R03_Terry_sf_fb_2-data'!$J28/'[18]GABM_R03_Terry_sf_fb_2-data'!$L28</f>
        <v>0.99360000000000004</v>
      </c>
      <c r="J29">
        <f>'[19]GABM_R03_NavidAPI_sf_fb_2-data'!$J28/'[19]GABM_R03_NavidAPI_sf_fb_2-data'!$L28</f>
        <v>0.98480000000000001</v>
      </c>
      <c r="K29">
        <f>'[20]R03_GABM_NiyoushaAPI_sf_fb_2-da'!$J28/'[20]R03_GABM_NiyoushaAPI_sf_fb_2-da'!$L28</f>
        <v>0.95040000000000002</v>
      </c>
      <c r="L29">
        <f t="shared" si="0"/>
        <v>0.97767999999999999</v>
      </c>
    </row>
    <row r="30" spans="1:12" x14ac:dyDescent="0.35">
      <c r="A30">
        <v>27</v>
      </c>
      <c r="B30">
        <f>'[11]GABM_R03_NavidAPI_sf_fb-data'!$J29/'[11]GABM_R03_NavidAPI_sf_fb-data'!$L29</f>
        <v>0.99360000000000004</v>
      </c>
      <c r="C30">
        <f>'[12]GABM_R03_savannah_sf_fb-data'!$J29/'[12]GABM_R03_savannah_sf_fb-data'!$L29</f>
        <v>0.98280000000000001</v>
      </c>
      <c r="D30">
        <f>'[13]GABM_R03_MitchellAPI_sf_fb-data'!$J29/'[13]GABM_R03_MitchellAPI_sf_fb-data'!$L29</f>
        <v>0.95799999999999996</v>
      </c>
      <c r="E30">
        <v>1</v>
      </c>
      <c r="F30">
        <f>'[15]GABM_R03_Terry_sf_fb-data'!$J29/'[15]GABM_R03_Terry_sf_fb-data'!$L29</f>
        <v>0.98599999999999999</v>
      </c>
      <c r="G30">
        <v>1</v>
      </c>
      <c r="H30">
        <f>'[17]GABM_R03_SudipaAPI_sf_fb-data'!$J29/'[17]GABM_R03_SudipaAPI_sf_fb-data'!$L29</f>
        <v>0.98319999999999996</v>
      </c>
      <c r="I30">
        <f>'[18]GABM_R03_Terry_sf_fb_2-data'!$J29/'[18]GABM_R03_Terry_sf_fb_2-data'!$L29</f>
        <v>0.99</v>
      </c>
      <c r="J30">
        <f>'[19]GABM_R03_NavidAPI_sf_fb_2-data'!$J29/'[19]GABM_R03_NavidAPI_sf_fb_2-data'!$L29</f>
        <v>0.99399999999999999</v>
      </c>
      <c r="K30">
        <f>'[20]R03_GABM_NiyoushaAPI_sf_fb_2-da'!$J29/'[20]R03_GABM_NiyoushaAPI_sf_fb_2-da'!$L29</f>
        <v>0.96240000000000003</v>
      </c>
      <c r="L30">
        <f t="shared" si="0"/>
        <v>0.9850000000000001</v>
      </c>
    </row>
    <row r="31" spans="1:12" x14ac:dyDescent="0.35">
      <c r="A31">
        <v>28</v>
      </c>
      <c r="B31">
        <f>'[11]GABM_R03_NavidAPI_sf_fb-data'!$J30/'[11]GABM_R03_NavidAPI_sf_fb-data'!$L30</f>
        <v>0.99360000000000004</v>
      </c>
      <c r="C31">
        <f>'[12]GABM_R03_savannah_sf_fb-data'!$J30/'[12]GABM_R03_savannah_sf_fb-data'!$L30</f>
        <v>0.98560000000000003</v>
      </c>
      <c r="D31">
        <f>'[13]GABM_R03_MitchellAPI_sf_fb-data'!$J30/'[13]GABM_R03_MitchellAPI_sf_fb-data'!$L30</f>
        <v>0.97960000000000003</v>
      </c>
      <c r="E31">
        <v>1</v>
      </c>
      <c r="F31">
        <f>'[15]GABM_R03_Terry_sf_fb-data'!$J30/'[15]GABM_R03_Terry_sf_fb-data'!$L30</f>
        <v>0.99319999999999997</v>
      </c>
      <c r="G31">
        <v>1</v>
      </c>
      <c r="H31">
        <f>'[17]GABM_R03_SudipaAPI_sf_fb-data'!$J30/'[17]GABM_R03_SudipaAPI_sf_fb-data'!$L30</f>
        <v>0.98360000000000003</v>
      </c>
      <c r="I31">
        <f>'[18]GABM_R03_Terry_sf_fb_2-data'!$J30/'[18]GABM_R03_Terry_sf_fb_2-data'!$L30</f>
        <v>0.99360000000000004</v>
      </c>
      <c r="J31">
        <f>'[19]GABM_R03_NavidAPI_sf_fb_2-data'!$J30/'[19]GABM_R03_NavidAPI_sf_fb_2-data'!$L30</f>
        <v>0.99719999999999998</v>
      </c>
      <c r="K31">
        <f>'[20]R03_GABM_NiyoushaAPI_sf_fb_2-da'!$J30/'[20]R03_GABM_NiyoushaAPI_sf_fb_2-da'!$L30</f>
        <v>0.97960000000000003</v>
      </c>
      <c r="L31">
        <f t="shared" si="0"/>
        <v>0.99059999999999993</v>
      </c>
    </row>
    <row r="32" spans="1:12" x14ac:dyDescent="0.35">
      <c r="A32">
        <v>29</v>
      </c>
      <c r="B32">
        <f>'[11]GABM_R03_NavidAPI_sf_fb-data'!$J31/'[11]GABM_R03_NavidAPI_sf_fb-data'!$L31</f>
        <v>0.99239999999999995</v>
      </c>
      <c r="C32">
        <f>'[12]GABM_R03_savannah_sf_fb-data'!$J31/'[12]GABM_R03_savannah_sf_fb-data'!$L31</f>
        <v>0.99760000000000004</v>
      </c>
      <c r="D32">
        <f>'[13]GABM_R03_MitchellAPI_sf_fb-data'!$J31/'[13]GABM_R03_MitchellAPI_sf_fb-data'!$L31</f>
        <v>0.98760000000000003</v>
      </c>
      <c r="E32">
        <v>1</v>
      </c>
      <c r="F32">
        <f>'[15]GABM_R03_Terry_sf_fb-data'!$J31/'[15]GABM_R03_Terry_sf_fb-data'!$L31</f>
        <v>0.99719999999999998</v>
      </c>
      <c r="G32">
        <v>1</v>
      </c>
      <c r="H32">
        <f>'[17]GABM_R03_SudipaAPI_sf_fb-data'!$J31/'[17]GABM_R03_SudipaAPI_sf_fb-data'!$L31</f>
        <v>0.99080000000000001</v>
      </c>
      <c r="I32">
        <f>'[18]GABM_R03_Terry_sf_fb_2-data'!$J31/'[18]GABM_R03_Terry_sf_fb_2-data'!$L31</f>
        <v>0.99360000000000004</v>
      </c>
      <c r="J32">
        <v>1</v>
      </c>
      <c r="K32">
        <f>'[20]R03_GABM_NiyoushaAPI_sf_fb_2-da'!$J31/'[20]R03_GABM_NiyoushaAPI_sf_fb_2-da'!$L31</f>
        <v>0.98880000000000001</v>
      </c>
      <c r="L32">
        <f t="shared" si="0"/>
        <v>0.99479999999999991</v>
      </c>
    </row>
    <row r="33" spans="1:12" x14ac:dyDescent="0.35">
      <c r="A33">
        <v>30</v>
      </c>
      <c r="B33">
        <f>'[11]GABM_R03_NavidAPI_sf_fb-data'!$J32/'[11]GABM_R03_NavidAPI_sf_fb-data'!$L32</f>
        <v>0.99280000000000002</v>
      </c>
      <c r="C33">
        <v>1</v>
      </c>
      <c r="D33">
        <f>'[13]GABM_R03_MitchellAPI_sf_fb-data'!$J32/'[13]GABM_R03_MitchellAPI_sf_fb-data'!$L32</f>
        <v>0.99360000000000004</v>
      </c>
      <c r="E33">
        <v>1</v>
      </c>
      <c r="F33">
        <f>'[15]GABM_R03_Terry_sf_fb-data'!$J32/'[15]GABM_R03_Terry_sf_fb-data'!$L32</f>
        <v>0.99839999999999995</v>
      </c>
      <c r="G33">
        <v>1</v>
      </c>
      <c r="H33">
        <f>'[17]GABM_R03_SudipaAPI_sf_fb-data'!$J32/'[17]GABM_R03_SudipaAPI_sf_fb-data'!$L32</f>
        <v>0.99399999999999999</v>
      </c>
      <c r="I33">
        <f>'[18]GABM_R03_Terry_sf_fb_2-data'!$J32/'[18]GABM_R03_Terry_sf_fb_2-data'!$L32</f>
        <v>0.99680000000000002</v>
      </c>
      <c r="J33">
        <v>1</v>
      </c>
      <c r="K33">
        <f>'[20]R03_GABM_NiyoushaAPI_sf_fb_2-da'!$J32/'[20]R03_GABM_NiyoushaAPI_sf_fb_2-da'!$L32</f>
        <v>0.99280000000000002</v>
      </c>
      <c r="L33">
        <f t="shared" si="0"/>
        <v>0.99684000000000006</v>
      </c>
    </row>
    <row r="34" spans="1:12" x14ac:dyDescent="0.35">
      <c r="A34">
        <v>31</v>
      </c>
      <c r="B34">
        <f>'[11]GABM_R03_NavidAPI_sf_fb-data'!$J33/'[11]GABM_R03_NavidAPI_sf_fb-data'!$L33</f>
        <v>0.99880000000000002</v>
      </c>
      <c r="C34">
        <v>1</v>
      </c>
      <c r="D34">
        <f>'[13]GABM_R03_MitchellAPI_sf_fb-data'!$J33/'[13]GABM_R03_MitchellAPI_sf_fb-data'!$L33</f>
        <v>0.99639999999999995</v>
      </c>
      <c r="E34">
        <v>1</v>
      </c>
      <c r="F34">
        <v>1</v>
      </c>
      <c r="G34">
        <v>1</v>
      </c>
      <c r="H34">
        <f>'[17]GABM_R03_SudipaAPI_sf_fb-data'!$J33/'[17]GABM_R03_SudipaAPI_sf_fb-data'!$L33</f>
        <v>0.996</v>
      </c>
      <c r="I34">
        <f>'[18]GABM_R03_Terry_sf_fb_2-data'!$J33/'[18]GABM_R03_Terry_sf_fb_2-data'!$L33</f>
        <v>0.99719999999999998</v>
      </c>
      <c r="J34">
        <v>1</v>
      </c>
      <c r="K34">
        <f>'[20]R03_GABM_NiyoushaAPI_sf_fb_2-da'!$J33/'[20]R03_GABM_NiyoushaAPI_sf_fb_2-da'!$L33</f>
        <v>0.99399999999999999</v>
      </c>
      <c r="L34">
        <f t="shared" si="0"/>
        <v>0.99824000000000024</v>
      </c>
    </row>
    <row r="35" spans="1:12" x14ac:dyDescent="0.35">
      <c r="A35">
        <v>32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f>'[17]GABM_R03_SudipaAPI_sf_fb-data'!$J34/'[17]GABM_R03_SudipaAPI_sf_fb-data'!$L34</f>
        <v>0.998</v>
      </c>
      <c r="I35">
        <f>'[18]GABM_R03_Terry_sf_fb_2-data'!$J34/'[18]GABM_R03_Terry_sf_fb_2-data'!$L34</f>
        <v>0.99760000000000004</v>
      </c>
      <c r="J35">
        <v>1</v>
      </c>
      <c r="K35">
        <f>'[20]R03_GABM_NiyoushaAPI_sf_fb_2-da'!$J34/'[20]R03_GABM_NiyoushaAPI_sf_fb_2-da'!$L34</f>
        <v>0.99519999999999997</v>
      </c>
      <c r="L35">
        <f t="shared" si="0"/>
        <v>0.99907999999999997</v>
      </c>
    </row>
    <row r="36" spans="1:12" x14ac:dyDescent="0.35">
      <c r="A36">
        <v>33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f>'[17]GABM_R03_SudipaAPI_sf_fb-data'!$J35/'[17]GABM_R03_SudipaAPI_sf_fb-data'!$L35</f>
        <v>0.99839999999999995</v>
      </c>
      <c r="I36">
        <v>1</v>
      </c>
      <c r="J36">
        <v>1</v>
      </c>
      <c r="K36">
        <f>'[20]R03_GABM_NiyoushaAPI_sf_fb_2-da'!$J35/'[20]R03_GABM_NiyoushaAPI_sf_fb_2-da'!$L35</f>
        <v>0.99760000000000004</v>
      </c>
      <c r="L36">
        <f t="shared" si="0"/>
        <v>0.99960000000000004</v>
      </c>
    </row>
    <row r="37" spans="1:12" x14ac:dyDescent="0.35">
      <c r="A37">
        <v>34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f>'[20]R03_GABM_NiyoushaAPI_sf_fb_2-da'!$J36/'[20]R03_GABM_NiyoushaAPI_sf_fb_2-da'!$L36</f>
        <v>0.998</v>
      </c>
      <c r="L37">
        <f t="shared" si="0"/>
        <v>0.99979999999999991</v>
      </c>
    </row>
  </sheetData>
  <mergeCells count="2">
    <mergeCell ref="A1:L1"/>
    <mergeCell ref="O12:Z1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6753B-F8D1-453B-B066-5FBC64CDFBB0}">
  <dimension ref="A1:L200"/>
  <sheetViews>
    <sheetView topLeftCell="A70" workbookViewId="0">
      <selection activeCell="F88" sqref="F4:F88"/>
    </sheetView>
  </sheetViews>
  <sheetFormatPr defaultRowHeight="14.5" x14ac:dyDescent="0.35"/>
  <sheetData>
    <row r="1" spans="1:12" x14ac:dyDescent="0.35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5">
      <c r="A2" t="s">
        <v>10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12</v>
      </c>
    </row>
    <row r="3" spans="1:12" x14ac:dyDescent="0.3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f t="shared" ref="L3:L67" si="0">AVERAGE(B3:K3)</f>
        <v>1</v>
      </c>
    </row>
    <row r="4" spans="1:12" x14ac:dyDescent="0.35">
      <c r="A4">
        <v>1</v>
      </c>
      <c r="B4">
        <f>'[21]R03_GABM-data'!$J3/'[21]R03_GABM-data'!$L3</f>
        <v>0.99639999999999995</v>
      </c>
      <c r="C4">
        <f>'[22]GABM_R03_RossAPI-data'!$J3/'[22]GABM_R03_RossAPI-data'!$L3</f>
        <v>0.99280000000000002</v>
      </c>
      <c r="D4">
        <f>'[23]GABM_R03_RandiAPI-data'!$J3/'[23]GABM_R03_RandiAPI-data'!$L3</f>
        <v>0.99039999999999995</v>
      </c>
      <c r="E4">
        <f>'[24]GABM_R03_NavidAPI-data'!$J3/'[24]GABM_R03_NavidAPI-data'!$L3</f>
        <v>0.99560000000000004</v>
      </c>
      <c r="F4">
        <f>'[25]GABM_R03_Terry-data'!$J3/'[25]GABM_R03_Terry-data'!$L3</f>
        <v>0.99360000000000004</v>
      </c>
      <c r="G4">
        <f>'[26]GABM_R03_SarahAPI-data'!$J3/'[26]GABM_R03_SarahAPI-data'!$L3</f>
        <v>0.99319999999999997</v>
      </c>
      <c r="H4">
        <f>'[27]GABM_R03_savannah-data'!$J3/'[27]GABM_R03_savannah-data'!$L3</f>
        <v>0.98960000000000004</v>
      </c>
      <c r="I4">
        <f>'[28]GABM_R03_MitchellAPI-data'!$J3/'[28]GABM_R03_MitchellAPI-data'!$L3</f>
        <v>0.99760000000000004</v>
      </c>
      <c r="J4">
        <f>'[29]GABM_R03_SudipaAPI-data'!$J3/'[29]GABM_R03_SudipaAPI-data'!$L3</f>
        <v>0.99280000000000002</v>
      </c>
      <c r="K4">
        <f>'[30]R03_GABM_run2-data'!$J3/'[30]R03_GABM_run2-data'!$L3</f>
        <v>0.99560000000000004</v>
      </c>
      <c r="L4">
        <f t="shared" si="0"/>
        <v>0.99375999999999998</v>
      </c>
    </row>
    <row r="5" spans="1:12" x14ac:dyDescent="0.35">
      <c r="A5">
        <v>2</v>
      </c>
      <c r="B5">
        <f>'[21]R03_GABM-data'!$J4/'[21]R03_GABM-data'!$L4</f>
        <v>0.99519999999999997</v>
      </c>
      <c r="C5">
        <f>'[22]GABM_R03_RossAPI-data'!$J4/'[22]GABM_R03_RossAPI-data'!$L4</f>
        <v>0.99199999999999999</v>
      </c>
      <c r="D5">
        <f>'[23]GABM_R03_RandiAPI-data'!$J4/'[23]GABM_R03_RandiAPI-data'!$L4</f>
        <v>0.98919999999999997</v>
      </c>
      <c r="E5">
        <f>'[24]GABM_R03_NavidAPI-data'!$J4/'[24]GABM_R03_NavidAPI-data'!$L4</f>
        <v>0.99760000000000004</v>
      </c>
      <c r="F5">
        <f>'[25]GABM_R03_Terry-data'!$J4/'[25]GABM_R03_Terry-data'!$L4</f>
        <v>0.99560000000000004</v>
      </c>
      <c r="G5">
        <f>'[26]GABM_R03_SarahAPI-data'!$J4/'[26]GABM_R03_SarahAPI-data'!$L4</f>
        <v>0.99399999999999999</v>
      </c>
      <c r="H5">
        <f>'[27]GABM_R03_savannah-data'!$J4/'[27]GABM_R03_savannah-data'!$L4</f>
        <v>0.99280000000000002</v>
      </c>
      <c r="I5">
        <f>'[28]GABM_R03_MitchellAPI-data'!$J4/'[28]GABM_R03_MitchellAPI-data'!$L4</f>
        <v>0.99560000000000004</v>
      </c>
      <c r="J5">
        <f>'[29]GABM_R03_SudipaAPI-data'!$J4/'[29]GABM_R03_SudipaAPI-data'!$L4</f>
        <v>0.99480000000000002</v>
      </c>
      <c r="K5">
        <f>'[30]R03_GABM_run2-data'!$J4/'[30]R03_GABM_run2-data'!$L4</f>
        <v>0.99680000000000002</v>
      </c>
      <c r="L5">
        <f t="shared" si="0"/>
        <v>0.99436000000000002</v>
      </c>
    </row>
    <row r="6" spans="1:12" x14ac:dyDescent="0.35">
      <c r="A6">
        <v>3</v>
      </c>
      <c r="B6">
        <f>'[21]R03_GABM-data'!$J5/'[21]R03_GABM-data'!$L5</f>
        <v>0.998</v>
      </c>
      <c r="C6">
        <f>'[22]GABM_R03_RossAPI-data'!$J5/'[22]GABM_R03_RossAPI-data'!$L5</f>
        <v>0.996</v>
      </c>
      <c r="D6">
        <f>'[23]GABM_R03_RandiAPI-data'!$J5/'[23]GABM_R03_RandiAPI-data'!$L5</f>
        <v>0.98880000000000001</v>
      </c>
      <c r="E6">
        <f>'[24]GABM_R03_NavidAPI-data'!$J5/'[24]GABM_R03_NavidAPI-data'!$L5</f>
        <v>0.99639999999999995</v>
      </c>
      <c r="F6">
        <f>'[25]GABM_R03_Terry-data'!$J5/'[25]GABM_R03_Terry-data'!$L5</f>
        <v>0.99199999999999999</v>
      </c>
      <c r="G6">
        <f>'[26]GABM_R03_SarahAPI-data'!$J5/'[26]GABM_R03_SarahAPI-data'!$L5</f>
        <v>0.99399999999999999</v>
      </c>
      <c r="H6">
        <f>'[27]GABM_R03_savannah-data'!$J5/'[27]GABM_R03_savannah-data'!$L5</f>
        <v>0.99160000000000004</v>
      </c>
      <c r="I6">
        <f>'[28]GABM_R03_MitchellAPI-data'!$J5/'[28]GABM_R03_MitchellAPI-data'!$L5</f>
        <v>0.99680000000000002</v>
      </c>
      <c r="J6">
        <f>'[29]GABM_R03_SudipaAPI-data'!$J5/'[29]GABM_R03_SudipaAPI-data'!$L5</f>
        <v>0.99080000000000001</v>
      </c>
      <c r="K6">
        <f>'[30]R03_GABM_run2-data'!$J5/'[30]R03_GABM_run2-data'!$L5</f>
        <v>0.99760000000000004</v>
      </c>
      <c r="L6">
        <f t="shared" si="0"/>
        <v>0.99419999999999997</v>
      </c>
    </row>
    <row r="7" spans="1:12" x14ac:dyDescent="0.35">
      <c r="A7">
        <v>4</v>
      </c>
      <c r="B7">
        <f>'[21]R03_GABM-data'!$J6/'[21]R03_GABM-data'!$L6</f>
        <v>0.61</v>
      </c>
      <c r="C7">
        <f>'[22]GABM_R03_RossAPI-data'!$J6/'[22]GABM_R03_RossAPI-data'!$L6</f>
        <v>0.63360000000000005</v>
      </c>
      <c r="D7">
        <f>'[23]GABM_R03_RandiAPI-data'!$J6/'[23]GABM_R03_RandiAPI-data'!$L6</f>
        <v>0.60199999999999998</v>
      </c>
      <c r="E7">
        <f>'[24]GABM_R03_NavidAPI-data'!$J6/'[24]GABM_R03_NavidAPI-data'!$L6</f>
        <v>0.62519999999999998</v>
      </c>
      <c r="F7">
        <f>'[25]GABM_R03_Terry-data'!$J6/'[25]GABM_R03_Terry-data'!$L6</f>
        <v>0.622</v>
      </c>
      <c r="G7">
        <f>'[26]GABM_R03_SarahAPI-data'!$J6/'[26]GABM_R03_SarahAPI-data'!$L6</f>
        <v>0.63119999999999998</v>
      </c>
      <c r="H7">
        <f>'[27]GABM_R03_savannah-data'!$J6/'[27]GABM_R03_savannah-data'!$L6</f>
        <v>0.60319999999999996</v>
      </c>
      <c r="I7">
        <f>'[28]GABM_R03_MitchellAPI-data'!$J6/'[28]GABM_R03_MitchellAPI-data'!$L6</f>
        <v>0.61399999999999999</v>
      </c>
      <c r="J7">
        <f>'[29]GABM_R03_SudipaAPI-data'!$J6/'[29]GABM_R03_SudipaAPI-data'!$L6</f>
        <v>0.61280000000000001</v>
      </c>
      <c r="K7">
        <f>'[30]R03_GABM_run2-data'!$J6/'[30]R03_GABM_run2-data'!$L6</f>
        <v>0.62239999999999995</v>
      </c>
      <c r="L7">
        <f t="shared" si="0"/>
        <v>0.61763999999999997</v>
      </c>
    </row>
    <row r="8" spans="1:12" x14ac:dyDescent="0.35">
      <c r="A8">
        <v>5</v>
      </c>
      <c r="B8">
        <f>'[21]R03_GABM-data'!$J7/'[21]R03_GABM-data'!$L7</f>
        <v>0.59519999999999995</v>
      </c>
      <c r="C8">
        <f>'[22]GABM_R03_RossAPI-data'!$J7/'[22]GABM_R03_RossAPI-data'!$L7</f>
        <v>0.64959999999999996</v>
      </c>
      <c r="D8">
        <f>'[23]GABM_R03_RandiAPI-data'!$J7/'[23]GABM_R03_RandiAPI-data'!$L7</f>
        <v>0.61599999999999999</v>
      </c>
      <c r="E8">
        <f>'[24]GABM_R03_NavidAPI-data'!$J7/'[24]GABM_R03_NavidAPI-data'!$L7</f>
        <v>0.98960000000000004</v>
      </c>
      <c r="F8">
        <f>'[25]GABM_R03_Terry-data'!$J7/'[25]GABM_R03_Terry-data'!$L7</f>
        <v>0.62960000000000005</v>
      </c>
      <c r="G8">
        <f>'[26]GABM_R03_SarahAPI-data'!$J7/'[26]GABM_R03_SarahAPI-data'!$L7</f>
        <v>0.98960000000000004</v>
      </c>
      <c r="H8">
        <f>'[27]GABM_R03_savannah-data'!$J7/'[27]GABM_R03_savannah-data'!$L7</f>
        <v>0.64439999999999997</v>
      </c>
      <c r="I8">
        <f>'[28]GABM_R03_MitchellAPI-data'!$J7/'[28]GABM_R03_MitchellAPI-data'!$L7</f>
        <v>0.58079999999999998</v>
      </c>
      <c r="J8">
        <f>'[29]GABM_R03_SudipaAPI-data'!$J7/'[29]GABM_R03_SudipaAPI-data'!$L7</f>
        <v>0.59719999999999995</v>
      </c>
      <c r="K8">
        <f>'[30]R03_GABM_run2-data'!$J7/'[30]R03_GABM_run2-data'!$L7</f>
        <v>0.32319999999999999</v>
      </c>
      <c r="L8">
        <f t="shared" si="0"/>
        <v>0.66152</v>
      </c>
    </row>
    <row r="9" spans="1:12" x14ac:dyDescent="0.35">
      <c r="A9">
        <v>6</v>
      </c>
      <c r="B9">
        <f>'[21]R03_GABM-data'!$J8/'[21]R03_GABM-data'!$L8</f>
        <v>0.50719999999999998</v>
      </c>
      <c r="C9">
        <f>'[22]GABM_R03_RossAPI-data'!$J8/'[22]GABM_R03_RossAPI-data'!$L8</f>
        <v>0.63119999999999998</v>
      </c>
      <c r="D9">
        <f>'[23]GABM_R03_RandiAPI-data'!$J8/'[23]GABM_R03_RandiAPI-data'!$L8</f>
        <v>0.28160000000000002</v>
      </c>
      <c r="E9">
        <f>'[24]GABM_R03_NavidAPI-data'!$J8/'[24]GABM_R03_NavidAPI-data'!$L8</f>
        <v>0.58640000000000003</v>
      </c>
      <c r="F9">
        <f>'[25]GABM_R03_Terry-data'!$J8/'[25]GABM_R03_Terry-data'!$L8</f>
        <v>0.28720000000000001</v>
      </c>
      <c r="G9">
        <f>'[26]GABM_R03_SarahAPI-data'!$J8/'[26]GABM_R03_SarahAPI-data'!$L8</f>
        <v>0.64359999999999995</v>
      </c>
      <c r="H9">
        <f>'[27]GABM_R03_savannah-data'!$J8/'[27]GABM_R03_savannah-data'!$L8</f>
        <v>0.59279999999999999</v>
      </c>
      <c r="I9">
        <f>'[28]GABM_R03_MitchellAPI-data'!$J8/'[28]GABM_R03_MitchellAPI-data'!$L8</f>
        <v>0.59199999999999997</v>
      </c>
      <c r="J9">
        <f>'[29]GABM_R03_SudipaAPI-data'!$J8/'[29]GABM_R03_SudipaAPI-data'!$L8</f>
        <v>0.60919999999999996</v>
      </c>
      <c r="K9">
        <f>'[30]R03_GABM_run2-data'!$J8/'[30]R03_GABM_run2-data'!$L8</f>
        <v>0.56879999999999997</v>
      </c>
      <c r="L9">
        <f t="shared" si="0"/>
        <v>0.52999999999999992</v>
      </c>
    </row>
    <row r="10" spans="1:12" x14ac:dyDescent="0.35">
      <c r="A10">
        <v>7</v>
      </c>
      <c r="B10">
        <f>'[21]R03_GABM-data'!$J9/'[21]R03_GABM-data'!$L9</f>
        <v>0.43719999999999998</v>
      </c>
      <c r="C10">
        <f>'[22]GABM_R03_RossAPI-data'!$J9/'[22]GABM_R03_RossAPI-data'!$L9</f>
        <v>0.70799999999999996</v>
      </c>
      <c r="D10">
        <f>'[23]GABM_R03_RandiAPI-data'!$J9/'[23]GABM_R03_RandiAPI-data'!$L9</f>
        <v>0.51039999999999996</v>
      </c>
      <c r="E10">
        <f>'[24]GABM_R03_NavidAPI-data'!$J9/'[24]GABM_R03_NavidAPI-data'!$L9</f>
        <v>0.47039999999999998</v>
      </c>
      <c r="F10">
        <f>'[25]GABM_R03_Terry-data'!$J9/'[25]GABM_R03_Terry-data'!$L9</f>
        <v>0.55959999999999999</v>
      </c>
      <c r="G10">
        <f>'[26]GABM_R03_SarahAPI-data'!$J9/'[26]GABM_R03_SarahAPI-data'!$L9</f>
        <v>0.63080000000000003</v>
      </c>
      <c r="H10">
        <f>'[27]GABM_R03_savannah-data'!$J9/'[27]GABM_R03_savannah-data'!$L9</f>
        <v>0.3004</v>
      </c>
      <c r="I10">
        <f>'[28]GABM_R03_MitchellAPI-data'!$J9/'[28]GABM_R03_MitchellAPI-data'!$L9</f>
        <v>0.44919999999999999</v>
      </c>
      <c r="J10">
        <f>'[29]GABM_R03_SudipaAPI-data'!$J9/'[29]GABM_R03_SudipaAPI-data'!$L9</f>
        <v>0.32519999999999999</v>
      </c>
      <c r="K10">
        <f>'[30]R03_GABM_run2-data'!$J9/'[30]R03_GABM_run2-data'!$L9</f>
        <v>0.30080000000000001</v>
      </c>
      <c r="L10">
        <f t="shared" si="0"/>
        <v>0.46919999999999995</v>
      </c>
    </row>
    <row r="11" spans="1:12" x14ac:dyDescent="0.35">
      <c r="A11">
        <v>8</v>
      </c>
      <c r="B11">
        <f>'[21]R03_GABM-data'!$J10/'[21]R03_GABM-data'!$L10</f>
        <v>0.20680000000000001</v>
      </c>
      <c r="C11">
        <f>'[22]GABM_R03_RossAPI-data'!$J10/'[22]GABM_R03_RossAPI-data'!$L10</f>
        <v>0.2112</v>
      </c>
      <c r="D11">
        <f>'[23]GABM_R03_RandiAPI-data'!$J10/'[23]GABM_R03_RandiAPI-data'!$L10</f>
        <v>0.5736</v>
      </c>
      <c r="E11">
        <f>'[24]GABM_R03_NavidAPI-data'!$J10/'[24]GABM_R03_NavidAPI-data'!$L10</f>
        <v>0.5544</v>
      </c>
      <c r="F11">
        <f>'[25]GABM_R03_Terry-data'!$J10/'[25]GABM_R03_Terry-data'!$L10</f>
        <v>0.46560000000000001</v>
      </c>
      <c r="G11">
        <f>'[26]GABM_R03_SarahAPI-data'!$J10/'[26]GABM_R03_SarahAPI-data'!$L10</f>
        <v>0.60840000000000005</v>
      </c>
      <c r="H11">
        <f>'[27]GABM_R03_savannah-data'!$J10/'[27]GABM_R03_savannah-data'!$L10</f>
        <v>0.59040000000000004</v>
      </c>
      <c r="I11">
        <f>'[28]GABM_R03_MitchellAPI-data'!$J10/'[28]GABM_R03_MitchellAPI-data'!$L10</f>
        <v>0.4748</v>
      </c>
      <c r="J11">
        <f>'[29]GABM_R03_SudipaAPI-data'!$J10/'[29]GABM_R03_SudipaAPI-data'!$L10</f>
        <v>0.62039999999999995</v>
      </c>
      <c r="K11">
        <f>'[30]R03_GABM_run2-data'!$J10/'[30]R03_GABM_run2-data'!$L10</f>
        <v>0.308</v>
      </c>
      <c r="L11">
        <f t="shared" si="0"/>
        <v>0.46135999999999999</v>
      </c>
    </row>
    <row r="12" spans="1:12" x14ac:dyDescent="0.35">
      <c r="A12">
        <v>9</v>
      </c>
      <c r="B12">
        <f>'[21]R03_GABM-data'!$J11/'[21]R03_GABM-data'!$L11</f>
        <v>0.1196</v>
      </c>
      <c r="C12">
        <f>'[22]GABM_R03_RossAPI-data'!$J11/'[22]GABM_R03_RossAPI-data'!$L11</f>
        <v>0.14599999999999999</v>
      </c>
      <c r="D12">
        <f>'[23]GABM_R03_RandiAPI-data'!$J11/'[23]GABM_R03_RandiAPI-data'!$L11</f>
        <v>0.5716</v>
      </c>
      <c r="E12">
        <f>'[24]GABM_R03_NavidAPI-data'!$J11/'[24]GABM_R03_NavidAPI-data'!$L11</f>
        <v>0.23480000000000001</v>
      </c>
      <c r="F12">
        <f>'[25]GABM_R03_Terry-data'!$J11/'[25]GABM_R03_Terry-data'!$L11</f>
        <v>0.7056</v>
      </c>
      <c r="G12">
        <f>'[26]GABM_R03_SarahAPI-data'!$J11/'[26]GABM_R03_SarahAPI-data'!$L11</f>
        <v>0.4904</v>
      </c>
      <c r="H12">
        <f>'[27]GABM_R03_savannah-data'!$J11/'[27]GABM_R03_savannah-data'!$L11</f>
        <v>0.58720000000000006</v>
      </c>
      <c r="I12">
        <f>'[28]GABM_R03_MitchellAPI-data'!$J11/'[28]GABM_R03_MitchellAPI-data'!$L11</f>
        <v>0.21240000000000001</v>
      </c>
      <c r="J12">
        <f>'[29]GABM_R03_SudipaAPI-data'!$J11/'[29]GABM_R03_SudipaAPI-data'!$L11</f>
        <v>0.64600000000000002</v>
      </c>
      <c r="K12">
        <f>'[30]R03_GABM_run2-data'!$J11/'[30]R03_GABM_run2-data'!$L11</f>
        <v>0.60719999999999996</v>
      </c>
      <c r="L12">
        <f t="shared" si="0"/>
        <v>0.43208000000000002</v>
      </c>
    </row>
    <row r="13" spans="1:12" x14ac:dyDescent="0.35">
      <c r="A13">
        <v>10</v>
      </c>
      <c r="B13">
        <f>'[21]R03_GABM-data'!$J12/'[21]R03_GABM-data'!$L12</f>
        <v>0.26240000000000002</v>
      </c>
      <c r="C13">
        <f>'[22]GABM_R03_RossAPI-data'!$J12/'[22]GABM_R03_RossAPI-data'!$L12</f>
        <v>0.27639999999999998</v>
      </c>
      <c r="D13">
        <f>'[23]GABM_R03_RandiAPI-data'!$J12/'[23]GABM_R03_RandiAPI-data'!$L12</f>
        <v>0.51959999999999995</v>
      </c>
      <c r="E13">
        <f>'[24]GABM_R03_NavidAPI-data'!$J12/'[24]GABM_R03_NavidAPI-data'!$L12</f>
        <v>0.1196</v>
      </c>
      <c r="F13">
        <f>'[25]GABM_R03_Terry-data'!$J12/'[25]GABM_R03_Terry-data'!$L12</f>
        <v>0.71640000000000004</v>
      </c>
      <c r="G13">
        <f>'[26]GABM_R03_SarahAPI-data'!$J12/'[26]GABM_R03_SarahAPI-data'!$L12</f>
        <v>0.61719999999999997</v>
      </c>
      <c r="H13">
        <f>'[27]GABM_R03_savannah-data'!$J12/'[27]GABM_R03_savannah-data'!$L12</f>
        <v>0.30280000000000001</v>
      </c>
      <c r="I13">
        <f>'[28]GABM_R03_MitchellAPI-data'!$J12/'[28]GABM_R03_MitchellAPI-data'!$L12</f>
        <v>0.2092</v>
      </c>
      <c r="J13">
        <f>'[29]GABM_R03_SudipaAPI-data'!$J12/'[29]GABM_R03_SudipaAPI-data'!$L12</f>
        <v>0.57120000000000004</v>
      </c>
      <c r="K13">
        <f>'[30]R03_GABM_run2-data'!$J12/'[30]R03_GABM_run2-data'!$L12</f>
        <v>0.63239999999999996</v>
      </c>
      <c r="L13">
        <f t="shared" si="0"/>
        <v>0.42271999999999998</v>
      </c>
    </row>
    <row r="14" spans="1:12" x14ac:dyDescent="0.35">
      <c r="A14">
        <v>11</v>
      </c>
      <c r="B14">
        <f>'[21]R03_GABM-data'!$J13/'[21]R03_GABM-data'!$L13</f>
        <v>0.2</v>
      </c>
      <c r="C14">
        <f>'[22]GABM_R03_RossAPI-data'!$J13/'[22]GABM_R03_RossAPI-data'!$L13</f>
        <v>7.9600000000000004E-2</v>
      </c>
      <c r="D14">
        <f>'[23]GABM_R03_RandiAPI-data'!$J13/'[23]GABM_R03_RandiAPI-data'!$L13</f>
        <v>0.28799999999999998</v>
      </c>
      <c r="E14">
        <f>'[24]GABM_R03_NavidAPI-data'!$J13/'[24]GABM_R03_NavidAPI-data'!$L13</f>
        <v>0.1132</v>
      </c>
      <c r="F14">
        <f>'[25]GABM_R03_Terry-data'!$J13/'[25]GABM_R03_Terry-data'!$L13</f>
        <v>0.4728</v>
      </c>
      <c r="G14">
        <f>'[26]GABM_R03_SarahAPI-data'!$J13/'[26]GABM_R03_SarahAPI-data'!$L13</f>
        <v>0.68359999999999999</v>
      </c>
      <c r="H14">
        <f>'[27]GABM_R03_savannah-data'!$J13/'[27]GABM_R03_savannah-data'!$L13</f>
        <v>0.57440000000000002</v>
      </c>
      <c r="I14">
        <f>'[28]GABM_R03_MitchellAPI-data'!$J13/'[28]GABM_R03_MitchellAPI-data'!$L13</f>
        <v>0.2132</v>
      </c>
      <c r="J14">
        <f>'[29]GABM_R03_SudipaAPI-data'!$J13/'[29]GABM_R03_SudipaAPI-data'!$L13</f>
        <v>0.56759999999999999</v>
      </c>
      <c r="K14">
        <f>'[30]R03_GABM_run2-data'!$J13/'[30]R03_GABM_run2-data'!$L13</f>
        <v>0.61839999999999995</v>
      </c>
      <c r="L14">
        <f t="shared" si="0"/>
        <v>0.38107999999999997</v>
      </c>
    </row>
    <row r="15" spans="1:12" x14ac:dyDescent="0.35">
      <c r="A15">
        <v>12</v>
      </c>
      <c r="B15">
        <f>'[21]R03_GABM-data'!$J14/'[21]R03_GABM-data'!$L14</f>
        <v>0.1948</v>
      </c>
      <c r="C15">
        <f>'[22]GABM_R03_RossAPI-data'!$J14/'[22]GABM_R03_RossAPI-data'!$L14</f>
        <v>0.54800000000000004</v>
      </c>
      <c r="D15">
        <f>'[23]GABM_R03_RandiAPI-data'!$J14/'[23]GABM_R03_RandiAPI-data'!$L14</f>
        <v>0.42480000000000001</v>
      </c>
      <c r="E15">
        <f>'[24]GABM_R03_NavidAPI-data'!$J14/'[24]GABM_R03_NavidAPI-data'!$L14</f>
        <v>0.252</v>
      </c>
      <c r="F15">
        <f>'[25]GABM_R03_Terry-data'!$J14/'[25]GABM_R03_Terry-data'!$L14</f>
        <v>0.13439999999999999</v>
      </c>
      <c r="G15">
        <f>'[26]GABM_R03_SarahAPI-data'!$J14/'[26]GABM_R03_SarahAPI-data'!$L14</f>
        <v>0.3372</v>
      </c>
      <c r="H15">
        <f>'[27]GABM_R03_savannah-data'!$J14/'[27]GABM_R03_savannah-data'!$L14</f>
        <v>0.58079999999999998</v>
      </c>
      <c r="I15">
        <f>'[28]GABM_R03_MitchellAPI-data'!$J14/'[28]GABM_R03_MitchellAPI-data'!$L14</f>
        <v>0.54479999999999995</v>
      </c>
      <c r="J15">
        <f>'[29]GABM_R03_SudipaAPI-data'!$J14/'[29]GABM_R03_SudipaAPI-data'!$L14</f>
        <v>0.57999999999999996</v>
      </c>
      <c r="K15">
        <f>'[30]R03_GABM_run2-data'!$J14/'[30]R03_GABM_run2-data'!$L14</f>
        <v>0.63839999999999997</v>
      </c>
      <c r="L15">
        <f t="shared" si="0"/>
        <v>0.42352000000000001</v>
      </c>
    </row>
    <row r="16" spans="1:12" x14ac:dyDescent="0.35">
      <c r="A16">
        <v>13</v>
      </c>
      <c r="B16">
        <f>'[21]R03_GABM-data'!$J15/'[21]R03_GABM-data'!$L15</f>
        <v>0.28760000000000002</v>
      </c>
      <c r="C16">
        <f>'[22]GABM_R03_RossAPI-data'!$J15/'[22]GABM_R03_RossAPI-data'!$L15</f>
        <v>0.60440000000000005</v>
      </c>
      <c r="D16">
        <f>'[23]GABM_R03_RandiAPI-data'!$J15/'[23]GABM_R03_RandiAPI-data'!$L15</f>
        <v>0.27960000000000002</v>
      </c>
      <c r="E16">
        <f>'[24]GABM_R03_NavidAPI-data'!$J15/'[24]GABM_R03_NavidAPI-data'!$L15</f>
        <v>0.19359999999999999</v>
      </c>
      <c r="F16">
        <f>'[25]GABM_R03_Terry-data'!$J15/'[25]GABM_R03_Terry-data'!$L15</f>
        <v>0.1988</v>
      </c>
      <c r="G16">
        <f>'[26]GABM_R03_SarahAPI-data'!$J15/'[26]GABM_R03_SarahAPI-data'!$L15</f>
        <v>0.21959999999999999</v>
      </c>
      <c r="H16">
        <f>'[27]GABM_R03_savannah-data'!$J15/'[27]GABM_R03_savannah-data'!$L15</f>
        <v>0.50800000000000001</v>
      </c>
      <c r="I16">
        <f>'[28]GABM_R03_MitchellAPI-data'!$J15/'[28]GABM_R03_MitchellAPI-data'!$L15</f>
        <v>0.46279999999999999</v>
      </c>
      <c r="J16">
        <f>'[29]GABM_R03_SudipaAPI-data'!$J15/'[29]GABM_R03_SudipaAPI-data'!$L15</f>
        <v>0.6</v>
      </c>
      <c r="K16">
        <f>'[30]R03_GABM_run2-data'!$J15/'[30]R03_GABM_run2-data'!$L15</f>
        <v>0.63519999999999999</v>
      </c>
      <c r="L16">
        <f t="shared" si="0"/>
        <v>0.39896000000000004</v>
      </c>
    </row>
    <row r="17" spans="1:12" x14ac:dyDescent="0.35">
      <c r="A17">
        <v>14</v>
      </c>
      <c r="B17">
        <f>'[21]R03_GABM-data'!$J16/'[21]R03_GABM-data'!$L16</f>
        <v>0.2984</v>
      </c>
      <c r="C17">
        <f>'[22]GABM_R03_RossAPI-data'!$J16/'[22]GABM_R03_RossAPI-data'!$L16</f>
        <v>0.63600000000000001</v>
      </c>
      <c r="D17">
        <f>'[23]GABM_R03_RandiAPI-data'!$J16/'[23]GABM_R03_RandiAPI-data'!$L16</f>
        <v>0.1784</v>
      </c>
      <c r="E17">
        <f>'[24]GABM_R03_NavidAPI-data'!$J16/'[24]GABM_R03_NavidAPI-data'!$L16</f>
        <v>0.4844</v>
      </c>
      <c r="F17">
        <f>'[25]GABM_R03_Terry-data'!$J16/'[25]GABM_R03_Terry-data'!$L16</f>
        <v>3.9199999999999999E-2</v>
      </c>
      <c r="G17">
        <f>'[26]GABM_R03_SarahAPI-data'!$J16/'[26]GABM_R03_SarahAPI-data'!$L16</f>
        <v>0.30680000000000002</v>
      </c>
      <c r="H17">
        <f>'[27]GABM_R03_savannah-data'!$J16/'[27]GABM_R03_savannah-data'!$L16</f>
        <v>0.57240000000000002</v>
      </c>
      <c r="I17">
        <f>'[28]GABM_R03_MitchellAPI-data'!$J16/'[28]GABM_R03_MitchellAPI-data'!$L16</f>
        <v>0.26640000000000003</v>
      </c>
      <c r="J17">
        <f>'[29]GABM_R03_SudipaAPI-data'!$J16/'[29]GABM_R03_SudipaAPI-data'!$L16</f>
        <v>0.56359999999999999</v>
      </c>
      <c r="K17">
        <f>'[30]R03_GABM_run2-data'!$J16/'[30]R03_GABM_run2-data'!$L16</f>
        <v>0.31159999999999999</v>
      </c>
      <c r="L17">
        <f t="shared" si="0"/>
        <v>0.36571999999999999</v>
      </c>
    </row>
    <row r="18" spans="1:12" x14ac:dyDescent="0.35">
      <c r="A18">
        <v>15</v>
      </c>
      <c r="B18">
        <f>'[21]R03_GABM-data'!$J17/'[21]R03_GABM-data'!$L17</f>
        <v>0.58479999999999999</v>
      </c>
      <c r="C18">
        <f>'[22]GABM_R03_RossAPI-data'!$J17/'[22]GABM_R03_RossAPI-data'!$L17</f>
        <v>0.61399999999999999</v>
      </c>
      <c r="D18">
        <f>'[23]GABM_R03_RandiAPI-data'!$J17/'[23]GABM_R03_RandiAPI-data'!$L17</f>
        <v>0.48720000000000002</v>
      </c>
      <c r="E18">
        <f>'[24]GABM_R03_NavidAPI-data'!$J17/'[24]GABM_R03_NavidAPI-data'!$L17</f>
        <v>0.55320000000000003</v>
      </c>
      <c r="F18">
        <f>'[25]GABM_R03_Terry-data'!$J17/'[25]GABM_R03_Terry-data'!$L17</f>
        <v>7.8E-2</v>
      </c>
      <c r="G18">
        <f>'[26]GABM_R03_SarahAPI-data'!$J17/'[26]GABM_R03_SarahAPI-data'!$L17</f>
        <v>0.15279999999999999</v>
      </c>
      <c r="H18">
        <f>'[27]GABM_R03_savannah-data'!$J17/'[27]GABM_R03_savannah-data'!$L17</f>
        <v>0.56799999999999995</v>
      </c>
      <c r="I18">
        <f>'[28]GABM_R03_MitchellAPI-data'!$J17/'[28]GABM_R03_MitchellAPI-data'!$L17</f>
        <v>0.52559999999999996</v>
      </c>
      <c r="J18">
        <f>'[29]GABM_R03_SudipaAPI-data'!$J17/'[29]GABM_R03_SudipaAPI-data'!$L17</f>
        <v>0.30559999999999998</v>
      </c>
      <c r="K18">
        <f>'[30]R03_GABM_run2-data'!$J17/'[30]R03_GABM_run2-data'!$L17</f>
        <v>0.58840000000000003</v>
      </c>
      <c r="L18">
        <f t="shared" si="0"/>
        <v>0.44575999999999993</v>
      </c>
    </row>
    <row r="19" spans="1:12" x14ac:dyDescent="0.35">
      <c r="A19">
        <v>16</v>
      </c>
      <c r="B19">
        <f>'[21]R03_GABM-data'!$J18/'[21]R03_GABM-data'!$L18</f>
        <v>0.51559999999999995</v>
      </c>
      <c r="C19">
        <f>'[22]GABM_R03_RossAPI-data'!$J18/'[22]GABM_R03_RossAPI-data'!$L18</f>
        <v>0.63480000000000003</v>
      </c>
      <c r="D19">
        <f>'[23]GABM_R03_RandiAPI-data'!$J18/'[23]GABM_R03_RandiAPI-data'!$L18</f>
        <v>0.69240000000000002</v>
      </c>
      <c r="E19">
        <f>'[24]GABM_R03_NavidAPI-data'!$J18/'[24]GABM_R03_NavidAPI-data'!$L18</f>
        <v>0.61199999999999999</v>
      </c>
      <c r="F19">
        <f>'[25]GABM_R03_Terry-data'!$J18/'[25]GABM_R03_Terry-data'!$L18</f>
        <v>0.5212</v>
      </c>
      <c r="G19">
        <f>'[26]GABM_R03_SarahAPI-data'!$J18/'[26]GABM_R03_SarahAPI-data'!$L18</f>
        <v>0.29599999999999999</v>
      </c>
      <c r="H19">
        <f>'[27]GABM_R03_savannah-data'!$J18/'[27]GABM_R03_savannah-data'!$L18</f>
        <v>0.56399999999999995</v>
      </c>
      <c r="I19">
        <f>'[28]GABM_R03_MitchellAPI-data'!$J18/'[28]GABM_R03_MitchellAPI-data'!$L18</f>
        <v>0.59799999999999998</v>
      </c>
      <c r="J19">
        <f>'[29]GABM_R03_SudipaAPI-data'!$J18/'[29]GABM_R03_SudipaAPI-data'!$L18</f>
        <v>0.1288</v>
      </c>
      <c r="K19">
        <f>'[30]R03_GABM_run2-data'!$J18/'[30]R03_GABM_run2-data'!$L18</f>
        <v>0.30919999999999997</v>
      </c>
      <c r="L19">
        <f t="shared" si="0"/>
        <v>0.48719999999999997</v>
      </c>
    </row>
    <row r="20" spans="1:12" x14ac:dyDescent="0.35">
      <c r="A20">
        <v>17</v>
      </c>
      <c r="B20">
        <f>'[21]R03_GABM-data'!$J19/'[21]R03_GABM-data'!$L19</f>
        <v>0.54239999999999999</v>
      </c>
      <c r="C20">
        <f>'[22]GABM_R03_RossAPI-data'!$J19/'[22]GABM_R03_RossAPI-data'!$L19</f>
        <v>0.57640000000000002</v>
      </c>
      <c r="D20">
        <f>'[23]GABM_R03_RandiAPI-data'!$J19/'[23]GABM_R03_RandiAPI-data'!$L19</f>
        <v>0.49440000000000001</v>
      </c>
      <c r="E20">
        <f>'[24]GABM_R03_NavidAPI-data'!$J19/'[24]GABM_R03_NavidAPI-data'!$L19</f>
        <v>0.64680000000000004</v>
      </c>
      <c r="F20">
        <f>'[25]GABM_R03_Terry-data'!$J19/'[25]GABM_R03_Terry-data'!$L19</f>
        <v>0.4456</v>
      </c>
      <c r="G20">
        <f>'[26]GABM_R03_SarahAPI-data'!$J19/'[26]GABM_R03_SarahAPI-data'!$L19</f>
        <v>0.46960000000000002</v>
      </c>
      <c r="H20">
        <f>'[27]GABM_R03_savannah-data'!$J19/'[27]GABM_R03_savannah-data'!$L19</f>
        <v>0.54039999999999999</v>
      </c>
      <c r="I20">
        <f>'[28]GABM_R03_MitchellAPI-data'!$J19/'[28]GABM_R03_MitchellAPI-data'!$L19</f>
        <v>0.27879999999999999</v>
      </c>
      <c r="J20">
        <f>'[29]GABM_R03_SudipaAPI-data'!$J19/'[29]GABM_R03_SudipaAPI-data'!$L19</f>
        <v>0.19</v>
      </c>
      <c r="K20">
        <f>'[30]R03_GABM_run2-data'!$J19/'[30]R03_GABM_run2-data'!$L19</f>
        <v>0.70920000000000005</v>
      </c>
      <c r="L20">
        <f t="shared" si="0"/>
        <v>0.48935999999999991</v>
      </c>
    </row>
    <row r="21" spans="1:12" x14ac:dyDescent="0.35">
      <c r="A21">
        <v>18</v>
      </c>
      <c r="B21">
        <f>'[21]R03_GABM-data'!$J20/'[21]R03_GABM-data'!$L20</f>
        <v>0.44679999999999997</v>
      </c>
      <c r="C21">
        <f>'[22]GABM_R03_RossAPI-data'!$J20/'[22]GABM_R03_RossAPI-data'!$L20</f>
        <v>0.32040000000000002</v>
      </c>
      <c r="D21">
        <f>'[23]GABM_R03_RandiAPI-data'!$J20/'[23]GABM_R03_RandiAPI-data'!$L20</f>
        <v>0.54959999999999998</v>
      </c>
      <c r="E21">
        <f>'[24]GABM_R03_NavidAPI-data'!$J20/'[24]GABM_R03_NavidAPI-data'!$L20</f>
        <v>0.60760000000000003</v>
      </c>
      <c r="F21">
        <f>'[25]GABM_R03_Terry-data'!$J20/'[25]GABM_R03_Terry-data'!$L20</f>
        <v>0.59240000000000004</v>
      </c>
      <c r="G21">
        <f>'[26]GABM_R03_SarahAPI-data'!$J20/'[26]GABM_R03_SarahAPI-data'!$L20</f>
        <v>0.49280000000000002</v>
      </c>
      <c r="H21">
        <f>'[27]GABM_R03_savannah-data'!$J20/'[27]GABM_R03_savannah-data'!$L20</f>
        <v>0.5252</v>
      </c>
      <c r="I21">
        <f>'[28]GABM_R03_MitchellAPI-data'!$J20/'[28]GABM_R03_MitchellAPI-data'!$L20</f>
        <v>0.60840000000000005</v>
      </c>
      <c r="J21">
        <f>'[29]GABM_R03_SudipaAPI-data'!$J20/'[29]GABM_R03_SudipaAPI-data'!$L20</f>
        <v>4.5999999999999999E-2</v>
      </c>
      <c r="K21">
        <f>'[30]R03_GABM_run2-data'!$J20/'[30]R03_GABM_run2-data'!$L20</f>
        <v>0.55600000000000005</v>
      </c>
      <c r="L21">
        <f t="shared" si="0"/>
        <v>0.47452000000000005</v>
      </c>
    </row>
    <row r="22" spans="1:12" x14ac:dyDescent="0.35">
      <c r="A22">
        <v>19</v>
      </c>
      <c r="B22">
        <f>'[21]R03_GABM-data'!$J21/'[21]R03_GABM-data'!$L21</f>
        <v>0.50960000000000005</v>
      </c>
      <c r="C22">
        <f>'[22]GABM_R03_RossAPI-data'!$J21/'[22]GABM_R03_RossAPI-data'!$L21</f>
        <v>0.32840000000000003</v>
      </c>
      <c r="D22">
        <f>'[23]GABM_R03_RandiAPI-data'!$J21/'[23]GABM_R03_RandiAPI-data'!$L21</f>
        <v>0.57440000000000002</v>
      </c>
      <c r="E22">
        <f>'[24]GABM_R03_NavidAPI-data'!$J21/'[24]GABM_R03_NavidAPI-data'!$L21</f>
        <v>0.57679999999999998</v>
      </c>
      <c r="F22">
        <f>'[25]GABM_R03_Terry-data'!$J21/'[25]GABM_R03_Terry-data'!$L21</f>
        <v>0.60640000000000005</v>
      </c>
      <c r="G22">
        <f>'[26]GABM_R03_SarahAPI-data'!$J21/'[26]GABM_R03_SarahAPI-data'!$L21</f>
        <v>0.5948</v>
      </c>
      <c r="H22">
        <f>'[27]GABM_R03_savannah-data'!$J21/'[27]GABM_R03_savannah-data'!$L21</f>
        <v>0.30559999999999998</v>
      </c>
      <c r="I22">
        <f>'[28]GABM_R03_MitchellAPI-data'!$J21/'[28]GABM_R03_MitchellAPI-data'!$L21</f>
        <v>0.58599999999999997</v>
      </c>
      <c r="J22">
        <f>'[29]GABM_R03_SudipaAPI-data'!$J21/'[29]GABM_R03_SudipaAPI-data'!$L21</f>
        <v>0.3196</v>
      </c>
      <c r="K22">
        <f>'[30]R03_GABM_run2-data'!$J21/'[30]R03_GABM_run2-data'!$L21</f>
        <v>0.46239999999999998</v>
      </c>
      <c r="L22">
        <f t="shared" si="0"/>
        <v>0.48640000000000005</v>
      </c>
    </row>
    <row r="23" spans="1:12" x14ac:dyDescent="0.35">
      <c r="A23">
        <v>20</v>
      </c>
      <c r="B23">
        <f>'[21]R03_GABM-data'!$J22/'[21]R03_GABM-data'!$L22</f>
        <v>0.71879999999999999</v>
      </c>
      <c r="C23">
        <f>'[22]GABM_R03_RossAPI-data'!$J22/'[22]GABM_R03_RossAPI-data'!$L22</f>
        <v>0.50039999999999996</v>
      </c>
      <c r="D23">
        <f>'[23]GABM_R03_RandiAPI-data'!$J22/'[23]GABM_R03_RandiAPI-data'!$L22</f>
        <v>0.2868</v>
      </c>
      <c r="E23">
        <f>'[24]GABM_R03_NavidAPI-data'!$J22/'[24]GABM_R03_NavidAPI-data'!$L22</f>
        <v>0.5232</v>
      </c>
      <c r="F23">
        <f>'[25]GABM_R03_Terry-data'!$J22/'[25]GABM_R03_Terry-data'!$L22</f>
        <v>0.60360000000000003</v>
      </c>
      <c r="G23">
        <f>'[26]GABM_R03_SarahAPI-data'!$J22/'[26]GABM_R03_SarahAPI-data'!$L22</f>
        <v>0.61080000000000001</v>
      </c>
      <c r="H23">
        <f>'[27]GABM_R03_savannah-data'!$J22/'[27]GABM_R03_savannah-data'!$L22</f>
        <v>0.54920000000000002</v>
      </c>
      <c r="I23">
        <f>'[28]GABM_R03_MitchellAPI-data'!$J22/'[28]GABM_R03_MitchellAPI-data'!$L22</f>
        <v>0.2868</v>
      </c>
      <c r="J23">
        <f>'[29]GABM_R03_SudipaAPI-data'!$J22/'[29]GABM_R03_SudipaAPI-data'!$L22</f>
        <v>0.59079999999999999</v>
      </c>
      <c r="K23">
        <f>'[30]R03_GABM_run2-data'!$J22/'[30]R03_GABM_run2-data'!$L22</f>
        <v>0.436</v>
      </c>
      <c r="L23">
        <f t="shared" si="0"/>
        <v>0.51063999999999998</v>
      </c>
    </row>
    <row r="24" spans="1:12" x14ac:dyDescent="0.35">
      <c r="A24">
        <v>21</v>
      </c>
      <c r="B24">
        <f>'[21]R03_GABM-data'!$J23/'[21]R03_GABM-data'!$L23</f>
        <v>0.31280000000000002</v>
      </c>
      <c r="C24">
        <f>'[22]GABM_R03_RossAPI-data'!$J23/'[22]GABM_R03_RossAPI-data'!$L23</f>
        <v>0.496</v>
      </c>
      <c r="D24">
        <f>'[23]GABM_R03_RandiAPI-data'!$J23/'[23]GABM_R03_RandiAPI-data'!$L23</f>
        <v>0.51759999999999995</v>
      </c>
      <c r="E24">
        <f>'[24]GABM_R03_NavidAPI-data'!$J23/'[24]GABM_R03_NavidAPI-data'!$L23</f>
        <v>0.56079999999999997</v>
      </c>
      <c r="F24">
        <f>'[25]GABM_R03_Terry-data'!$J23/'[25]GABM_R03_Terry-data'!$L23</f>
        <v>0.60799999999999998</v>
      </c>
      <c r="G24">
        <f>'[26]GABM_R03_SarahAPI-data'!$J23/'[26]GABM_R03_SarahAPI-data'!$L23</f>
        <v>0.63439999999999996</v>
      </c>
      <c r="H24">
        <f>'[27]GABM_R03_savannah-data'!$J23/'[27]GABM_R03_savannah-data'!$L23</f>
        <v>0.5968</v>
      </c>
      <c r="I24">
        <f>'[28]GABM_R03_MitchellAPI-data'!$J23/'[28]GABM_R03_MitchellAPI-data'!$L23</f>
        <v>0.61480000000000001</v>
      </c>
      <c r="J24">
        <f>'[29]GABM_R03_SudipaAPI-data'!$J23/'[29]GABM_R03_SudipaAPI-data'!$L23</f>
        <v>0.54879999999999995</v>
      </c>
      <c r="K24">
        <f>'[30]R03_GABM_run2-data'!$J23/'[30]R03_GABM_run2-data'!$L23</f>
        <v>0.2248</v>
      </c>
      <c r="L24">
        <f t="shared" si="0"/>
        <v>0.51147999999999993</v>
      </c>
    </row>
    <row r="25" spans="1:12" x14ac:dyDescent="0.35">
      <c r="A25">
        <v>22</v>
      </c>
      <c r="B25">
        <f>'[21]R03_GABM-data'!$J24/'[21]R03_GABM-data'!$L24</f>
        <v>0.51680000000000004</v>
      </c>
      <c r="C25">
        <f>'[22]GABM_R03_RossAPI-data'!$J24/'[22]GABM_R03_RossAPI-data'!$L24</f>
        <v>0.49640000000000001</v>
      </c>
      <c r="D25">
        <f>'[23]GABM_R03_RandiAPI-data'!$J24/'[23]GABM_R03_RandiAPI-data'!$L24</f>
        <v>0.48720000000000002</v>
      </c>
      <c r="E25">
        <f>'[24]GABM_R03_NavidAPI-data'!$J24/'[24]GABM_R03_NavidAPI-data'!$L24</f>
        <v>0.50080000000000002</v>
      </c>
      <c r="F25">
        <f>'[25]GABM_R03_Terry-data'!$J24/'[25]GABM_R03_Terry-data'!$L24</f>
        <v>0.2868</v>
      </c>
      <c r="G25">
        <f>'[26]GABM_R03_SarahAPI-data'!$J24/'[26]GABM_R03_SarahAPI-data'!$L24</f>
        <v>0.63959999999999995</v>
      </c>
      <c r="H25">
        <f>'[27]GABM_R03_savannah-data'!$J24/'[27]GABM_R03_savannah-data'!$L24</f>
        <v>0.52359999999999995</v>
      </c>
      <c r="I25">
        <f>'[28]GABM_R03_MitchellAPI-data'!$J24/'[28]GABM_R03_MitchellAPI-data'!$L24</f>
        <v>0.58879999999999999</v>
      </c>
      <c r="J25">
        <f>'[29]GABM_R03_SudipaAPI-data'!$J24/'[29]GABM_R03_SudipaAPI-data'!$L24</f>
        <v>0.98199999999999998</v>
      </c>
      <c r="K25">
        <f>'[30]R03_GABM_run2-data'!$J24/'[30]R03_GABM_run2-data'!$L24</f>
        <v>0.21479999999999999</v>
      </c>
      <c r="L25">
        <f t="shared" si="0"/>
        <v>0.52368000000000003</v>
      </c>
    </row>
    <row r="26" spans="1:12" x14ac:dyDescent="0.35">
      <c r="A26">
        <v>23</v>
      </c>
      <c r="B26">
        <f>'[21]R03_GABM-data'!$J25/'[21]R03_GABM-data'!$L25</f>
        <v>0.12839999999999999</v>
      </c>
      <c r="C26">
        <f>'[22]GABM_R03_RossAPI-data'!$J25/'[22]GABM_R03_RossAPI-data'!$L25</f>
        <v>0.31840000000000002</v>
      </c>
      <c r="D26">
        <f>'[23]GABM_R03_RandiAPI-data'!$J25/'[23]GABM_R03_RandiAPI-data'!$L25</f>
        <v>0.52239999999999998</v>
      </c>
      <c r="E26">
        <f>'[24]GABM_R03_NavidAPI-data'!$J25/'[24]GABM_R03_NavidAPI-data'!$L25</f>
        <v>0.49559999999999998</v>
      </c>
      <c r="F26">
        <f>'[25]GABM_R03_Terry-data'!$J25/'[25]GABM_R03_Terry-data'!$L25</f>
        <v>0.48959999999999998</v>
      </c>
      <c r="G26">
        <f>'[26]GABM_R03_SarahAPI-data'!$J25/'[26]GABM_R03_SarahAPI-data'!$L25</f>
        <v>0.63200000000000001</v>
      </c>
      <c r="H26">
        <f>'[27]GABM_R03_savannah-data'!$J25/'[27]GABM_R03_savannah-data'!$L25</f>
        <v>0.29120000000000001</v>
      </c>
      <c r="I26">
        <f>'[28]GABM_R03_MitchellAPI-data'!$J25/'[28]GABM_R03_MitchellAPI-data'!$L25</f>
        <v>0.60680000000000001</v>
      </c>
      <c r="J26">
        <f>'[29]GABM_R03_SudipaAPI-data'!$J25/'[29]GABM_R03_SudipaAPI-data'!$L25</f>
        <v>0.61040000000000005</v>
      </c>
      <c r="K26">
        <f>'[30]R03_GABM_run2-data'!$J25/'[30]R03_GABM_run2-data'!$L25</f>
        <v>0.22159999999999999</v>
      </c>
      <c r="L26">
        <f t="shared" si="0"/>
        <v>0.43163999999999997</v>
      </c>
    </row>
    <row r="27" spans="1:12" x14ac:dyDescent="0.35">
      <c r="A27">
        <v>24</v>
      </c>
      <c r="B27">
        <f>'[21]R03_GABM-data'!$J26/'[21]R03_GABM-data'!$L26</f>
        <v>0.12959999999999999</v>
      </c>
      <c r="C27">
        <f>'[22]GABM_R03_RossAPI-data'!$J26/'[22]GABM_R03_RossAPI-data'!$L26</f>
        <v>0.55120000000000002</v>
      </c>
      <c r="D27">
        <f>'[23]GABM_R03_RandiAPI-data'!$J26/'[23]GABM_R03_RandiAPI-data'!$L26</f>
        <v>0.28079999999999999</v>
      </c>
      <c r="E27">
        <f>'[24]GABM_R03_NavidAPI-data'!$J26/'[24]GABM_R03_NavidAPI-data'!$L26</f>
        <v>0.49159999999999998</v>
      </c>
      <c r="F27">
        <f>'[25]GABM_R03_Terry-data'!$J26/'[25]GABM_R03_Terry-data'!$L26</f>
        <v>0.47960000000000003</v>
      </c>
      <c r="G27">
        <f>'[26]GABM_R03_SarahAPI-data'!$J26/'[26]GABM_R03_SarahAPI-data'!$L26</f>
        <v>0.30320000000000003</v>
      </c>
      <c r="H27">
        <f>'[27]GABM_R03_savannah-data'!$J26/'[27]GABM_R03_savannah-data'!$L26</f>
        <v>0.46400000000000002</v>
      </c>
      <c r="I27">
        <f>'[28]GABM_R03_MitchellAPI-data'!$J26/'[28]GABM_R03_MitchellAPI-data'!$L26</f>
        <v>0.62919999999999998</v>
      </c>
      <c r="J27">
        <f>'[29]GABM_R03_SudipaAPI-data'!$J26/'[29]GABM_R03_SudipaAPI-data'!$L26</f>
        <v>0.62519999999999998</v>
      </c>
      <c r="K27">
        <f>'[30]R03_GABM_run2-data'!$J26/'[30]R03_GABM_run2-data'!$L26</f>
        <v>0.69479999999999997</v>
      </c>
      <c r="L27">
        <f t="shared" si="0"/>
        <v>0.46492000000000006</v>
      </c>
    </row>
    <row r="28" spans="1:12" x14ac:dyDescent="0.35">
      <c r="A28">
        <v>25</v>
      </c>
      <c r="B28">
        <f>'[21]R03_GABM-data'!$J27/'[21]R03_GABM-data'!$L27</f>
        <v>0.43480000000000002</v>
      </c>
      <c r="C28">
        <f>'[22]GABM_R03_RossAPI-data'!$J27/'[22]GABM_R03_RossAPI-data'!$L27</f>
        <v>0.65</v>
      </c>
      <c r="D28">
        <f>'[23]GABM_R03_RandiAPI-data'!$J27/'[23]GABM_R03_RandiAPI-data'!$L27</f>
        <v>0.6008</v>
      </c>
      <c r="E28">
        <f>'[24]GABM_R03_NavidAPI-data'!$J27/'[24]GABM_R03_NavidAPI-data'!$L27</f>
        <v>0.4924</v>
      </c>
      <c r="F28">
        <f>'[25]GABM_R03_Terry-data'!$J27/'[25]GABM_R03_Terry-data'!$L27</f>
        <v>0.7268</v>
      </c>
      <c r="G28">
        <f>'[26]GABM_R03_SarahAPI-data'!$J27/'[26]GABM_R03_SarahAPI-data'!$L27</f>
        <v>0.30359999999999998</v>
      </c>
      <c r="H28">
        <f>'[27]GABM_R03_savannah-data'!$J27/'[27]GABM_R03_savannah-data'!$L27</f>
        <v>0.69720000000000004</v>
      </c>
      <c r="I28">
        <f>'[28]GABM_R03_MitchellAPI-data'!$J27/'[28]GABM_R03_MitchellAPI-data'!$L27</f>
        <v>0.60119999999999996</v>
      </c>
      <c r="J28">
        <f>'[29]GABM_R03_SudipaAPI-data'!$J27/'[29]GABM_R03_SudipaAPI-data'!$L27</f>
        <v>0.98960000000000004</v>
      </c>
      <c r="K28">
        <f>'[30]R03_GABM_run2-data'!$J27/'[30]R03_GABM_run2-data'!$L27</f>
        <v>0.55559999999999998</v>
      </c>
      <c r="L28">
        <f t="shared" si="0"/>
        <v>0.60520000000000007</v>
      </c>
    </row>
    <row r="29" spans="1:12" x14ac:dyDescent="0.35">
      <c r="A29">
        <v>26</v>
      </c>
      <c r="B29">
        <f>'[21]R03_GABM-data'!$J28/'[21]R03_GABM-data'!$L28</f>
        <v>0.48920000000000002</v>
      </c>
      <c r="C29">
        <f>'[22]GABM_R03_RossAPI-data'!$J28/'[22]GABM_R03_RossAPI-data'!$L28</f>
        <v>0.60040000000000004</v>
      </c>
      <c r="D29">
        <f>'[23]GABM_R03_RandiAPI-data'!$J28/'[23]GABM_R03_RandiAPI-data'!$L28</f>
        <v>0.61639999999999995</v>
      </c>
      <c r="E29">
        <f>'[24]GABM_R03_NavidAPI-data'!$J28/'[24]GABM_R03_NavidAPI-data'!$L28</f>
        <v>0.71279999999999999</v>
      </c>
      <c r="F29">
        <f>'[25]GABM_R03_Terry-data'!$J28/'[25]GABM_R03_Terry-data'!$L28</f>
        <v>0.26600000000000001</v>
      </c>
      <c r="G29">
        <f>'[26]GABM_R03_SarahAPI-data'!$J28/'[26]GABM_R03_SarahAPI-data'!$L28</f>
        <v>0.29480000000000001</v>
      </c>
      <c r="H29">
        <f>'[27]GABM_R03_savannah-data'!$J28/'[27]GABM_R03_savannah-data'!$L28</f>
        <v>0.69599999999999995</v>
      </c>
      <c r="I29">
        <f>'[28]GABM_R03_MitchellAPI-data'!$J28/'[28]GABM_R03_MitchellAPI-data'!$L28</f>
        <v>0.61199999999999999</v>
      </c>
      <c r="J29">
        <f>'[29]GABM_R03_SudipaAPI-data'!$J28/'[29]GABM_R03_SudipaAPI-data'!$L28</f>
        <v>0.51559999999999995</v>
      </c>
      <c r="K29">
        <f>'[30]R03_GABM_run2-data'!$J28/'[30]R03_GABM_run2-data'!$L28</f>
        <v>0.58199999999999996</v>
      </c>
      <c r="L29">
        <f t="shared" si="0"/>
        <v>0.53852</v>
      </c>
    </row>
    <row r="30" spans="1:12" x14ac:dyDescent="0.35">
      <c r="A30">
        <v>27</v>
      </c>
      <c r="B30">
        <f>'[21]R03_GABM-data'!$J29/'[21]R03_GABM-data'!$L29</f>
        <v>0.63039999999999996</v>
      </c>
      <c r="C30">
        <f>'[22]GABM_R03_RossAPI-data'!$J29/'[22]GABM_R03_RossAPI-data'!$L29</f>
        <v>0.61919999999999997</v>
      </c>
      <c r="D30">
        <f>'[23]GABM_R03_RandiAPI-data'!$J29/'[23]GABM_R03_RandiAPI-data'!$L29</f>
        <v>0.62319999999999998</v>
      </c>
      <c r="E30">
        <f>'[24]GABM_R03_NavidAPI-data'!$J29/'[24]GABM_R03_NavidAPI-data'!$L29</f>
        <v>0.56320000000000003</v>
      </c>
      <c r="F30">
        <f>'[25]GABM_R03_Terry-data'!$J29/'[25]GABM_R03_Terry-data'!$L29</f>
        <v>0.49280000000000002</v>
      </c>
      <c r="G30">
        <f>'[26]GABM_R03_SarahAPI-data'!$J29/'[26]GABM_R03_SarahAPI-data'!$L29</f>
        <v>0.29799999999999999</v>
      </c>
      <c r="H30">
        <f>'[27]GABM_R03_savannah-data'!$J29/'[27]GABM_R03_savannah-data'!$L29</f>
        <v>0.55479999999999996</v>
      </c>
      <c r="I30">
        <f>'[28]GABM_R03_MitchellAPI-data'!$J29/'[28]GABM_R03_MitchellAPI-data'!$L29</f>
        <v>0.59640000000000004</v>
      </c>
      <c r="J30">
        <f>'[29]GABM_R03_SudipaAPI-data'!$J29/'[29]GABM_R03_SudipaAPI-data'!$L29</f>
        <v>0.53080000000000005</v>
      </c>
      <c r="K30">
        <f>'[30]R03_GABM_run2-data'!$J29/'[30]R03_GABM_run2-data'!$L29</f>
        <v>0.29399999999999998</v>
      </c>
      <c r="L30">
        <f t="shared" si="0"/>
        <v>0.52027999999999996</v>
      </c>
    </row>
    <row r="31" spans="1:12" x14ac:dyDescent="0.35">
      <c r="A31">
        <v>28</v>
      </c>
      <c r="B31">
        <f>'[21]R03_GABM-data'!$J30/'[21]R03_GABM-data'!$L30</f>
        <v>0.98799999999999999</v>
      </c>
      <c r="C31">
        <f>'[22]GABM_R03_RossAPI-data'!$J30/'[22]GABM_R03_RossAPI-data'!$L30</f>
        <v>0.64159999999999995</v>
      </c>
      <c r="D31">
        <f>'[23]GABM_R03_RandiAPI-data'!$J30/'[23]GABM_R03_RandiAPI-data'!$L30</f>
        <v>0.57120000000000004</v>
      </c>
      <c r="E31">
        <f>'[24]GABM_R03_NavidAPI-data'!$J30/'[24]GABM_R03_NavidAPI-data'!$L30</f>
        <v>0.44119999999999998</v>
      </c>
      <c r="F31">
        <f>'[25]GABM_R03_Terry-data'!$J30/'[25]GABM_R03_Terry-data'!$L30</f>
        <v>0.58919999999999995</v>
      </c>
      <c r="G31">
        <f>'[26]GABM_R03_SarahAPI-data'!$J30/'[26]GABM_R03_SarahAPI-data'!$L30</f>
        <v>0.62960000000000005</v>
      </c>
      <c r="H31">
        <f>'[27]GABM_R03_savannah-data'!$J30/'[27]GABM_R03_savannah-data'!$L30</f>
        <v>0.55400000000000005</v>
      </c>
      <c r="I31">
        <f>'[28]GABM_R03_MitchellAPI-data'!$J30/'[28]GABM_R03_MitchellAPI-data'!$L30</f>
        <v>0.59079999999999999</v>
      </c>
      <c r="J31">
        <f>'[29]GABM_R03_SudipaAPI-data'!$J30/'[29]GABM_R03_SudipaAPI-data'!$L30</f>
        <v>0.4884</v>
      </c>
      <c r="K31">
        <f>'[30]R03_GABM_run2-data'!$J30/'[30]R03_GABM_run2-data'!$L30</f>
        <v>0.47439999999999999</v>
      </c>
      <c r="L31">
        <f t="shared" si="0"/>
        <v>0.59684000000000004</v>
      </c>
    </row>
    <row r="32" spans="1:12" x14ac:dyDescent="0.35">
      <c r="A32">
        <v>29</v>
      </c>
      <c r="B32">
        <f>'[21]R03_GABM-data'!$J31/'[21]R03_GABM-data'!$L31</f>
        <v>0.61439999999999995</v>
      </c>
      <c r="C32">
        <f>'[22]GABM_R03_RossAPI-data'!$J31/'[22]GABM_R03_RossAPI-data'!$L31</f>
        <v>0.54520000000000002</v>
      </c>
      <c r="D32">
        <f>'[23]GABM_R03_RandiAPI-data'!$J31/'[23]GABM_R03_RandiAPI-data'!$L31</f>
        <v>0.28160000000000002</v>
      </c>
      <c r="E32">
        <f>'[24]GABM_R03_NavidAPI-data'!$J31/'[24]GABM_R03_NavidAPI-data'!$L31</f>
        <v>0.55840000000000001</v>
      </c>
      <c r="F32">
        <f>'[25]GABM_R03_Terry-data'!$J31/'[25]GABM_R03_Terry-data'!$L31</f>
        <v>0.22559999999999999</v>
      </c>
      <c r="G32">
        <f>'[26]GABM_R03_SarahAPI-data'!$J31/'[26]GABM_R03_SarahAPI-data'!$L31</f>
        <v>0.64839999999999998</v>
      </c>
      <c r="H32">
        <f>'[27]GABM_R03_savannah-data'!$J31/'[27]GABM_R03_savannah-data'!$L31</f>
        <v>0.29399999999999998</v>
      </c>
      <c r="I32">
        <f>'[28]GABM_R03_MitchellAPI-data'!$J31/'[28]GABM_R03_MitchellAPI-data'!$L31</f>
        <v>0.99080000000000001</v>
      </c>
      <c r="J32">
        <f>'[29]GABM_R03_SudipaAPI-data'!$J31/'[29]GABM_R03_SudipaAPI-data'!$L31</f>
        <v>0.17280000000000001</v>
      </c>
      <c r="K32">
        <f>'[30]R03_GABM_run2-data'!$J31/'[30]R03_GABM_run2-data'!$L31</f>
        <v>0.55640000000000001</v>
      </c>
      <c r="L32">
        <f t="shared" si="0"/>
        <v>0.48875999999999997</v>
      </c>
    </row>
    <row r="33" spans="1:12" x14ac:dyDescent="0.35">
      <c r="A33">
        <v>30</v>
      </c>
      <c r="B33">
        <f>'[21]R03_GABM-data'!$J32/'[21]R03_GABM-data'!$L32</f>
        <v>0.996</v>
      </c>
      <c r="C33">
        <f>'[22]GABM_R03_RossAPI-data'!$J32/'[22]GABM_R03_RossAPI-data'!$L32</f>
        <v>0.47760000000000002</v>
      </c>
      <c r="D33">
        <f>'[23]GABM_R03_RandiAPI-data'!$J32/'[23]GABM_R03_RandiAPI-data'!$L32</f>
        <v>0.61080000000000001</v>
      </c>
      <c r="E33">
        <f>'[24]GABM_R03_NavidAPI-data'!$J32/'[24]GABM_R03_NavidAPI-data'!$L32</f>
        <v>0.2828</v>
      </c>
      <c r="F33">
        <f>'[25]GABM_R03_Terry-data'!$J32/'[25]GABM_R03_Terry-data'!$L32</f>
        <v>0.60760000000000003</v>
      </c>
      <c r="G33">
        <f>'[26]GABM_R03_SarahAPI-data'!$J32/'[26]GABM_R03_SarahAPI-data'!$L32</f>
        <v>0.63439999999999996</v>
      </c>
      <c r="H33">
        <f>'[27]GABM_R03_savannah-data'!$J32/'[27]GABM_R03_savannah-data'!$L32</f>
        <v>0.29920000000000002</v>
      </c>
      <c r="I33">
        <f>'[28]GABM_R03_MitchellAPI-data'!$J32/'[28]GABM_R03_MitchellAPI-data'!$L32</f>
        <v>0.62760000000000005</v>
      </c>
      <c r="J33">
        <f>'[29]GABM_R03_SudipaAPI-data'!$J32/'[29]GABM_R03_SudipaAPI-data'!$L32</f>
        <v>0.49359999999999998</v>
      </c>
      <c r="K33">
        <f>'[30]R03_GABM_run2-data'!$J32/'[30]R03_GABM_run2-data'!$L32</f>
        <v>0.32240000000000002</v>
      </c>
      <c r="L33">
        <f t="shared" si="0"/>
        <v>0.5351999999999999</v>
      </c>
    </row>
    <row r="34" spans="1:12" x14ac:dyDescent="0.35">
      <c r="A34">
        <v>31</v>
      </c>
      <c r="B34">
        <f>'[21]R03_GABM-data'!$J33/'[21]R03_GABM-data'!$L33</f>
        <v>0.63959999999999995</v>
      </c>
      <c r="C34">
        <f>'[22]GABM_R03_RossAPI-data'!$J33/'[22]GABM_R03_RossAPI-data'!$L33</f>
        <v>0.43959999999999999</v>
      </c>
      <c r="D34">
        <f>'[23]GABM_R03_RandiAPI-data'!$J33/'[23]GABM_R03_RandiAPI-data'!$L33</f>
        <v>0.57799999999999996</v>
      </c>
      <c r="E34">
        <f>'[24]GABM_R03_NavidAPI-data'!$J33/'[24]GABM_R03_NavidAPI-data'!$L33</f>
        <v>0.29320000000000002</v>
      </c>
      <c r="F34">
        <f>'[25]GABM_R03_Terry-data'!$J33/'[25]GABM_R03_Terry-data'!$L33</f>
        <v>0.45879999999999999</v>
      </c>
      <c r="G34">
        <f>'[26]GABM_R03_SarahAPI-data'!$J33/'[26]GABM_R03_SarahAPI-data'!$L33</f>
        <v>0.62919999999999998</v>
      </c>
      <c r="H34">
        <f>'[27]GABM_R03_savannah-data'!$J33/'[27]GABM_R03_savannah-data'!$L33</f>
        <v>0.2024</v>
      </c>
      <c r="I34">
        <f>'[28]GABM_R03_MitchellAPI-data'!$J33/'[28]GABM_R03_MitchellAPI-data'!$L33</f>
        <v>0.65200000000000002</v>
      </c>
      <c r="J34">
        <f>'[29]GABM_R03_SudipaAPI-data'!$J33/'[29]GABM_R03_SudipaAPI-data'!$L33</f>
        <v>0.12479999999999999</v>
      </c>
      <c r="K34">
        <f>'[30]R03_GABM_run2-data'!$J33/'[30]R03_GABM_run2-data'!$L33</f>
        <v>0.30759999999999998</v>
      </c>
      <c r="L34">
        <f t="shared" si="0"/>
        <v>0.43251999999999996</v>
      </c>
    </row>
    <row r="35" spans="1:12" x14ac:dyDescent="0.35">
      <c r="A35">
        <v>32</v>
      </c>
      <c r="B35">
        <f>'[21]R03_GABM-data'!$J34/'[21]R03_GABM-data'!$L34</f>
        <v>0.31359999999999999</v>
      </c>
      <c r="C35">
        <f>'[22]GABM_R03_RossAPI-data'!$J34/'[22]GABM_R03_RossAPI-data'!$L34</f>
        <v>0.21</v>
      </c>
      <c r="D35">
        <f>'[23]GABM_R03_RandiAPI-data'!$J34/'[23]GABM_R03_RandiAPI-data'!$L34</f>
        <v>0.2848</v>
      </c>
      <c r="E35">
        <f>'[24]GABM_R03_NavidAPI-data'!$J34/'[24]GABM_R03_NavidAPI-data'!$L34</f>
        <v>0.46879999999999999</v>
      </c>
      <c r="F35">
        <f>'[25]GABM_R03_Terry-data'!$J34/'[25]GABM_R03_Terry-data'!$L34</f>
        <v>0.58199999999999996</v>
      </c>
      <c r="G35">
        <f>'[26]GABM_R03_SarahAPI-data'!$J34/'[26]GABM_R03_SarahAPI-data'!$L34</f>
        <v>0.63039999999999996</v>
      </c>
      <c r="H35">
        <f>'[27]GABM_R03_savannah-data'!$J34/'[27]GABM_R03_savannah-data'!$L34</f>
        <v>0.22159999999999999</v>
      </c>
      <c r="I35">
        <f>'[28]GABM_R03_MitchellAPI-data'!$J34/'[28]GABM_R03_MitchellAPI-data'!$L34</f>
        <v>0.98960000000000004</v>
      </c>
      <c r="J35">
        <f>'[29]GABM_R03_SudipaAPI-data'!$J34/'[29]GABM_R03_SudipaAPI-data'!$L34</f>
        <v>0.1236</v>
      </c>
      <c r="K35">
        <f>'[30]R03_GABM_run2-data'!$J34/'[30]R03_GABM_run2-data'!$L34</f>
        <v>0.46279999999999999</v>
      </c>
      <c r="L35">
        <f t="shared" si="0"/>
        <v>0.42872000000000005</v>
      </c>
    </row>
    <row r="36" spans="1:12" x14ac:dyDescent="0.35">
      <c r="A36">
        <v>33</v>
      </c>
      <c r="B36">
        <f>'[21]R03_GABM-data'!$J35/'[21]R03_GABM-data'!$L35</f>
        <v>0.52559999999999996</v>
      </c>
      <c r="C36">
        <f>'[22]GABM_R03_RossAPI-data'!$J35/'[22]GABM_R03_RossAPI-data'!$L35</f>
        <v>0.30919999999999997</v>
      </c>
      <c r="D36">
        <f>'[23]GABM_R03_RandiAPI-data'!$J35/'[23]GABM_R03_RandiAPI-data'!$L35</f>
        <v>0.57679999999999998</v>
      </c>
      <c r="E36">
        <f>'[24]GABM_R03_NavidAPI-data'!$J35/'[24]GABM_R03_NavidAPI-data'!$L35</f>
        <v>0.1832</v>
      </c>
      <c r="F36">
        <f>'[25]GABM_R03_Terry-data'!$J35/'[25]GABM_R03_Terry-data'!$L35</f>
        <v>0.98960000000000004</v>
      </c>
      <c r="G36">
        <f>'[26]GABM_R03_SarahAPI-data'!$J35/'[26]GABM_R03_SarahAPI-data'!$L35</f>
        <v>0.63</v>
      </c>
      <c r="H36">
        <f>'[27]GABM_R03_savannah-data'!$J35/'[27]GABM_R03_savannah-data'!$L35</f>
        <v>0.1888</v>
      </c>
      <c r="I36">
        <f>'[28]GABM_R03_MitchellAPI-data'!$J35/'[28]GABM_R03_MitchellAPI-data'!$L35</f>
        <v>0.29399999999999998</v>
      </c>
      <c r="J36">
        <f>'[29]GABM_R03_SudipaAPI-data'!$J35/'[29]GABM_R03_SudipaAPI-data'!$L35</f>
        <v>0.2964</v>
      </c>
      <c r="K36">
        <f>'[30]R03_GABM_run2-data'!$J35/'[30]R03_GABM_run2-data'!$L35</f>
        <v>0.48039999999999999</v>
      </c>
      <c r="L36">
        <f t="shared" si="0"/>
        <v>0.44740000000000002</v>
      </c>
    </row>
    <row r="37" spans="1:12" x14ac:dyDescent="0.35">
      <c r="A37">
        <v>34</v>
      </c>
      <c r="B37">
        <f>'[21]R03_GABM-data'!$J36/'[21]R03_GABM-data'!$L36</f>
        <v>0.55520000000000003</v>
      </c>
      <c r="C37">
        <f>'[22]GABM_R03_RossAPI-data'!$J36/'[22]GABM_R03_RossAPI-data'!$L36</f>
        <v>0.52800000000000002</v>
      </c>
      <c r="D37">
        <f>'[23]GABM_R03_RandiAPI-data'!$J36/'[23]GABM_R03_RandiAPI-data'!$L36</f>
        <v>0.57999999999999996</v>
      </c>
      <c r="E37">
        <f>'[24]GABM_R03_NavidAPI-data'!$J36/'[24]GABM_R03_NavidAPI-data'!$L36</f>
        <v>0.69440000000000002</v>
      </c>
      <c r="F37">
        <f>'[25]GABM_R03_Terry-data'!$J36/'[25]GABM_R03_Terry-data'!$L36</f>
        <v>0.62639999999999996</v>
      </c>
      <c r="G37">
        <f>'[26]GABM_R03_SarahAPI-data'!$J36/'[26]GABM_R03_SarahAPI-data'!$L36</f>
        <v>0.63239999999999996</v>
      </c>
      <c r="H37">
        <f>'[27]GABM_R03_savannah-data'!$J36/'[27]GABM_R03_savannah-data'!$L36</f>
        <v>0.66439999999999999</v>
      </c>
      <c r="I37">
        <f>'[28]GABM_R03_MitchellAPI-data'!$J36/'[28]GABM_R03_MitchellAPI-data'!$L36</f>
        <v>0.28839999999999999</v>
      </c>
      <c r="J37">
        <f>'[29]GABM_R03_SudipaAPI-data'!$J36/'[29]GABM_R03_SudipaAPI-data'!$L36</f>
        <v>0.52080000000000004</v>
      </c>
      <c r="K37">
        <f>'[30]R03_GABM_run2-data'!$J36/'[30]R03_GABM_run2-data'!$L36</f>
        <v>0.5796</v>
      </c>
      <c r="L37">
        <f t="shared" si="0"/>
        <v>0.56696000000000013</v>
      </c>
    </row>
    <row r="38" spans="1:12" x14ac:dyDescent="0.35">
      <c r="A38">
        <v>35</v>
      </c>
      <c r="B38">
        <f>'[21]R03_GABM-data'!$J37/'[21]R03_GABM-data'!$L37</f>
        <v>0.57799999999999996</v>
      </c>
      <c r="C38">
        <f>'[22]GABM_R03_RossAPI-data'!$J37/'[22]GABM_R03_RossAPI-data'!$L37</f>
        <v>0.61919999999999997</v>
      </c>
      <c r="D38">
        <f>'[23]GABM_R03_RandiAPI-data'!$J37/'[23]GABM_R03_RandiAPI-data'!$L37</f>
        <v>0.59279999999999999</v>
      </c>
      <c r="E38">
        <f>'[24]GABM_R03_NavidAPI-data'!$J37/'[24]GABM_R03_NavidAPI-data'!$L37</f>
        <v>0.43840000000000001</v>
      </c>
      <c r="F38">
        <f>'[25]GABM_R03_Terry-data'!$J37/'[25]GABM_R03_Terry-data'!$L37</f>
        <v>0.62360000000000004</v>
      </c>
      <c r="G38">
        <f>'[26]GABM_R03_SarahAPI-data'!$J37/'[26]GABM_R03_SarahAPI-data'!$L37</f>
        <v>0.63680000000000003</v>
      </c>
      <c r="H38">
        <f>'[27]GABM_R03_savannah-data'!$J37/'[27]GABM_R03_savannah-data'!$L37</f>
        <v>0.4844</v>
      </c>
      <c r="I38">
        <f>'[28]GABM_R03_MitchellAPI-data'!$J37/'[28]GABM_R03_MitchellAPI-data'!$L37</f>
        <v>0.52400000000000002</v>
      </c>
      <c r="J38">
        <f>'[29]GABM_R03_SudipaAPI-data'!$J37/'[29]GABM_R03_SudipaAPI-data'!$L37</f>
        <v>0.58640000000000003</v>
      </c>
      <c r="K38">
        <f>'[30]R03_GABM_run2-data'!$J37/'[30]R03_GABM_run2-data'!$L37</f>
        <v>0.60440000000000005</v>
      </c>
      <c r="L38">
        <f t="shared" si="0"/>
        <v>0.56880000000000008</v>
      </c>
    </row>
    <row r="39" spans="1:12" x14ac:dyDescent="0.35">
      <c r="A39">
        <v>36</v>
      </c>
      <c r="B39">
        <f>'[21]R03_GABM-data'!$J38/'[21]R03_GABM-data'!$L38</f>
        <v>0.61880000000000002</v>
      </c>
      <c r="C39">
        <f>'[22]GABM_R03_RossAPI-data'!$J38/'[22]GABM_R03_RossAPI-data'!$L38</f>
        <v>0.61839999999999995</v>
      </c>
      <c r="D39">
        <f>'[23]GABM_R03_RandiAPI-data'!$J38/'[23]GABM_R03_RandiAPI-data'!$L38</f>
        <v>0.98399999999999999</v>
      </c>
      <c r="E39">
        <f>'[24]GABM_R03_NavidAPI-data'!$J38/'[24]GABM_R03_NavidAPI-data'!$L38</f>
        <v>0.55879999999999996</v>
      </c>
      <c r="F39">
        <f>'[25]GABM_R03_Terry-data'!$J38/'[25]GABM_R03_Terry-data'!$L38</f>
        <v>0.60319999999999996</v>
      </c>
      <c r="G39">
        <f>'[26]GABM_R03_SarahAPI-data'!$J38/'[26]GABM_R03_SarahAPI-data'!$L38</f>
        <v>0.66320000000000001</v>
      </c>
      <c r="H39">
        <f>'[27]GABM_R03_savannah-data'!$J38/'[27]GABM_R03_savannah-data'!$L38</f>
        <v>0.56679999999999997</v>
      </c>
      <c r="I39">
        <f>'[28]GABM_R03_MitchellAPI-data'!$J38/'[28]GABM_R03_MitchellAPI-data'!$L38</f>
        <v>0.22439999999999999</v>
      </c>
      <c r="J39">
        <f>'[29]GABM_R03_SudipaAPI-data'!$J38/'[29]GABM_R03_SudipaAPI-data'!$L38</f>
        <v>0.98919999999999997</v>
      </c>
      <c r="K39">
        <f>'[30]R03_GABM_run2-data'!$J38/'[30]R03_GABM_run2-data'!$L38</f>
        <v>0.56840000000000002</v>
      </c>
      <c r="L39">
        <f t="shared" si="0"/>
        <v>0.63952000000000009</v>
      </c>
    </row>
    <row r="40" spans="1:12" x14ac:dyDescent="0.35">
      <c r="A40">
        <v>37</v>
      </c>
      <c r="B40">
        <f>'[21]R03_GABM-data'!$J39/'[21]R03_GABM-data'!$L39</f>
        <v>0.61919999999999997</v>
      </c>
      <c r="C40">
        <f>'[22]GABM_R03_RossAPI-data'!$J39/'[22]GABM_R03_RossAPI-data'!$L39</f>
        <v>0.64839999999999998</v>
      </c>
      <c r="D40">
        <f>'[23]GABM_R03_RandiAPI-data'!$J39/'[23]GABM_R03_RandiAPI-data'!$L39</f>
        <v>0.6008</v>
      </c>
      <c r="E40">
        <f>'[24]GABM_R03_NavidAPI-data'!$J39/'[24]GABM_R03_NavidAPI-data'!$L39</f>
        <v>0.27079999999999999</v>
      </c>
      <c r="F40">
        <f>'[25]GABM_R03_Terry-data'!$J39/'[25]GABM_R03_Terry-data'!$L39</f>
        <v>0.74760000000000004</v>
      </c>
      <c r="G40">
        <f>'[26]GABM_R03_SarahAPI-data'!$J39/'[26]GABM_R03_SarahAPI-data'!$L39</f>
        <v>0.60680000000000001</v>
      </c>
      <c r="H40">
        <f>'[27]GABM_R03_savannah-data'!$J39/'[27]GABM_R03_savannah-data'!$L39</f>
        <v>0.2984</v>
      </c>
      <c r="I40">
        <f>'[28]GABM_R03_MitchellAPI-data'!$J39/'[28]GABM_R03_MitchellAPI-data'!$L39</f>
        <v>0.59399999999999997</v>
      </c>
      <c r="J40">
        <f>'[29]GABM_R03_SudipaAPI-data'!$J39/'[29]GABM_R03_SudipaAPI-data'!$L39</f>
        <v>0.99160000000000004</v>
      </c>
      <c r="K40">
        <f>'[30]R03_GABM_run2-data'!$J39/'[30]R03_GABM_run2-data'!$L39</f>
        <v>0.5796</v>
      </c>
      <c r="L40">
        <f t="shared" si="0"/>
        <v>0.59572000000000003</v>
      </c>
    </row>
    <row r="41" spans="1:12" x14ac:dyDescent="0.35">
      <c r="A41">
        <v>38</v>
      </c>
      <c r="B41">
        <f>'[21]R03_GABM-data'!$J40/'[21]R03_GABM-data'!$L40</f>
        <v>0.61040000000000005</v>
      </c>
      <c r="C41">
        <f>'[22]GABM_R03_RossAPI-data'!$J40/'[22]GABM_R03_RossAPI-data'!$L40</f>
        <v>0.6008</v>
      </c>
      <c r="D41">
        <f>'[23]GABM_R03_RandiAPI-data'!$J40/'[23]GABM_R03_RandiAPI-data'!$L40</f>
        <v>0.98280000000000001</v>
      </c>
      <c r="E41">
        <f>'[24]GABM_R03_NavidAPI-data'!$J40/'[24]GABM_R03_NavidAPI-data'!$L40</f>
        <v>0.50760000000000005</v>
      </c>
      <c r="F41">
        <f>'[25]GABM_R03_Terry-data'!$J40/'[25]GABM_R03_Terry-data'!$L40</f>
        <v>0.61280000000000001</v>
      </c>
      <c r="G41">
        <f>'[26]GABM_R03_SarahAPI-data'!$J40/'[26]GABM_R03_SarahAPI-data'!$L40</f>
        <v>0.628</v>
      </c>
      <c r="H41">
        <f>'[27]GABM_R03_savannah-data'!$J40/'[27]GABM_R03_savannah-data'!$L40</f>
        <v>0.5756</v>
      </c>
      <c r="I41">
        <f>'[28]GABM_R03_MitchellAPI-data'!$J40/'[28]GABM_R03_MitchellAPI-data'!$L40</f>
        <v>0.44119999999999998</v>
      </c>
      <c r="J41">
        <f>'[29]GABM_R03_SudipaAPI-data'!$J40/'[29]GABM_R03_SudipaAPI-data'!$L40</f>
        <v>0.99319999999999997</v>
      </c>
      <c r="K41">
        <f>'[30]R03_GABM_run2-data'!$J40/'[30]R03_GABM_run2-data'!$L40</f>
        <v>0.58320000000000005</v>
      </c>
      <c r="L41">
        <f t="shared" si="0"/>
        <v>0.65355999999999992</v>
      </c>
    </row>
    <row r="42" spans="1:12" x14ac:dyDescent="0.35">
      <c r="A42">
        <v>39</v>
      </c>
      <c r="B42">
        <f>'[21]R03_GABM-data'!$J41/'[21]R03_GABM-data'!$L41</f>
        <v>0.60360000000000003</v>
      </c>
      <c r="C42">
        <f>'[22]GABM_R03_RossAPI-data'!$J41/'[22]GABM_R03_RossAPI-data'!$L41</f>
        <v>0.56000000000000005</v>
      </c>
      <c r="D42">
        <f>'[23]GABM_R03_RandiAPI-data'!$J41/'[23]GABM_R03_RandiAPI-data'!$L41</f>
        <v>0.58799999999999997</v>
      </c>
      <c r="E42">
        <f>'[24]GABM_R03_NavidAPI-data'!$J41/'[24]GABM_R03_NavidAPI-data'!$L41</f>
        <v>0.26840000000000003</v>
      </c>
      <c r="F42">
        <f>'[25]GABM_R03_Terry-data'!$J41/'[25]GABM_R03_Terry-data'!$L41</f>
        <v>0.46</v>
      </c>
      <c r="G42">
        <f>'[26]GABM_R03_SarahAPI-data'!$J41/'[26]GABM_R03_SarahAPI-data'!$L41</f>
        <v>0.64839999999999998</v>
      </c>
      <c r="H42">
        <f>'[27]GABM_R03_savannah-data'!$J41/'[27]GABM_R03_savannah-data'!$L41</f>
        <v>0.56640000000000001</v>
      </c>
      <c r="I42">
        <f>'[28]GABM_R03_MitchellAPI-data'!$J41/'[28]GABM_R03_MitchellAPI-data'!$L41</f>
        <v>0.45400000000000001</v>
      </c>
      <c r="J42">
        <f>'[29]GABM_R03_SudipaAPI-data'!$J41/'[29]GABM_R03_SudipaAPI-data'!$L41</f>
        <v>0.99</v>
      </c>
      <c r="K42">
        <f>'[30]R03_GABM_run2-data'!$J41/'[30]R03_GABM_run2-data'!$L41</f>
        <v>0.46239999999999998</v>
      </c>
      <c r="L42">
        <f t="shared" si="0"/>
        <v>0.56012000000000006</v>
      </c>
    </row>
    <row r="43" spans="1:12" x14ac:dyDescent="0.35">
      <c r="A43">
        <v>40</v>
      </c>
      <c r="B43">
        <f>'[21]R03_GABM-data'!$J42/'[21]R03_GABM-data'!$L42</f>
        <v>0.61560000000000004</v>
      </c>
      <c r="C43">
        <f>'[22]GABM_R03_RossAPI-data'!$J42/'[22]GABM_R03_RossAPI-data'!$L42</f>
        <v>0.64759999999999995</v>
      </c>
      <c r="D43">
        <f>'[23]GABM_R03_RandiAPI-data'!$J42/'[23]GABM_R03_RandiAPI-data'!$L42</f>
        <v>0.59599999999999997</v>
      </c>
      <c r="E43">
        <f>'[24]GABM_R03_NavidAPI-data'!$J42/'[24]GABM_R03_NavidAPI-data'!$L42</f>
        <v>0.61599999999999999</v>
      </c>
      <c r="F43">
        <f>'[25]GABM_R03_Terry-data'!$J42/'[25]GABM_R03_Terry-data'!$L42</f>
        <v>0.57840000000000003</v>
      </c>
      <c r="G43">
        <f>'[26]GABM_R03_SarahAPI-data'!$J42/'[26]GABM_R03_SarahAPI-data'!$L42</f>
        <v>0.62439999999999996</v>
      </c>
      <c r="H43">
        <f>'[27]GABM_R03_savannah-data'!$J42/'[27]GABM_R03_savannah-data'!$L42</f>
        <v>0.47960000000000003</v>
      </c>
      <c r="I43">
        <f>'[28]GABM_R03_MitchellAPI-data'!$J42/'[28]GABM_R03_MitchellAPI-data'!$L42</f>
        <v>0.6048</v>
      </c>
      <c r="J43">
        <f>'[29]GABM_R03_SudipaAPI-data'!$J42/'[29]GABM_R03_SudipaAPI-data'!$L42</f>
        <v>0.62119999999999997</v>
      </c>
      <c r="K43">
        <f>'[30]R03_GABM_run2-data'!$J42/'[30]R03_GABM_run2-data'!$L42</f>
        <v>0.3004</v>
      </c>
      <c r="L43">
        <f t="shared" si="0"/>
        <v>0.56840000000000002</v>
      </c>
    </row>
    <row r="44" spans="1:12" x14ac:dyDescent="0.35">
      <c r="A44">
        <v>41</v>
      </c>
      <c r="B44">
        <f>'[21]R03_GABM-data'!$J43/'[21]R03_GABM-data'!$L43</f>
        <v>0.64680000000000004</v>
      </c>
      <c r="C44">
        <f>'[22]GABM_R03_RossAPI-data'!$J43/'[22]GABM_R03_RossAPI-data'!$L43</f>
        <v>0.61880000000000002</v>
      </c>
      <c r="D44">
        <f>'[23]GABM_R03_RandiAPI-data'!$J43/'[23]GABM_R03_RandiAPI-data'!$L43</f>
        <v>0.61719999999999997</v>
      </c>
      <c r="E44">
        <f>'[24]GABM_R03_NavidAPI-data'!$J43/'[24]GABM_R03_NavidAPI-data'!$L43</f>
        <v>0.98599999999999999</v>
      </c>
      <c r="F44">
        <f>'[25]GABM_R03_Terry-data'!$J43/'[25]GABM_R03_Terry-data'!$L43</f>
        <v>0.48680000000000001</v>
      </c>
      <c r="G44">
        <f>'[26]GABM_R03_SarahAPI-data'!$J43/'[26]GABM_R03_SarahAPI-data'!$L43</f>
        <v>0.62960000000000005</v>
      </c>
      <c r="H44">
        <f>'[27]GABM_R03_savannah-data'!$J43/'[27]GABM_R03_savannah-data'!$L43</f>
        <v>0.52680000000000005</v>
      </c>
      <c r="I44">
        <f>'[28]GABM_R03_MitchellAPI-data'!$J43/'[28]GABM_R03_MitchellAPI-data'!$L43</f>
        <v>0.2732</v>
      </c>
      <c r="J44">
        <f>'[29]GABM_R03_SudipaAPI-data'!$J43/'[29]GABM_R03_SudipaAPI-data'!$L43</f>
        <v>0.61</v>
      </c>
      <c r="K44">
        <f>'[30]R03_GABM_run2-data'!$J43/'[30]R03_GABM_run2-data'!$L43</f>
        <v>0.52159999999999995</v>
      </c>
      <c r="L44">
        <f t="shared" si="0"/>
        <v>0.59168000000000009</v>
      </c>
    </row>
    <row r="45" spans="1:12" x14ac:dyDescent="0.35">
      <c r="A45">
        <v>42</v>
      </c>
      <c r="B45">
        <f>'[21]R03_GABM-data'!$J44/'[21]R03_GABM-data'!$L44</f>
        <v>0.58399999999999996</v>
      </c>
      <c r="C45">
        <f>'[22]GABM_R03_RossAPI-data'!$J44/'[22]GABM_R03_RossAPI-data'!$L44</f>
        <v>0.54679999999999995</v>
      </c>
      <c r="D45">
        <f>'[23]GABM_R03_RandiAPI-data'!$J44/'[23]GABM_R03_RandiAPI-data'!$L44</f>
        <v>0.61439999999999995</v>
      </c>
      <c r="E45">
        <f>'[24]GABM_R03_NavidAPI-data'!$J44/'[24]GABM_R03_NavidAPI-data'!$L44</f>
        <v>0.63239999999999996</v>
      </c>
      <c r="F45">
        <f>'[25]GABM_R03_Terry-data'!$J44/'[25]GABM_R03_Terry-data'!$L44</f>
        <v>0.22639999999999999</v>
      </c>
      <c r="G45">
        <f>'[26]GABM_R03_SarahAPI-data'!$J44/'[26]GABM_R03_SarahAPI-data'!$L44</f>
        <v>0.61399999999999999</v>
      </c>
      <c r="H45">
        <f>'[27]GABM_R03_savannah-data'!$J44/'[27]GABM_R03_savannah-data'!$L44</f>
        <v>0.47720000000000001</v>
      </c>
      <c r="I45">
        <f>'[28]GABM_R03_MitchellAPI-data'!$J44/'[28]GABM_R03_MitchellAPI-data'!$L44</f>
        <v>0.60560000000000003</v>
      </c>
      <c r="J45">
        <f>'[29]GABM_R03_SudipaAPI-data'!$J44/'[29]GABM_R03_SudipaAPI-data'!$L44</f>
        <v>0.98960000000000004</v>
      </c>
      <c r="K45">
        <f>'[30]R03_GABM_run2-data'!$J44/'[30]R03_GABM_run2-data'!$L44</f>
        <v>0.53120000000000001</v>
      </c>
      <c r="L45">
        <f t="shared" si="0"/>
        <v>0.58216000000000001</v>
      </c>
    </row>
    <row r="46" spans="1:12" x14ac:dyDescent="0.35">
      <c r="A46">
        <v>43</v>
      </c>
      <c r="B46">
        <f>'[21]R03_GABM-data'!$J45/'[21]R03_GABM-data'!$L45</f>
        <v>0.59040000000000004</v>
      </c>
      <c r="C46">
        <f>'[22]GABM_R03_RossAPI-data'!$J45/'[22]GABM_R03_RossAPI-data'!$L45</f>
        <v>0.50080000000000002</v>
      </c>
      <c r="D46">
        <f>'[23]GABM_R03_RandiAPI-data'!$J45/'[23]GABM_R03_RandiAPI-data'!$L45</f>
        <v>0.59519999999999995</v>
      </c>
      <c r="E46">
        <f>'[24]GABM_R03_NavidAPI-data'!$J45/'[24]GABM_R03_NavidAPI-data'!$L45</f>
        <v>0.99280000000000002</v>
      </c>
      <c r="F46">
        <f>'[25]GABM_R03_Terry-data'!$J45/'[25]GABM_R03_Terry-data'!$L45</f>
        <v>0.58879999999999999</v>
      </c>
      <c r="G46">
        <f>'[26]GABM_R03_SarahAPI-data'!$J45/'[26]GABM_R03_SarahAPI-data'!$L45</f>
        <v>0.63360000000000005</v>
      </c>
      <c r="H46">
        <f>'[27]GABM_R03_savannah-data'!$J45/'[27]GABM_R03_savannah-data'!$L45</f>
        <v>0.54400000000000004</v>
      </c>
      <c r="I46">
        <f>'[28]GABM_R03_MitchellAPI-data'!$J45/'[28]GABM_R03_MitchellAPI-data'!$L45</f>
        <v>0.59399999999999997</v>
      </c>
      <c r="J46">
        <f>'[29]GABM_R03_SudipaAPI-data'!$J45/'[29]GABM_R03_SudipaAPI-data'!$L45</f>
        <v>0.996</v>
      </c>
      <c r="K46">
        <f>'[30]R03_GABM_run2-data'!$J45/'[30]R03_GABM_run2-data'!$L45</f>
        <v>0.53200000000000003</v>
      </c>
      <c r="L46">
        <f t="shared" si="0"/>
        <v>0.65676000000000001</v>
      </c>
    </row>
    <row r="47" spans="1:12" x14ac:dyDescent="0.35">
      <c r="A47">
        <v>44</v>
      </c>
      <c r="B47">
        <f>'[21]R03_GABM-data'!$J46/'[21]R03_GABM-data'!$L46</f>
        <v>0.60760000000000003</v>
      </c>
      <c r="C47">
        <f>'[22]GABM_R03_RossAPI-data'!$J46/'[22]GABM_R03_RossAPI-data'!$L46</f>
        <v>0.48199999999999998</v>
      </c>
      <c r="D47">
        <f>'[23]GABM_R03_RandiAPI-data'!$J46/'[23]GABM_R03_RandiAPI-data'!$L46</f>
        <v>0.60160000000000002</v>
      </c>
      <c r="E47">
        <f>'[24]GABM_R03_NavidAPI-data'!$J46/'[24]GABM_R03_NavidAPI-data'!$L46</f>
        <v>0.61360000000000003</v>
      </c>
      <c r="F47">
        <f>'[25]GABM_R03_Terry-data'!$J46/'[25]GABM_R03_Terry-data'!$L46</f>
        <v>0.3352</v>
      </c>
      <c r="G47">
        <f>'[26]GABM_R03_SarahAPI-data'!$J46/'[26]GABM_R03_SarahAPI-data'!$L46</f>
        <v>0.62880000000000003</v>
      </c>
      <c r="H47">
        <f>'[27]GABM_R03_savannah-data'!$J46/'[27]GABM_R03_savannah-data'!$L46</f>
        <v>0.2944</v>
      </c>
      <c r="I47">
        <f>'[28]GABM_R03_MitchellAPI-data'!$J46/'[28]GABM_R03_MitchellAPI-data'!$L46</f>
        <v>0.754</v>
      </c>
      <c r="J47">
        <f>'[29]GABM_R03_SudipaAPI-data'!$J46/'[29]GABM_R03_SudipaAPI-data'!$L46</f>
        <v>0.98960000000000004</v>
      </c>
      <c r="K47">
        <f>'[30]R03_GABM_run2-data'!$J46/'[30]R03_GABM_run2-data'!$L46</f>
        <v>0.61680000000000001</v>
      </c>
      <c r="L47">
        <f t="shared" si="0"/>
        <v>0.59236</v>
      </c>
    </row>
    <row r="48" spans="1:12" x14ac:dyDescent="0.35">
      <c r="A48">
        <v>45</v>
      </c>
      <c r="B48">
        <f>'[21]R03_GABM-data'!$J47/'[21]R03_GABM-data'!$L47</f>
        <v>0.60799999999999998</v>
      </c>
      <c r="C48">
        <f>'[22]GABM_R03_RossAPI-data'!$J47/'[22]GABM_R03_RossAPI-data'!$L47</f>
        <v>0.49640000000000001</v>
      </c>
      <c r="D48">
        <f>'[23]GABM_R03_RandiAPI-data'!$J47/'[23]GABM_R03_RandiAPI-data'!$L47</f>
        <v>0.60440000000000005</v>
      </c>
      <c r="E48">
        <f>'[24]GABM_R03_NavidAPI-data'!$J47/'[24]GABM_R03_NavidAPI-data'!$L47</f>
        <v>0.62880000000000003</v>
      </c>
      <c r="F48">
        <f>'[25]GABM_R03_Terry-data'!$J47/'[25]GABM_R03_Terry-data'!$L47</f>
        <v>0.59279999999999999</v>
      </c>
      <c r="G48">
        <f>'[26]GABM_R03_SarahAPI-data'!$J47/'[26]GABM_R03_SarahAPI-data'!$L47</f>
        <v>0.60960000000000003</v>
      </c>
      <c r="H48">
        <f>'[27]GABM_R03_savannah-data'!$J47/'[27]GABM_R03_savannah-data'!$L47</f>
        <v>0.2868</v>
      </c>
      <c r="I48">
        <f>'[28]GABM_R03_MitchellAPI-data'!$J47/'[28]GABM_R03_MitchellAPI-data'!$L47</f>
        <v>0.57240000000000002</v>
      </c>
      <c r="J48">
        <f>'[29]GABM_R03_SudipaAPI-data'!$J47/'[29]GABM_R03_SudipaAPI-data'!$L47</f>
        <v>0.98839999999999995</v>
      </c>
      <c r="K48">
        <f>'[30]R03_GABM_run2-data'!$J47/'[30]R03_GABM_run2-data'!$L47</f>
        <v>0.65600000000000003</v>
      </c>
      <c r="L48">
        <f t="shared" si="0"/>
        <v>0.60436000000000001</v>
      </c>
    </row>
    <row r="49" spans="1:12" x14ac:dyDescent="0.35">
      <c r="A49">
        <v>46</v>
      </c>
      <c r="B49">
        <f>'[21]R03_GABM-data'!$J48/'[21]R03_GABM-data'!$L48</f>
        <v>0.64119999999999999</v>
      </c>
      <c r="C49">
        <f>'[22]GABM_R03_RossAPI-data'!$J48/'[22]GABM_R03_RossAPI-data'!$L48</f>
        <v>0.44800000000000001</v>
      </c>
      <c r="D49">
        <f>'[23]GABM_R03_RandiAPI-data'!$J48/'[23]GABM_R03_RandiAPI-data'!$L48</f>
        <v>0.59760000000000002</v>
      </c>
      <c r="E49">
        <f>'[24]GABM_R03_NavidAPI-data'!$J48/'[24]GABM_R03_NavidAPI-data'!$L48</f>
        <v>0.58040000000000003</v>
      </c>
      <c r="F49">
        <f>'[25]GABM_R03_Terry-data'!$J48/'[25]GABM_R03_Terry-data'!$L48</f>
        <v>0.60160000000000002</v>
      </c>
      <c r="G49">
        <f>'[26]GABM_R03_SarahAPI-data'!$J48/'[26]GABM_R03_SarahAPI-data'!$L48</f>
        <v>0.624</v>
      </c>
      <c r="H49">
        <f>'[27]GABM_R03_savannah-data'!$J48/'[27]GABM_R03_savannah-data'!$L48</f>
        <v>0.55320000000000003</v>
      </c>
      <c r="I49">
        <f>'[28]GABM_R03_MitchellAPI-data'!$J48/'[28]GABM_R03_MitchellAPI-data'!$L48</f>
        <v>0.50600000000000001</v>
      </c>
      <c r="J49">
        <f>'[29]GABM_R03_SudipaAPI-data'!$J48/'[29]GABM_R03_SudipaAPI-data'!$L48</f>
        <v>0.6532</v>
      </c>
      <c r="K49">
        <f>'[30]R03_GABM_run2-data'!$J48/'[30]R03_GABM_run2-data'!$L48</f>
        <v>0.63119999999999998</v>
      </c>
      <c r="L49">
        <f t="shared" si="0"/>
        <v>0.58364000000000005</v>
      </c>
    </row>
    <row r="50" spans="1:12" x14ac:dyDescent="0.35">
      <c r="A50">
        <v>47</v>
      </c>
      <c r="B50">
        <f>'[21]R03_GABM-data'!$J49/'[21]R03_GABM-data'!$L49</f>
        <v>0.99560000000000004</v>
      </c>
      <c r="C50">
        <f>'[22]GABM_R03_RossAPI-data'!$J49/'[22]GABM_R03_RossAPI-data'!$L49</f>
        <v>0.4824</v>
      </c>
      <c r="D50">
        <f>'[23]GABM_R03_RandiAPI-data'!$J49/'[23]GABM_R03_RandiAPI-data'!$L49</f>
        <v>0.98040000000000005</v>
      </c>
      <c r="E50">
        <f>'[24]GABM_R03_NavidAPI-data'!$J49/'[24]GABM_R03_NavidAPI-data'!$L49</f>
        <v>0.29520000000000002</v>
      </c>
      <c r="F50">
        <f>'[25]GABM_R03_Terry-data'!$J49/'[25]GABM_R03_Terry-data'!$L49</f>
        <v>0.60799999999999998</v>
      </c>
      <c r="G50">
        <f>'[26]GABM_R03_SarahAPI-data'!$J49/'[26]GABM_R03_SarahAPI-data'!$L49</f>
        <v>0.65600000000000003</v>
      </c>
      <c r="H50">
        <f>'[27]GABM_R03_savannah-data'!$J49/'[27]GABM_R03_savannah-data'!$L49</f>
        <v>0.53439999999999999</v>
      </c>
      <c r="I50">
        <f>'[28]GABM_R03_MitchellAPI-data'!$J49/'[28]GABM_R03_MitchellAPI-data'!$L49</f>
        <v>0.46479999999999999</v>
      </c>
      <c r="J50">
        <f>'[29]GABM_R03_SudipaAPI-data'!$J49/'[29]GABM_R03_SudipaAPI-data'!$L49</f>
        <v>0.59360000000000002</v>
      </c>
      <c r="K50">
        <f>'[30]R03_GABM_run2-data'!$J49/'[30]R03_GABM_run2-data'!$L49</f>
        <v>0.61240000000000006</v>
      </c>
      <c r="L50">
        <f t="shared" si="0"/>
        <v>0.62228000000000006</v>
      </c>
    </row>
    <row r="51" spans="1:12" x14ac:dyDescent="0.35">
      <c r="A51">
        <v>48</v>
      </c>
      <c r="B51">
        <f>'[21]R03_GABM-data'!$J50/'[21]R03_GABM-data'!$L50</f>
        <v>0.99719999999999998</v>
      </c>
      <c r="C51">
        <f>'[22]GABM_R03_RossAPI-data'!$J50/'[22]GABM_R03_RossAPI-data'!$L50</f>
        <v>0.47960000000000003</v>
      </c>
      <c r="D51">
        <f>'[23]GABM_R03_RandiAPI-data'!$J50/'[23]GABM_R03_RandiAPI-data'!$L50</f>
        <v>0.61280000000000001</v>
      </c>
      <c r="E51">
        <f>'[24]GABM_R03_NavidAPI-data'!$J50/'[24]GABM_R03_NavidAPI-data'!$L50</f>
        <v>0.6008</v>
      </c>
      <c r="F51">
        <f>'[25]GABM_R03_Terry-data'!$J50/'[25]GABM_R03_Terry-data'!$L50</f>
        <v>0.60519999999999996</v>
      </c>
      <c r="G51">
        <f>'[26]GABM_R03_SarahAPI-data'!$J50/'[26]GABM_R03_SarahAPI-data'!$L50</f>
        <v>0.62119999999999997</v>
      </c>
      <c r="H51">
        <f>'[27]GABM_R03_savannah-data'!$J50/'[27]GABM_R03_savannah-data'!$L50</f>
        <v>0.59760000000000002</v>
      </c>
      <c r="I51">
        <f>'[28]GABM_R03_MitchellAPI-data'!$J50/'[28]GABM_R03_MitchellAPI-data'!$L50</f>
        <v>0.47039999999999998</v>
      </c>
      <c r="J51">
        <f>'[29]GABM_R03_SudipaAPI-data'!$J50/'[29]GABM_R03_SudipaAPI-data'!$L50</f>
        <v>0.47960000000000003</v>
      </c>
      <c r="K51">
        <f>'[30]R03_GABM_run2-data'!$J50/'[30]R03_GABM_run2-data'!$L50</f>
        <v>0.62760000000000005</v>
      </c>
      <c r="L51">
        <f t="shared" si="0"/>
        <v>0.60919999999999996</v>
      </c>
    </row>
    <row r="52" spans="1:12" x14ac:dyDescent="0.35">
      <c r="A52">
        <v>49</v>
      </c>
      <c r="B52">
        <f>'[21]R03_GABM-data'!$J51/'[21]R03_GABM-data'!$L51</f>
        <v>0.99719999999999998</v>
      </c>
      <c r="C52">
        <f>'[22]GABM_R03_RossAPI-data'!$J51/'[22]GABM_R03_RossAPI-data'!$L51</f>
        <v>0.54520000000000002</v>
      </c>
      <c r="D52">
        <f>'[23]GABM_R03_RandiAPI-data'!$J51/'[23]GABM_R03_RandiAPI-data'!$L51</f>
        <v>0.98680000000000001</v>
      </c>
      <c r="E52">
        <f>'[24]GABM_R03_NavidAPI-data'!$J51/'[24]GABM_R03_NavidAPI-data'!$L51</f>
        <v>0.52039999999999997</v>
      </c>
      <c r="F52">
        <f>'[25]GABM_R03_Terry-data'!$J51/'[25]GABM_R03_Terry-data'!$L51</f>
        <v>0.63080000000000003</v>
      </c>
      <c r="G52">
        <f>'[26]GABM_R03_SarahAPI-data'!$J51/'[26]GABM_R03_SarahAPI-data'!$L51</f>
        <v>0.63039999999999996</v>
      </c>
      <c r="H52">
        <f>'[27]GABM_R03_savannah-data'!$J51/'[27]GABM_R03_savannah-data'!$L51</f>
        <v>0.65</v>
      </c>
      <c r="I52">
        <f>'[28]GABM_R03_MitchellAPI-data'!$J51/'[28]GABM_R03_MitchellAPI-data'!$L51</f>
        <v>0.46039999999999998</v>
      </c>
      <c r="J52">
        <f>'[29]GABM_R03_SudipaAPI-data'!$J51/'[29]GABM_R03_SudipaAPI-data'!$L51</f>
        <v>0.1996</v>
      </c>
      <c r="K52">
        <f>'[30]R03_GABM_run2-data'!$J51/'[30]R03_GABM_run2-data'!$L51</f>
        <v>0.63480000000000003</v>
      </c>
      <c r="L52">
        <f t="shared" si="0"/>
        <v>0.62556</v>
      </c>
    </row>
    <row r="53" spans="1:12" x14ac:dyDescent="0.35">
      <c r="A53">
        <v>50</v>
      </c>
      <c r="B53">
        <f>'[21]R03_GABM-data'!$J52/'[21]R03_GABM-data'!$L52</f>
        <v>0.64880000000000004</v>
      </c>
      <c r="C53">
        <f>'[22]GABM_R03_RossAPI-data'!$J52/'[22]GABM_R03_RossAPI-data'!$L52</f>
        <v>0.50119999999999998</v>
      </c>
      <c r="D53">
        <f>'[23]GABM_R03_RandiAPI-data'!$J52/'[23]GABM_R03_RandiAPI-data'!$L52</f>
        <v>0.98560000000000003</v>
      </c>
      <c r="E53">
        <f>'[24]GABM_R03_NavidAPI-data'!$J52/'[24]GABM_R03_NavidAPI-data'!$L52</f>
        <v>0.61199999999999999</v>
      </c>
      <c r="F53">
        <f>'[25]GABM_R03_Terry-data'!$J52/'[25]GABM_R03_Terry-data'!$L52</f>
        <v>0.59640000000000004</v>
      </c>
      <c r="G53">
        <f>'[26]GABM_R03_SarahAPI-data'!$J52/'[26]GABM_R03_SarahAPI-data'!$L52</f>
        <v>0.62719999999999998</v>
      </c>
      <c r="H53">
        <f>'[27]GABM_R03_savannah-data'!$J52/'[27]GABM_R03_savannah-data'!$L52</f>
        <v>0.58520000000000005</v>
      </c>
      <c r="I53">
        <f>'[28]GABM_R03_MitchellAPI-data'!$J52/'[28]GABM_R03_MitchellAPI-data'!$L52</f>
        <v>0.48799999999999999</v>
      </c>
      <c r="J53">
        <f>'[29]GABM_R03_SudipaAPI-data'!$J52/'[29]GABM_R03_SudipaAPI-data'!$L52</f>
        <v>0.19639999999999999</v>
      </c>
      <c r="K53">
        <f>'[30]R03_GABM_run2-data'!$J52/'[30]R03_GABM_run2-data'!$L52</f>
        <v>0.64</v>
      </c>
      <c r="L53">
        <f t="shared" si="0"/>
        <v>0.58808000000000005</v>
      </c>
    </row>
    <row r="54" spans="1:12" x14ac:dyDescent="0.35">
      <c r="A54">
        <v>51</v>
      </c>
      <c r="B54">
        <f>'[21]R03_GABM-data'!$J53/'[21]R03_GABM-data'!$L53</f>
        <v>0.59560000000000002</v>
      </c>
      <c r="C54">
        <f>'[22]GABM_R03_RossAPI-data'!$J53/'[22]GABM_R03_RossAPI-data'!$L53</f>
        <v>0.33160000000000001</v>
      </c>
      <c r="D54">
        <f>'[23]GABM_R03_RandiAPI-data'!$J53/'[23]GABM_R03_RandiAPI-data'!$L53</f>
        <v>0.62519999999999998</v>
      </c>
      <c r="E54">
        <f>'[24]GABM_R03_NavidAPI-data'!$J53/'[24]GABM_R03_NavidAPI-data'!$L53</f>
        <v>0.61160000000000003</v>
      </c>
      <c r="F54">
        <f>'[25]GABM_R03_Terry-data'!$J53/'[25]GABM_R03_Terry-data'!$L53</f>
        <v>0.98960000000000004</v>
      </c>
      <c r="G54">
        <f>'[26]GABM_R03_SarahAPI-data'!$J53/'[26]GABM_R03_SarahAPI-data'!$L53</f>
        <v>0.64280000000000004</v>
      </c>
      <c r="H54">
        <f>'[27]GABM_R03_savannah-data'!$J53/'[27]GABM_R03_savannah-data'!$L53</f>
        <v>0.55120000000000002</v>
      </c>
      <c r="I54">
        <f>'[28]GABM_R03_MitchellAPI-data'!$J53/'[28]GABM_R03_MitchellAPI-data'!$L53</f>
        <v>0.72799999999999998</v>
      </c>
      <c r="J54">
        <f>'[29]GABM_R03_SudipaAPI-data'!$J53/'[29]GABM_R03_SudipaAPI-data'!$L53</f>
        <v>0.18559999999999999</v>
      </c>
      <c r="K54">
        <f>'[30]R03_GABM_run2-data'!$J53/'[30]R03_GABM_run2-data'!$L53</f>
        <v>0.626</v>
      </c>
      <c r="L54">
        <f t="shared" si="0"/>
        <v>0.58872000000000002</v>
      </c>
    </row>
    <row r="55" spans="1:12" x14ac:dyDescent="0.35">
      <c r="A55">
        <v>52</v>
      </c>
      <c r="B55">
        <f>'[21]R03_GABM-data'!$J54/'[21]R03_GABM-data'!$L54</f>
        <v>0.51839999999999997</v>
      </c>
      <c r="C55">
        <f>'[22]GABM_R03_RossAPI-data'!$J54/'[22]GABM_R03_RossAPI-data'!$L54</f>
        <v>0.47720000000000001</v>
      </c>
      <c r="D55">
        <f>'[23]GABM_R03_RandiAPI-data'!$J54/'[23]GABM_R03_RandiAPI-data'!$L54</f>
        <v>0.98560000000000003</v>
      </c>
      <c r="E55">
        <f>'[24]GABM_R03_NavidAPI-data'!$J54/'[24]GABM_R03_NavidAPI-data'!$L54</f>
        <v>0.99</v>
      </c>
      <c r="F55">
        <f>'[25]GABM_R03_Terry-data'!$J54/'[25]GABM_R03_Terry-data'!$L54</f>
        <v>0.99119999999999997</v>
      </c>
      <c r="G55">
        <f>'[26]GABM_R03_SarahAPI-data'!$J54/'[26]GABM_R03_SarahAPI-data'!$L54</f>
        <v>0.624</v>
      </c>
      <c r="H55">
        <f>'[27]GABM_R03_savannah-data'!$J54/'[27]GABM_R03_savannah-data'!$L54</f>
        <v>0.64400000000000002</v>
      </c>
      <c r="I55">
        <f>'[28]GABM_R03_MitchellAPI-data'!$J54/'[28]GABM_R03_MitchellAPI-data'!$L54</f>
        <v>0.43440000000000001</v>
      </c>
      <c r="J55">
        <f>'[29]GABM_R03_SudipaAPI-data'!$J54/'[29]GABM_R03_SudipaAPI-data'!$L54</f>
        <v>0.32200000000000001</v>
      </c>
      <c r="K55">
        <f>'[30]R03_GABM_run2-data'!$J54/'[30]R03_GABM_run2-data'!$L54</f>
        <v>0.99639999999999995</v>
      </c>
      <c r="L55">
        <f t="shared" si="0"/>
        <v>0.69832000000000005</v>
      </c>
    </row>
    <row r="56" spans="1:12" x14ac:dyDescent="0.35">
      <c r="A56">
        <v>53</v>
      </c>
      <c r="B56">
        <f>'[21]R03_GABM-data'!$J55/'[21]R03_GABM-data'!$L55</f>
        <v>0.50600000000000001</v>
      </c>
      <c r="C56">
        <f>'[22]GABM_R03_RossAPI-data'!$J55/'[22]GABM_R03_RossAPI-data'!$L55</f>
        <v>0.60440000000000005</v>
      </c>
      <c r="D56">
        <f>'[23]GABM_R03_RandiAPI-data'!$J55/'[23]GABM_R03_RandiAPI-data'!$L55</f>
        <v>0.98760000000000003</v>
      </c>
      <c r="E56">
        <f>'[24]GABM_R03_NavidAPI-data'!$J55/'[24]GABM_R03_NavidAPI-data'!$L55</f>
        <v>0.63439999999999996</v>
      </c>
      <c r="F56">
        <f>'[25]GABM_R03_Terry-data'!$J55/'[25]GABM_R03_Terry-data'!$L55</f>
        <v>0.99399999999999999</v>
      </c>
      <c r="G56">
        <f>'[26]GABM_R03_SarahAPI-data'!$J55/'[26]GABM_R03_SarahAPI-data'!$L55</f>
        <v>0.29880000000000001</v>
      </c>
      <c r="H56">
        <f>'[27]GABM_R03_savannah-data'!$J55/'[27]GABM_R03_savannah-data'!$L55</f>
        <v>0.55959999999999999</v>
      </c>
      <c r="I56">
        <f>'[28]GABM_R03_MitchellAPI-data'!$J55/'[28]GABM_R03_MitchellAPI-data'!$L55</f>
        <v>0.74039999999999995</v>
      </c>
      <c r="J56">
        <f>'[29]GABM_R03_SudipaAPI-data'!$J55/'[29]GABM_R03_SudipaAPI-data'!$L55</f>
        <v>0.5524</v>
      </c>
      <c r="K56">
        <f>'[30]R03_GABM_run2-data'!$J55/'[30]R03_GABM_run2-data'!$L55</f>
        <v>0.99880000000000002</v>
      </c>
      <c r="L56">
        <f t="shared" si="0"/>
        <v>0.68763999999999992</v>
      </c>
    </row>
    <row r="57" spans="1:12" x14ac:dyDescent="0.35">
      <c r="A57">
        <v>54</v>
      </c>
      <c r="B57">
        <f>'[21]R03_GABM-data'!$J56/'[21]R03_GABM-data'!$L56</f>
        <v>0.30599999999999999</v>
      </c>
      <c r="C57">
        <f>'[22]GABM_R03_RossAPI-data'!$J56/'[22]GABM_R03_RossAPI-data'!$L56</f>
        <v>0.64280000000000004</v>
      </c>
      <c r="D57">
        <v>1</v>
      </c>
      <c r="E57">
        <f>'[24]GABM_R03_NavidAPI-data'!$J56/'[24]GABM_R03_NavidAPI-data'!$L56</f>
        <v>0.62639999999999996</v>
      </c>
      <c r="F57">
        <f>'[25]GABM_R03_Terry-data'!$J56/'[25]GABM_R03_Terry-data'!$L56</f>
        <v>0.99280000000000002</v>
      </c>
      <c r="G57">
        <f>'[26]GABM_R03_SarahAPI-data'!$J56/'[26]GABM_R03_SarahAPI-data'!$L56</f>
        <v>0.61560000000000004</v>
      </c>
      <c r="H57">
        <f>'[27]GABM_R03_savannah-data'!$J56/'[27]GABM_R03_savannah-data'!$L56</f>
        <v>0.98680000000000001</v>
      </c>
      <c r="I57">
        <f>'[28]GABM_R03_MitchellAPI-data'!$J56/'[28]GABM_R03_MitchellAPI-data'!$L56</f>
        <v>0.46039999999999998</v>
      </c>
      <c r="J57">
        <f>'[29]GABM_R03_SudipaAPI-data'!$J56/'[29]GABM_R03_SudipaAPI-data'!$L56</f>
        <v>0.53280000000000005</v>
      </c>
      <c r="K57">
        <f>'[30]R03_GABM_run2-data'!$J56/'[30]R03_GABM_run2-data'!$L56</f>
        <v>0.99639999999999995</v>
      </c>
      <c r="L57">
        <f t="shared" si="0"/>
        <v>0.71599999999999997</v>
      </c>
    </row>
    <row r="58" spans="1:12" x14ac:dyDescent="0.35">
      <c r="A58">
        <v>55</v>
      </c>
      <c r="B58">
        <f>'[21]R03_GABM-data'!$J57/'[21]R03_GABM-data'!$L57</f>
        <v>0.51439999999999997</v>
      </c>
      <c r="C58">
        <f>'[22]GABM_R03_RossAPI-data'!$J57/'[22]GABM_R03_RossAPI-data'!$L57</f>
        <v>0.63</v>
      </c>
      <c r="D58">
        <v>1</v>
      </c>
      <c r="E58">
        <f>'[24]GABM_R03_NavidAPI-data'!$J57/'[24]GABM_R03_NavidAPI-data'!$L57</f>
        <v>0.99839999999999995</v>
      </c>
      <c r="F58">
        <f>'[25]GABM_R03_Terry-data'!$J57/'[25]GABM_R03_Terry-data'!$L57</f>
        <v>0.99160000000000004</v>
      </c>
      <c r="G58">
        <f>'[26]GABM_R03_SarahAPI-data'!$J57/'[26]GABM_R03_SarahAPI-data'!$L57</f>
        <v>0.30280000000000001</v>
      </c>
      <c r="H58">
        <f>'[27]GABM_R03_savannah-data'!$J57/'[27]GABM_R03_savannah-data'!$L57</f>
        <v>0.99280000000000002</v>
      </c>
      <c r="I58">
        <f>'[28]GABM_R03_MitchellAPI-data'!$J57/'[28]GABM_R03_MitchellAPI-data'!$L57</f>
        <v>0.21360000000000001</v>
      </c>
      <c r="J58">
        <f>'[29]GABM_R03_SudipaAPI-data'!$J57/'[29]GABM_R03_SudipaAPI-data'!$L57</f>
        <v>0.57279999999999998</v>
      </c>
      <c r="K58">
        <f>'[30]R03_GABM_run2-data'!$J57/'[30]R03_GABM_run2-data'!$L57</f>
        <v>0.99560000000000004</v>
      </c>
      <c r="L58">
        <f t="shared" si="0"/>
        <v>0.72120000000000017</v>
      </c>
    </row>
    <row r="59" spans="1:12" x14ac:dyDescent="0.35">
      <c r="A59">
        <v>56</v>
      </c>
      <c r="B59">
        <f>'[21]R03_GABM-data'!$J58/'[21]R03_GABM-data'!$L58</f>
        <v>0.29480000000000001</v>
      </c>
      <c r="C59">
        <f>'[22]GABM_R03_RossAPI-data'!$J58/'[22]GABM_R03_RossAPI-data'!$L58</f>
        <v>0.6532</v>
      </c>
      <c r="D59">
        <v>1</v>
      </c>
      <c r="E59">
        <f>'[24]GABM_R03_NavidAPI-data'!$J58/'[24]GABM_R03_NavidAPI-data'!$L58</f>
        <v>0.624</v>
      </c>
      <c r="F59">
        <f>'[25]GABM_R03_Terry-data'!$J58/'[25]GABM_R03_Terry-data'!$L58</f>
        <v>0.62880000000000003</v>
      </c>
      <c r="G59">
        <f>'[26]GABM_R03_SarahAPI-data'!$J58/'[26]GABM_R03_SarahAPI-data'!$L58</f>
        <v>0.2928</v>
      </c>
      <c r="H59">
        <f>'[27]GABM_R03_savannah-data'!$J58/'[27]GABM_R03_savannah-data'!$L58</f>
        <v>0.65959999999999996</v>
      </c>
      <c r="I59">
        <f>'[28]GABM_R03_MitchellAPI-data'!$J58/'[28]GABM_R03_MitchellAPI-data'!$L58</f>
        <v>0.71040000000000003</v>
      </c>
      <c r="J59">
        <f>'[29]GABM_R03_SudipaAPI-data'!$J58/'[29]GABM_R03_SudipaAPI-data'!$L58</f>
        <v>0.60560000000000003</v>
      </c>
      <c r="K59">
        <f>'[30]R03_GABM_run2-data'!$J58/'[30]R03_GABM_run2-data'!$L58</f>
        <v>0.63600000000000001</v>
      </c>
      <c r="L59">
        <f t="shared" si="0"/>
        <v>0.61051999999999995</v>
      </c>
    </row>
    <row r="60" spans="1:12" x14ac:dyDescent="0.35">
      <c r="A60">
        <v>57</v>
      </c>
      <c r="B60">
        <f>'[21]R03_GABM-data'!$J59/'[21]R03_GABM-data'!$L59</f>
        <v>0.55800000000000005</v>
      </c>
      <c r="C60">
        <f>'[22]GABM_R03_RossAPI-data'!$J59/'[22]GABM_R03_RossAPI-data'!$L59</f>
        <v>0.62639999999999996</v>
      </c>
      <c r="D60">
        <v>1</v>
      </c>
      <c r="E60">
        <f>'[24]GABM_R03_NavidAPI-data'!$J59/'[24]GABM_R03_NavidAPI-data'!$L59</f>
        <v>0.63039999999999996</v>
      </c>
      <c r="F60">
        <f>'[25]GABM_R03_Terry-data'!$J59/'[25]GABM_R03_Terry-data'!$L59</f>
        <v>0.60440000000000005</v>
      </c>
      <c r="G60">
        <f>'[26]GABM_R03_SarahAPI-data'!$J59/'[26]GABM_R03_SarahAPI-data'!$L59</f>
        <v>0.64359999999999995</v>
      </c>
      <c r="H60">
        <f>'[27]GABM_R03_savannah-data'!$J59/'[27]GABM_R03_savannah-data'!$L59</f>
        <v>0.99360000000000004</v>
      </c>
      <c r="I60">
        <f>'[28]GABM_R03_MitchellAPI-data'!$J59/'[28]GABM_R03_MitchellAPI-data'!$L59</f>
        <v>0.12839999999999999</v>
      </c>
      <c r="J60">
        <f>'[29]GABM_R03_SudipaAPI-data'!$J59/'[29]GABM_R03_SudipaAPI-data'!$L59</f>
        <v>0.58160000000000001</v>
      </c>
      <c r="K60">
        <f>'[30]R03_GABM_run2-data'!$J59/'[30]R03_GABM_run2-data'!$L59</f>
        <v>0.99399999999999999</v>
      </c>
      <c r="L60">
        <f t="shared" si="0"/>
        <v>0.67603999999999997</v>
      </c>
    </row>
    <row r="61" spans="1:12" x14ac:dyDescent="0.35">
      <c r="A61">
        <v>58</v>
      </c>
      <c r="B61">
        <f>'[21]R03_GABM-data'!$J60/'[21]R03_GABM-data'!$L60</f>
        <v>0.62239999999999995</v>
      </c>
      <c r="C61">
        <f>'[22]GABM_R03_RossAPI-data'!$J60/'[22]GABM_R03_RossAPI-data'!$L60</f>
        <v>0.61080000000000001</v>
      </c>
      <c r="D61">
        <v>1</v>
      </c>
      <c r="E61">
        <f>'[24]GABM_R03_NavidAPI-data'!$J60/'[24]GABM_R03_NavidAPI-data'!$L60</f>
        <v>0.61280000000000001</v>
      </c>
      <c r="F61">
        <f>'[25]GABM_R03_Terry-data'!$J60/'[25]GABM_R03_Terry-data'!$L60</f>
        <v>0.60760000000000003</v>
      </c>
      <c r="G61">
        <f>'[26]GABM_R03_SarahAPI-data'!$J60/'[26]GABM_R03_SarahAPI-data'!$L60</f>
        <v>0.63639999999999997</v>
      </c>
      <c r="H61">
        <f>'[27]GABM_R03_savannah-data'!$J60/'[27]GABM_R03_savannah-data'!$L60</f>
        <v>0.99360000000000004</v>
      </c>
      <c r="I61">
        <f>'[28]GABM_R03_MitchellAPI-data'!$J60/'[28]GABM_R03_MitchellAPI-data'!$L60</f>
        <v>0.45960000000000001</v>
      </c>
      <c r="J61">
        <f>'[29]GABM_R03_SudipaAPI-data'!$J60/'[29]GABM_R03_SudipaAPI-data'!$L60</f>
        <v>0.6</v>
      </c>
      <c r="K61">
        <f>'[30]R03_GABM_run2-data'!$J60/'[30]R03_GABM_run2-data'!$L60</f>
        <v>0.62080000000000002</v>
      </c>
      <c r="L61">
        <f t="shared" si="0"/>
        <v>0.67639999999999989</v>
      </c>
    </row>
    <row r="62" spans="1:12" x14ac:dyDescent="0.35">
      <c r="A62">
        <v>59</v>
      </c>
      <c r="B62">
        <f>'[21]R03_GABM-data'!$J61/'[21]R03_GABM-data'!$L61</f>
        <v>0.60319999999999996</v>
      </c>
      <c r="C62">
        <f>'[22]GABM_R03_RossAPI-data'!$J61/'[22]GABM_R03_RossAPI-data'!$L61</f>
        <v>0.6472</v>
      </c>
      <c r="D62">
        <v>1</v>
      </c>
      <c r="E62">
        <f>'[24]GABM_R03_NavidAPI-data'!$J61/'[24]GABM_R03_NavidAPI-data'!$L61</f>
        <v>0.29039999999999999</v>
      </c>
      <c r="F62">
        <f>'[25]GABM_R03_Terry-data'!$J61/'[25]GABM_R03_Terry-data'!$L61</f>
        <v>0.28320000000000001</v>
      </c>
      <c r="G62">
        <f>'[26]GABM_R03_SarahAPI-data'!$J61/'[26]GABM_R03_SarahAPI-data'!$L61</f>
        <v>0.62160000000000004</v>
      </c>
      <c r="H62">
        <f>'[27]GABM_R03_savannah-data'!$J61/'[27]GABM_R03_savannah-data'!$L61</f>
        <v>0.57120000000000004</v>
      </c>
      <c r="I62">
        <f>'[28]GABM_R03_MitchellAPI-data'!$J61/'[28]GABM_R03_MitchellAPI-data'!$L61</f>
        <v>0.58919999999999995</v>
      </c>
      <c r="J62">
        <f>'[29]GABM_R03_SudipaAPI-data'!$J61/'[29]GABM_R03_SudipaAPI-data'!$L61</f>
        <v>0.60599999999999998</v>
      </c>
      <c r="K62">
        <f>'[30]R03_GABM_run2-data'!$J61/'[30]R03_GABM_run2-data'!$L61</f>
        <v>0.5756</v>
      </c>
      <c r="L62">
        <f t="shared" si="0"/>
        <v>0.57875999999999994</v>
      </c>
    </row>
    <row r="63" spans="1:12" x14ac:dyDescent="0.35">
      <c r="A63">
        <v>60</v>
      </c>
      <c r="B63">
        <f>'[21]R03_GABM-data'!$J62/'[21]R03_GABM-data'!$L62</f>
        <v>0.99080000000000001</v>
      </c>
      <c r="C63">
        <f>'[22]GABM_R03_RossAPI-data'!$J62/'[22]GABM_R03_RossAPI-data'!$L62</f>
        <v>0.33119999999999999</v>
      </c>
      <c r="D63">
        <v>1</v>
      </c>
      <c r="E63">
        <f>'[24]GABM_R03_NavidAPI-data'!$J62/'[24]GABM_R03_NavidAPI-data'!$L62</f>
        <v>0.62119999999999997</v>
      </c>
      <c r="F63">
        <f>'[25]GABM_R03_Terry-data'!$J62/'[25]GABM_R03_Terry-data'!$L62</f>
        <v>0.56279999999999997</v>
      </c>
      <c r="G63">
        <f>'[26]GABM_R03_SarahAPI-data'!$J62/'[26]GABM_R03_SarahAPI-data'!$L62</f>
        <v>0.64</v>
      </c>
      <c r="H63">
        <f>'[27]GABM_R03_savannah-data'!$J62/'[27]GABM_R03_savannah-data'!$L62</f>
        <v>0.64600000000000002</v>
      </c>
      <c r="I63">
        <f>'[28]GABM_R03_MitchellAPI-data'!$J62/'[28]GABM_R03_MitchellAPI-data'!$L62</f>
        <v>0.57879999999999998</v>
      </c>
      <c r="J63">
        <f>'[29]GABM_R03_SudipaAPI-data'!$J62/'[29]GABM_R03_SudipaAPI-data'!$L62</f>
        <v>0.62680000000000002</v>
      </c>
      <c r="K63">
        <f>'[30]R03_GABM_run2-data'!$J62/'[30]R03_GABM_run2-data'!$L62</f>
        <v>0.61960000000000004</v>
      </c>
      <c r="L63">
        <f t="shared" si="0"/>
        <v>0.66172000000000009</v>
      </c>
    </row>
    <row r="64" spans="1:12" x14ac:dyDescent="0.35">
      <c r="A64">
        <v>61</v>
      </c>
      <c r="B64">
        <f>'[21]R03_GABM-data'!$J63/'[21]R03_GABM-data'!$L63</f>
        <v>0.60519999999999996</v>
      </c>
      <c r="C64">
        <f>'[22]GABM_R03_RossAPI-data'!$J63/'[22]GABM_R03_RossAPI-data'!$L63</f>
        <v>0.32200000000000001</v>
      </c>
      <c r="D64">
        <v>1</v>
      </c>
      <c r="E64">
        <f>'[24]GABM_R03_NavidAPI-data'!$J63/'[24]GABM_R03_NavidAPI-data'!$L63</f>
        <v>0.27679999999999999</v>
      </c>
      <c r="F64">
        <f>'[25]GABM_R03_Terry-data'!$J63/'[25]GABM_R03_Terry-data'!$L63</f>
        <v>0.5776</v>
      </c>
      <c r="G64">
        <f>'[26]GABM_R03_SarahAPI-data'!$J63/'[26]GABM_R03_SarahAPI-data'!$L63</f>
        <v>0.61799999999999999</v>
      </c>
      <c r="H64">
        <f>'[27]GABM_R03_savannah-data'!$J63/'[27]GABM_R03_savannah-data'!$L63</f>
        <v>0.55959999999999999</v>
      </c>
      <c r="I64">
        <f>'[28]GABM_R03_MitchellAPI-data'!$J63/'[28]GABM_R03_MitchellAPI-data'!$L63</f>
        <v>0.62639999999999996</v>
      </c>
      <c r="J64">
        <f>'[29]GABM_R03_SudipaAPI-data'!$J63/'[29]GABM_R03_SudipaAPI-data'!$L63</f>
        <v>0.62360000000000004</v>
      </c>
      <c r="K64">
        <f>'[30]R03_GABM_run2-data'!$J63/'[30]R03_GABM_run2-data'!$L63</f>
        <v>0.6048</v>
      </c>
      <c r="L64">
        <f t="shared" si="0"/>
        <v>0.58140000000000003</v>
      </c>
    </row>
    <row r="65" spans="1:12" x14ac:dyDescent="0.35">
      <c r="A65">
        <v>62</v>
      </c>
      <c r="B65">
        <f>'[21]R03_GABM-data'!$J64/'[21]R03_GABM-data'!$L64</f>
        <v>0.61799999999999999</v>
      </c>
      <c r="C65">
        <f>'[22]GABM_R03_RossAPI-data'!$J64/'[22]GABM_R03_RossAPI-data'!$L64</f>
        <v>0.63959999999999995</v>
      </c>
      <c r="D65">
        <v>1</v>
      </c>
      <c r="E65">
        <f>'[24]GABM_R03_NavidAPI-data'!$J64/'[24]GABM_R03_NavidAPI-data'!$L64</f>
        <v>0.46439999999999998</v>
      </c>
      <c r="F65">
        <f>'[25]GABM_R03_Terry-data'!$J64/'[25]GABM_R03_Terry-data'!$L64</f>
        <v>0.61480000000000001</v>
      </c>
      <c r="G65">
        <f>'[26]GABM_R03_SarahAPI-data'!$J64/'[26]GABM_R03_SarahAPI-data'!$L64</f>
        <v>0.63400000000000001</v>
      </c>
      <c r="H65">
        <f>'[27]GABM_R03_savannah-data'!$J64/'[27]GABM_R03_savannah-data'!$L64</f>
        <v>0.59960000000000002</v>
      </c>
      <c r="I65">
        <f>'[28]GABM_R03_MitchellAPI-data'!$J64/'[28]GABM_R03_MitchellAPI-data'!$L64</f>
        <v>0.62680000000000002</v>
      </c>
      <c r="J65">
        <f>'[29]GABM_R03_SudipaAPI-data'!$J64/'[29]GABM_R03_SudipaAPI-data'!$L64</f>
        <v>0.65200000000000002</v>
      </c>
      <c r="K65">
        <f>'[30]R03_GABM_run2-data'!$J64/'[30]R03_GABM_run2-data'!$L64</f>
        <v>0.63680000000000003</v>
      </c>
      <c r="L65">
        <f t="shared" si="0"/>
        <v>0.64860000000000007</v>
      </c>
    </row>
    <row r="66" spans="1:12" x14ac:dyDescent="0.35">
      <c r="A66">
        <v>63</v>
      </c>
      <c r="B66">
        <f>'[21]R03_GABM-data'!$J65/'[21]R03_GABM-data'!$L65</f>
        <v>0.64400000000000002</v>
      </c>
      <c r="C66">
        <f>'[22]GABM_R03_RossAPI-data'!$J65/'[22]GABM_R03_RossAPI-data'!$L65</f>
        <v>0.65239999999999998</v>
      </c>
      <c r="D66">
        <v>1</v>
      </c>
      <c r="E66">
        <f>'[24]GABM_R03_NavidAPI-data'!$J65/'[24]GABM_R03_NavidAPI-data'!$L65</f>
        <v>0.27200000000000002</v>
      </c>
      <c r="F66">
        <f>'[25]GABM_R03_Terry-data'!$J65/'[25]GABM_R03_Terry-data'!$L65</f>
        <v>0.98399999999999999</v>
      </c>
      <c r="G66">
        <f>'[26]GABM_R03_SarahAPI-data'!$J65/'[26]GABM_R03_SarahAPI-data'!$L65</f>
        <v>0.62639999999999996</v>
      </c>
      <c r="H66">
        <f>'[27]GABM_R03_savannah-data'!$J65/'[27]GABM_R03_savannah-data'!$L65</f>
        <v>0.59119999999999995</v>
      </c>
      <c r="I66">
        <f>'[28]GABM_R03_MitchellAPI-data'!$J65/'[28]GABM_R03_MitchellAPI-data'!$L65</f>
        <v>0.98640000000000005</v>
      </c>
      <c r="J66">
        <f>'[29]GABM_R03_SudipaAPI-data'!$J65/'[29]GABM_R03_SudipaAPI-data'!$L65</f>
        <v>0.61119999999999997</v>
      </c>
      <c r="K66">
        <f>'[30]R03_GABM_run2-data'!$J65/'[30]R03_GABM_run2-data'!$L65</f>
        <v>0.30719999999999997</v>
      </c>
      <c r="L66">
        <f t="shared" si="0"/>
        <v>0.66748000000000007</v>
      </c>
    </row>
    <row r="67" spans="1:12" x14ac:dyDescent="0.35">
      <c r="A67">
        <v>64</v>
      </c>
      <c r="B67">
        <f>'[21]R03_GABM-data'!$J66/'[21]R03_GABM-data'!$L66</f>
        <v>0.51719999999999999</v>
      </c>
      <c r="C67">
        <f>'[22]GABM_R03_RossAPI-data'!$J66/'[22]GABM_R03_RossAPI-data'!$L66</f>
        <v>0.98839999999999995</v>
      </c>
      <c r="D67">
        <v>1</v>
      </c>
      <c r="E67">
        <f>'[24]GABM_R03_NavidAPI-data'!$J66/'[24]GABM_R03_NavidAPI-data'!$L66</f>
        <v>0.28239999999999998</v>
      </c>
      <c r="F67">
        <f>'[25]GABM_R03_Terry-data'!$J66/'[25]GABM_R03_Terry-data'!$L66</f>
        <v>0.62319999999999998</v>
      </c>
      <c r="G67">
        <f>'[26]GABM_R03_SarahAPI-data'!$J66/'[26]GABM_R03_SarahAPI-data'!$L66</f>
        <v>0.61680000000000001</v>
      </c>
      <c r="H67">
        <f>'[27]GABM_R03_savannah-data'!$J66/'[27]GABM_R03_savannah-data'!$L66</f>
        <v>0.64880000000000004</v>
      </c>
      <c r="I67">
        <f>'[28]GABM_R03_MitchellAPI-data'!$J66/'[28]GABM_R03_MitchellAPI-data'!$L66</f>
        <v>0.99519999999999997</v>
      </c>
      <c r="J67">
        <f>'[29]GABM_R03_SudipaAPI-data'!$J66/'[29]GABM_R03_SudipaAPI-data'!$L66</f>
        <v>0.61919999999999997</v>
      </c>
      <c r="K67">
        <f>'[30]R03_GABM_run2-data'!$J66/'[30]R03_GABM_run2-data'!$L66</f>
        <v>0.64319999999999999</v>
      </c>
      <c r="L67">
        <f t="shared" si="0"/>
        <v>0.69344000000000006</v>
      </c>
    </row>
    <row r="68" spans="1:12" x14ac:dyDescent="0.35">
      <c r="A68">
        <v>65</v>
      </c>
      <c r="B68">
        <f>'[21]R03_GABM-data'!$J67/'[21]R03_GABM-data'!$L67</f>
        <v>0.59119999999999995</v>
      </c>
      <c r="C68">
        <f>'[22]GABM_R03_RossAPI-data'!$J67/'[22]GABM_R03_RossAPI-data'!$L67</f>
        <v>0.99519999999999997</v>
      </c>
      <c r="D68">
        <v>1</v>
      </c>
      <c r="E68">
        <f>'[24]GABM_R03_NavidAPI-data'!$J67/'[24]GABM_R03_NavidAPI-data'!$L67</f>
        <v>0.61680000000000001</v>
      </c>
      <c r="F68">
        <f>'[25]GABM_R03_Terry-data'!$J67/'[25]GABM_R03_Terry-data'!$L67</f>
        <v>0.98839999999999995</v>
      </c>
      <c r="G68">
        <f>'[26]GABM_R03_SarahAPI-data'!$J67/'[26]GABM_R03_SarahAPI-data'!$L67</f>
        <v>0.64280000000000004</v>
      </c>
      <c r="H68">
        <f>'[27]GABM_R03_savannah-data'!$J67/'[27]GABM_R03_savannah-data'!$L67</f>
        <v>0.60160000000000002</v>
      </c>
      <c r="I68">
        <f>'[28]GABM_R03_MitchellAPI-data'!$J67/'[28]GABM_R03_MitchellAPI-data'!$L67</f>
        <v>0.99639999999999995</v>
      </c>
      <c r="J68">
        <f>'[29]GABM_R03_SudipaAPI-data'!$J67/'[29]GABM_R03_SudipaAPI-data'!$L67</f>
        <v>0.60799999999999998</v>
      </c>
      <c r="K68">
        <f>'[30]R03_GABM_run2-data'!$J67/'[30]R03_GABM_run2-data'!$L67</f>
        <v>0.30719999999999997</v>
      </c>
      <c r="L68">
        <f t="shared" ref="L68:L131" si="1">AVERAGE(B68:K68)</f>
        <v>0.73475999999999986</v>
      </c>
    </row>
    <row r="69" spans="1:12" x14ac:dyDescent="0.35">
      <c r="A69">
        <v>66</v>
      </c>
      <c r="B69">
        <f>'[21]R03_GABM-data'!$J68/'[21]R03_GABM-data'!$L68</f>
        <v>0.61560000000000004</v>
      </c>
      <c r="C69">
        <f>'[22]GABM_R03_RossAPI-data'!$J68/'[22]GABM_R03_RossAPI-data'!$L68</f>
        <v>0.99680000000000002</v>
      </c>
      <c r="D69">
        <v>1</v>
      </c>
      <c r="E69">
        <f>'[24]GABM_R03_NavidAPI-data'!$J68/'[24]GABM_R03_NavidAPI-data'!$L68</f>
        <v>0.61040000000000005</v>
      </c>
      <c r="F69">
        <f>'[25]GABM_R03_Terry-data'!$J68/'[25]GABM_R03_Terry-data'!$L68</f>
        <v>0.99</v>
      </c>
      <c r="G69">
        <f>'[26]GABM_R03_SarahAPI-data'!$J68/'[26]GABM_R03_SarahAPI-data'!$L68</f>
        <v>0.64639999999999997</v>
      </c>
      <c r="H69">
        <f>'[27]GABM_R03_savannah-data'!$J68/'[27]GABM_R03_savannah-data'!$L68</f>
        <v>0.66679999999999995</v>
      </c>
      <c r="I69">
        <f>'[28]GABM_R03_MitchellAPI-data'!$J68/'[28]GABM_R03_MitchellAPI-data'!$L68</f>
        <v>0.998</v>
      </c>
      <c r="J69">
        <f>'[29]GABM_R03_SudipaAPI-data'!$J68/'[29]GABM_R03_SudipaAPI-data'!$L68</f>
        <v>0.61599999999999999</v>
      </c>
      <c r="K69">
        <f>'[30]R03_GABM_run2-data'!$J68/'[30]R03_GABM_run2-data'!$L68</f>
        <v>0.62239999999999995</v>
      </c>
      <c r="L69">
        <f t="shared" si="1"/>
        <v>0.77624000000000004</v>
      </c>
    </row>
    <row r="70" spans="1:12" x14ac:dyDescent="0.35">
      <c r="A70">
        <v>67</v>
      </c>
      <c r="B70">
        <f>'[21]R03_GABM-data'!$J69/'[21]R03_GABM-data'!$L69</f>
        <v>0.6048</v>
      </c>
      <c r="C70">
        <f>'[22]GABM_R03_RossAPI-data'!$J69/'[22]GABM_R03_RossAPI-data'!$L69</f>
        <v>0.99080000000000001</v>
      </c>
      <c r="D70">
        <v>1</v>
      </c>
      <c r="E70">
        <f>'[24]GABM_R03_NavidAPI-data'!$J69/'[24]GABM_R03_NavidAPI-data'!$L69</f>
        <v>0.99480000000000002</v>
      </c>
      <c r="F70">
        <f>'[25]GABM_R03_Terry-data'!$J69/'[25]GABM_R03_Terry-data'!$L69</f>
        <v>0.2964</v>
      </c>
      <c r="G70">
        <f>'[26]GABM_R03_SarahAPI-data'!$J69/'[26]GABM_R03_SarahAPI-data'!$L69</f>
        <v>0.60040000000000004</v>
      </c>
      <c r="H70">
        <f>'[27]GABM_R03_savannah-data'!$J69/'[27]GABM_R03_savannah-data'!$L69</f>
        <v>0.64</v>
      </c>
      <c r="I70">
        <f>'[28]GABM_R03_MitchellAPI-data'!$J69/'[28]GABM_R03_MitchellAPI-data'!$L69</f>
        <v>0.99439999999999995</v>
      </c>
      <c r="J70">
        <f>'[29]GABM_R03_SudipaAPI-data'!$J69/'[29]GABM_R03_SudipaAPI-data'!$L69</f>
        <v>0.61839999999999995</v>
      </c>
      <c r="K70">
        <f>'[30]R03_GABM_run2-data'!$J69/'[30]R03_GABM_run2-data'!$L69</f>
        <v>0.64</v>
      </c>
      <c r="L70">
        <f t="shared" si="1"/>
        <v>0.73799999999999988</v>
      </c>
    </row>
    <row r="71" spans="1:12" x14ac:dyDescent="0.35">
      <c r="A71">
        <v>68</v>
      </c>
      <c r="B71">
        <f>'[21]R03_GABM-data'!$J70/'[21]R03_GABM-data'!$L70</f>
        <v>0.56759999999999999</v>
      </c>
      <c r="C71">
        <f>'[22]GABM_R03_RossAPI-data'!$J70/'[22]GABM_R03_RossAPI-data'!$L70</f>
        <v>0.64319999999999999</v>
      </c>
      <c r="D71">
        <v>1</v>
      </c>
      <c r="E71">
        <f>'[24]GABM_R03_NavidAPI-data'!$J70/'[24]GABM_R03_NavidAPI-data'!$L70</f>
        <v>0.63639999999999997</v>
      </c>
      <c r="F71">
        <f>'[25]GABM_R03_Terry-data'!$J70/'[25]GABM_R03_Terry-data'!$L70</f>
        <v>0.60399999999999998</v>
      </c>
      <c r="G71">
        <f>'[26]GABM_R03_SarahAPI-data'!$J70/'[26]GABM_R03_SarahAPI-data'!$L70</f>
        <v>0.61199999999999999</v>
      </c>
      <c r="H71">
        <f>'[27]GABM_R03_savannah-data'!$J70/'[27]GABM_R03_savannah-data'!$L70</f>
        <v>0.61280000000000001</v>
      </c>
      <c r="I71">
        <f>'[28]GABM_R03_MitchellAPI-data'!$J70/'[28]GABM_R03_MitchellAPI-data'!$L70</f>
        <v>0.61119999999999997</v>
      </c>
      <c r="J71">
        <f>'[29]GABM_R03_SudipaAPI-data'!$J70/'[29]GABM_R03_SudipaAPI-data'!$L70</f>
        <v>0.98560000000000003</v>
      </c>
      <c r="K71">
        <f>'[30]R03_GABM_run2-data'!$J70/'[30]R03_GABM_run2-data'!$L70</f>
        <v>0.56079999999999997</v>
      </c>
      <c r="L71">
        <f t="shared" si="1"/>
        <v>0.68336000000000008</v>
      </c>
    </row>
    <row r="72" spans="1:12" x14ac:dyDescent="0.35">
      <c r="A72">
        <v>69</v>
      </c>
      <c r="B72">
        <f>'[21]R03_GABM-data'!$J71/'[21]R03_GABM-data'!$L71</f>
        <v>0.32079999999999997</v>
      </c>
      <c r="C72">
        <f>'[22]GABM_R03_RossAPI-data'!$J71/'[22]GABM_R03_RossAPI-data'!$L71</f>
        <v>0.59079999999999999</v>
      </c>
      <c r="D72">
        <v>1</v>
      </c>
      <c r="E72">
        <f>'[24]GABM_R03_NavidAPI-data'!$J71/'[24]GABM_R03_NavidAPI-data'!$L71</f>
        <v>0.62319999999999998</v>
      </c>
      <c r="F72">
        <f>'[25]GABM_R03_Terry-data'!$J71/'[25]GABM_R03_Terry-data'!$L71</f>
        <v>0.60160000000000002</v>
      </c>
      <c r="G72">
        <f>'[26]GABM_R03_SarahAPI-data'!$J71/'[26]GABM_R03_SarahAPI-data'!$L71</f>
        <v>0.29399999999999998</v>
      </c>
      <c r="H72">
        <f>'[27]GABM_R03_savannah-data'!$J71/'[27]GABM_R03_savannah-data'!$L71</f>
        <v>0.59640000000000004</v>
      </c>
      <c r="I72">
        <f>'[28]GABM_R03_MitchellAPI-data'!$J71/'[28]GABM_R03_MitchellAPI-data'!$L71</f>
        <v>0.99239999999999995</v>
      </c>
      <c r="J72">
        <f>'[29]GABM_R03_SudipaAPI-data'!$J71/'[29]GABM_R03_SudipaAPI-data'!$L71</f>
        <v>0.99319999999999997</v>
      </c>
      <c r="K72">
        <f>'[30]R03_GABM_run2-data'!$J71/'[30]R03_GABM_run2-data'!$L71</f>
        <v>0.60760000000000003</v>
      </c>
      <c r="L72">
        <f t="shared" si="1"/>
        <v>0.66199999999999992</v>
      </c>
    </row>
    <row r="73" spans="1:12" x14ac:dyDescent="0.35">
      <c r="A73">
        <v>70</v>
      </c>
      <c r="B73">
        <f>'[21]R03_GABM-data'!$J72/'[21]R03_GABM-data'!$L72</f>
        <v>0.624</v>
      </c>
      <c r="C73">
        <f>'[22]GABM_R03_RossAPI-data'!$J72/'[22]GABM_R03_RossAPI-data'!$L72</f>
        <v>0.59840000000000004</v>
      </c>
      <c r="D73">
        <v>1</v>
      </c>
      <c r="E73">
        <f>'[24]GABM_R03_NavidAPI-data'!$J72/'[24]GABM_R03_NavidAPI-data'!$L72</f>
        <v>0.996</v>
      </c>
      <c r="F73">
        <f>'[25]GABM_R03_Terry-data'!$J72/'[25]GABM_R03_Terry-data'!$L72</f>
        <v>0.60319999999999996</v>
      </c>
      <c r="G73">
        <f>'[26]GABM_R03_SarahAPI-data'!$J72/'[26]GABM_R03_SarahAPI-data'!$L72</f>
        <v>0.64439999999999997</v>
      </c>
      <c r="H73">
        <f>'[27]GABM_R03_savannah-data'!$J72/'[27]GABM_R03_savannah-data'!$L72</f>
        <v>0.54800000000000004</v>
      </c>
      <c r="I73">
        <f>'[28]GABM_R03_MitchellAPI-data'!$J72/'[28]GABM_R03_MitchellAPI-data'!$L72</f>
        <v>0.63039999999999996</v>
      </c>
      <c r="J73">
        <f>'[29]GABM_R03_SudipaAPI-data'!$J72/'[29]GABM_R03_SudipaAPI-data'!$L72</f>
        <v>0.99480000000000002</v>
      </c>
      <c r="K73">
        <f>'[30]R03_GABM_run2-data'!$J72/'[30]R03_GABM_run2-data'!$L72</f>
        <v>0.62360000000000004</v>
      </c>
      <c r="L73">
        <f t="shared" si="1"/>
        <v>0.72627999999999993</v>
      </c>
    </row>
    <row r="74" spans="1:12" x14ac:dyDescent="0.35">
      <c r="A74">
        <v>71</v>
      </c>
      <c r="B74">
        <f>'[21]R03_GABM-data'!$J73/'[21]R03_GABM-data'!$L73</f>
        <v>0.64559999999999995</v>
      </c>
      <c r="C74">
        <f>'[22]GABM_R03_RossAPI-data'!$J73/'[22]GABM_R03_RossAPI-data'!$L73</f>
        <v>0.6472</v>
      </c>
      <c r="D74">
        <v>1</v>
      </c>
      <c r="E74">
        <f>'[24]GABM_R03_NavidAPI-data'!$J73/'[24]GABM_R03_NavidAPI-data'!$L73</f>
        <v>0.6452</v>
      </c>
      <c r="F74">
        <f>'[25]GABM_R03_Terry-data'!$J73/'[25]GABM_R03_Terry-data'!$L73</f>
        <v>0.60560000000000003</v>
      </c>
      <c r="G74">
        <f>'[26]GABM_R03_SarahAPI-data'!$J73/'[26]GABM_R03_SarahAPI-data'!$L73</f>
        <v>0.30399999999999999</v>
      </c>
      <c r="H74">
        <f>'[27]GABM_R03_savannah-data'!$J73/'[27]GABM_R03_savannah-data'!$L73</f>
        <v>0.63959999999999995</v>
      </c>
      <c r="I74">
        <f>'[28]GABM_R03_MitchellAPI-data'!$J73/'[28]GABM_R03_MitchellAPI-data'!$L73</f>
        <v>0.62039999999999995</v>
      </c>
      <c r="J74">
        <f>'[29]GABM_R03_SudipaAPI-data'!$J73/'[29]GABM_R03_SudipaAPI-data'!$L73</f>
        <v>0.99560000000000004</v>
      </c>
      <c r="K74">
        <f>'[30]R03_GABM_run2-data'!$J73/'[30]R03_GABM_run2-data'!$L73</f>
        <v>0.59240000000000004</v>
      </c>
      <c r="L74">
        <f t="shared" si="1"/>
        <v>0.66955999999999993</v>
      </c>
    </row>
    <row r="75" spans="1:12" x14ac:dyDescent="0.35">
      <c r="A75">
        <v>72</v>
      </c>
      <c r="B75">
        <f>'[21]R03_GABM-data'!$J74/'[21]R03_GABM-data'!$L74</f>
        <v>0.60440000000000005</v>
      </c>
      <c r="C75">
        <f>'[22]GABM_R03_RossAPI-data'!$J74/'[22]GABM_R03_RossAPI-data'!$L74</f>
        <v>0.64559999999999995</v>
      </c>
      <c r="D75">
        <v>1</v>
      </c>
      <c r="E75">
        <f>'[24]GABM_R03_NavidAPI-data'!$J74/'[24]GABM_R03_NavidAPI-data'!$L74</f>
        <v>0.63600000000000001</v>
      </c>
      <c r="F75">
        <f>'[25]GABM_R03_Terry-data'!$J74/'[25]GABM_R03_Terry-data'!$L74</f>
        <v>0.626</v>
      </c>
      <c r="G75">
        <f>'[26]GABM_R03_SarahAPI-data'!$J74/'[26]GABM_R03_SarahAPI-data'!$L74</f>
        <v>0.30280000000000001</v>
      </c>
      <c r="H75">
        <f>'[27]GABM_R03_savannah-data'!$J74/'[27]GABM_R03_savannah-data'!$L74</f>
        <v>0.98719999999999997</v>
      </c>
      <c r="I75">
        <f>'[28]GABM_R03_MitchellAPI-data'!$J74/'[28]GABM_R03_MitchellAPI-data'!$L74</f>
        <v>0.65359999999999996</v>
      </c>
      <c r="J75">
        <f>'[29]GABM_R03_SudipaAPI-data'!$J74/'[29]GABM_R03_SudipaAPI-data'!$L74</f>
        <v>0.59760000000000002</v>
      </c>
      <c r="K75">
        <f>'[30]R03_GABM_run2-data'!$J74/'[30]R03_GABM_run2-data'!$L74</f>
        <v>0.98839999999999995</v>
      </c>
      <c r="L75">
        <f t="shared" si="1"/>
        <v>0.7041599999999999</v>
      </c>
    </row>
    <row r="76" spans="1:12" x14ac:dyDescent="0.35">
      <c r="A76">
        <v>73</v>
      </c>
      <c r="B76">
        <f>'[21]R03_GABM-data'!$J75/'[21]R03_GABM-data'!$L75</f>
        <v>0.65920000000000001</v>
      </c>
      <c r="C76">
        <f>'[22]GABM_R03_RossAPI-data'!$J75/'[22]GABM_R03_RossAPI-data'!$L75</f>
        <v>0.65559999999999996</v>
      </c>
      <c r="D76">
        <v>1</v>
      </c>
      <c r="E76">
        <f>'[24]GABM_R03_NavidAPI-data'!$J75/'[24]GABM_R03_NavidAPI-data'!$L75</f>
        <v>0.65080000000000005</v>
      </c>
      <c r="F76">
        <f>'[25]GABM_R03_Terry-data'!$J75/'[25]GABM_R03_Terry-data'!$L75</f>
        <v>0.63239999999999996</v>
      </c>
      <c r="G76">
        <f>'[26]GABM_R03_SarahAPI-data'!$J75/'[26]GABM_R03_SarahAPI-data'!$L75</f>
        <v>0.622</v>
      </c>
      <c r="H76">
        <f>'[27]GABM_R03_savannah-data'!$J75/'[27]GABM_R03_savannah-data'!$L75</f>
        <v>0.54600000000000004</v>
      </c>
      <c r="I76">
        <f>'[28]GABM_R03_MitchellAPI-data'!$J75/'[28]GABM_R03_MitchellAPI-data'!$L75</f>
        <v>0.28760000000000002</v>
      </c>
      <c r="J76">
        <f>'[29]GABM_R03_SudipaAPI-data'!$J75/'[29]GABM_R03_SudipaAPI-data'!$L75</f>
        <v>0.98799999999999999</v>
      </c>
      <c r="K76">
        <f>'[30]R03_GABM_run2-data'!$J75/'[30]R03_GABM_run2-data'!$L75</f>
        <v>0.61719999999999997</v>
      </c>
      <c r="L76">
        <f t="shared" si="1"/>
        <v>0.66588000000000014</v>
      </c>
    </row>
    <row r="77" spans="1:12" x14ac:dyDescent="0.35">
      <c r="A77">
        <v>74</v>
      </c>
      <c r="B77">
        <f>'[21]R03_GABM-data'!$J76/'[21]R03_GABM-data'!$L76</f>
        <v>0.98880000000000001</v>
      </c>
      <c r="C77">
        <f>'[22]GABM_R03_RossAPI-data'!$J76/'[22]GABM_R03_RossAPI-data'!$L76</f>
        <v>0.99280000000000002</v>
      </c>
      <c r="D77">
        <v>1</v>
      </c>
      <c r="E77">
        <f>'[24]GABM_R03_NavidAPI-data'!$J76/'[24]GABM_R03_NavidAPI-data'!$L76</f>
        <v>0.63400000000000001</v>
      </c>
      <c r="F77">
        <f>'[25]GABM_R03_Terry-data'!$J76/'[25]GABM_R03_Terry-data'!$L76</f>
        <v>0.99319999999999997</v>
      </c>
      <c r="G77">
        <f>'[26]GABM_R03_SarahAPI-data'!$J76/'[26]GABM_R03_SarahAPI-data'!$L76</f>
        <v>0.99360000000000004</v>
      </c>
      <c r="H77">
        <f>'[27]GABM_R03_savannah-data'!$J76/'[27]GABM_R03_savannah-data'!$L76</f>
        <v>0.59399999999999997</v>
      </c>
      <c r="I77">
        <f>'[28]GABM_R03_MitchellAPI-data'!$J76/'[28]GABM_R03_MitchellAPI-data'!$L76</f>
        <v>0.61280000000000001</v>
      </c>
      <c r="J77">
        <f>'[29]GABM_R03_SudipaAPI-data'!$J76/'[29]GABM_R03_SudipaAPI-data'!$L76</f>
        <v>0.98719999999999997</v>
      </c>
      <c r="K77">
        <f>'[30]R03_GABM_run2-data'!$J76/'[30]R03_GABM_run2-data'!$L76</f>
        <v>0.99319999999999997</v>
      </c>
      <c r="L77">
        <f t="shared" si="1"/>
        <v>0.87895999999999996</v>
      </c>
    </row>
    <row r="78" spans="1:12" x14ac:dyDescent="0.35">
      <c r="A78">
        <v>75</v>
      </c>
      <c r="B78">
        <f>'[21]R03_GABM-data'!$J77/'[21]R03_GABM-data'!$L77</f>
        <v>0.99719999999999998</v>
      </c>
      <c r="C78">
        <f>'[22]GABM_R03_RossAPI-data'!$J77/'[22]GABM_R03_RossAPI-data'!$L77</f>
        <v>0.99160000000000004</v>
      </c>
      <c r="D78">
        <v>1</v>
      </c>
      <c r="E78">
        <f>'[24]GABM_R03_NavidAPI-data'!$J77/'[24]GABM_R03_NavidAPI-data'!$L77</f>
        <v>0.99319999999999997</v>
      </c>
      <c r="F78">
        <f>'[25]GABM_R03_Terry-data'!$J77/'[25]GABM_R03_Terry-data'!$L77</f>
        <v>0.62280000000000002</v>
      </c>
      <c r="G78">
        <f>'[26]GABM_R03_SarahAPI-data'!$J77/'[26]GABM_R03_SarahAPI-data'!$L77</f>
        <v>0.65720000000000001</v>
      </c>
      <c r="H78">
        <f>'[27]GABM_R03_savannah-data'!$J77/'[27]GABM_R03_savannah-data'!$L77</f>
        <v>0.59760000000000002</v>
      </c>
      <c r="I78">
        <f>'[28]GABM_R03_MitchellAPI-data'!$J77/'[28]GABM_R03_MitchellAPI-data'!$L77</f>
        <v>0.98960000000000004</v>
      </c>
      <c r="J78">
        <f>'[29]GABM_R03_SudipaAPI-data'!$J77/'[29]GABM_R03_SudipaAPI-data'!$L77</f>
        <v>0.62280000000000002</v>
      </c>
      <c r="K78">
        <f>'[30]R03_GABM_run2-data'!$J77/'[30]R03_GABM_run2-data'!$L77</f>
        <v>0.61560000000000004</v>
      </c>
      <c r="L78">
        <f t="shared" si="1"/>
        <v>0.80876000000000003</v>
      </c>
    </row>
    <row r="79" spans="1:12" x14ac:dyDescent="0.35">
      <c r="A79">
        <v>76</v>
      </c>
      <c r="B79">
        <f>'[21]R03_GABM-data'!$J78/'[21]R03_GABM-data'!$L78</f>
        <v>0.99760000000000004</v>
      </c>
      <c r="C79">
        <v>1</v>
      </c>
      <c r="D79">
        <v>1</v>
      </c>
      <c r="E79">
        <f>'[24]GABM_R03_NavidAPI-data'!$J78/'[24]GABM_R03_NavidAPI-data'!$L78</f>
        <v>0.996</v>
      </c>
      <c r="F79">
        <f>'[25]GABM_R03_Terry-data'!$J78/'[25]GABM_R03_Terry-data'!$L78</f>
        <v>0.98960000000000004</v>
      </c>
      <c r="G79">
        <f>'[26]GABM_R03_SarahAPI-data'!$J78/'[26]GABM_R03_SarahAPI-data'!$L78</f>
        <v>0.62319999999999998</v>
      </c>
      <c r="H79">
        <f>'[27]GABM_R03_savannah-data'!$J78/'[27]GABM_R03_savannah-data'!$L78</f>
        <v>0.48520000000000002</v>
      </c>
      <c r="I79">
        <f>'[28]GABM_R03_MitchellAPI-data'!$J78/'[28]GABM_R03_MitchellAPI-data'!$L78</f>
        <v>0.62080000000000002</v>
      </c>
      <c r="J79">
        <f>'[29]GABM_R03_SudipaAPI-data'!$J78/'[29]GABM_R03_SudipaAPI-data'!$L78</f>
        <v>0.98799999999999999</v>
      </c>
      <c r="K79">
        <f>'[30]R03_GABM_run2-data'!$J78/'[30]R03_GABM_run2-data'!$L78</f>
        <v>0.63</v>
      </c>
      <c r="L79">
        <f t="shared" si="1"/>
        <v>0.83304000000000011</v>
      </c>
    </row>
    <row r="80" spans="1:12" x14ac:dyDescent="0.35">
      <c r="A80">
        <v>77</v>
      </c>
      <c r="B80">
        <v>1</v>
      </c>
      <c r="C80">
        <v>1</v>
      </c>
      <c r="D80">
        <v>1</v>
      </c>
      <c r="E80">
        <v>1</v>
      </c>
      <c r="F80">
        <f>'[25]GABM_R03_Terry-data'!$J79/'[25]GABM_R03_Terry-data'!$L79</f>
        <v>0.61919999999999997</v>
      </c>
      <c r="G80">
        <f>'[26]GABM_R03_SarahAPI-data'!$J79/'[26]GABM_R03_SarahAPI-data'!$L79</f>
        <v>0.64439999999999997</v>
      </c>
      <c r="H80">
        <f>'[27]GABM_R03_savannah-data'!$J79/'[27]GABM_R03_savannah-data'!$L79</f>
        <v>0.97160000000000002</v>
      </c>
      <c r="I80">
        <f>'[28]GABM_R03_MitchellAPI-data'!$J79/'[28]GABM_R03_MitchellAPI-data'!$L79</f>
        <v>0.99480000000000002</v>
      </c>
      <c r="J80">
        <f>'[29]GABM_R03_SudipaAPI-data'!$J79/'[29]GABM_R03_SudipaAPI-data'!$L79</f>
        <v>0.98680000000000001</v>
      </c>
      <c r="K80">
        <f>'[30]R03_GABM_run2-data'!$J79/'[30]R03_GABM_run2-data'!$L79</f>
        <v>0.62119999999999997</v>
      </c>
      <c r="L80">
        <f t="shared" si="1"/>
        <v>0.88380000000000014</v>
      </c>
    </row>
    <row r="81" spans="1:12" x14ac:dyDescent="0.35">
      <c r="A81">
        <v>78</v>
      </c>
      <c r="B81">
        <v>1</v>
      </c>
      <c r="C81">
        <v>1</v>
      </c>
      <c r="D81">
        <v>1</v>
      </c>
      <c r="E81">
        <v>1</v>
      </c>
      <c r="F81">
        <f>'[25]GABM_R03_Terry-data'!$J80/'[25]GABM_R03_Terry-data'!$L80</f>
        <v>0.61719999999999997</v>
      </c>
      <c r="G81">
        <f>'[26]GABM_R03_SarahAPI-data'!$J80/'[26]GABM_R03_SarahAPI-data'!$L80</f>
        <v>0.62439999999999996</v>
      </c>
      <c r="H81">
        <f>'[27]GABM_R03_savannah-data'!$J80/'[27]GABM_R03_savannah-data'!$L80</f>
        <v>0.59040000000000004</v>
      </c>
      <c r="I81">
        <f>'[28]GABM_R03_MitchellAPI-data'!$J80/'[28]GABM_R03_MitchellAPI-data'!$L80</f>
        <v>0.60040000000000004</v>
      </c>
      <c r="J81">
        <f>'[29]GABM_R03_SudipaAPI-data'!$J80/'[29]GABM_R03_SudipaAPI-data'!$L80</f>
        <v>0.61319999999999997</v>
      </c>
      <c r="K81">
        <f>'[30]R03_GABM_run2-data'!$J80/'[30]R03_GABM_run2-data'!$L80</f>
        <v>0.99439999999999995</v>
      </c>
      <c r="L81">
        <f t="shared" si="1"/>
        <v>0.80399999999999994</v>
      </c>
    </row>
    <row r="82" spans="1:12" x14ac:dyDescent="0.35">
      <c r="A82">
        <v>79</v>
      </c>
      <c r="B82">
        <v>1</v>
      </c>
      <c r="C82">
        <v>1</v>
      </c>
      <c r="D82">
        <v>1</v>
      </c>
      <c r="E82">
        <v>1</v>
      </c>
      <c r="F82">
        <f>'[25]GABM_R03_Terry-data'!$J81/'[25]GABM_R03_Terry-data'!$L81</f>
        <v>0.61480000000000001</v>
      </c>
      <c r="G82">
        <f>'[26]GABM_R03_SarahAPI-data'!$J81/'[26]GABM_R03_SarahAPI-data'!$L81</f>
        <v>0.63360000000000005</v>
      </c>
      <c r="H82">
        <f>'[27]GABM_R03_savannah-data'!$J81/'[27]GABM_R03_savannah-data'!$L81</f>
        <v>0.66920000000000002</v>
      </c>
      <c r="I82">
        <f>'[28]GABM_R03_MitchellAPI-data'!$J81/'[28]GABM_R03_MitchellAPI-data'!$L81</f>
        <v>0.49880000000000002</v>
      </c>
      <c r="J82">
        <f>'[29]GABM_R03_SudipaAPI-data'!$J81/'[29]GABM_R03_SudipaAPI-data'!$L81</f>
        <v>0.99160000000000004</v>
      </c>
      <c r="K82">
        <f>'[30]R03_GABM_run2-data'!$J81/'[30]R03_GABM_run2-data'!$L81</f>
        <v>0.63200000000000001</v>
      </c>
      <c r="L82">
        <f t="shared" si="1"/>
        <v>0.80400000000000005</v>
      </c>
    </row>
    <row r="83" spans="1:12" x14ac:dyDescent="0.35">
      <c r="A83">
        <v>80</v>
      </c>
      <c r="B83">
        <v>1</v>
      </c>
      <c r="C83">
        <v>1</v>
      </c>
      <c r="D83">
        <v>1</v>
      </c>
      <c r="E83">
        <v>1</v>
      </c>
      <c r="F83">
        <f>'[25]GABM_R03_Terry-data'!$J82/'[25]GABM_R03_Terry-data'!$L82</f>
        <v>0.61439999999999995</v>
      </c>
      <c r="G83">
        <f>'[26]GABM_R03_SarahAPI-data'!$J82/'[26]GABM_R03_SarahAPI-data'!$L82</f>
        <v>0.61719999999999997</v>
      </c>
      <c r="H83">
        <f>'[27]GABM_R03_savannah-data'!$J82/'[27]GABM_R03_savannah-data'!$L82</f>
        <v>0.99</v>
      </c>
      <c r="I83">
        <f>'[28]GABM_R03_MitchellAPI-data'!$J82/'[28]GABM_R03_MitchellAPI-data'!$L82</f>
        <v>0.57640000000000002</v>
      </c>
      <c r="J83">
        <f>'[29]GABM_R03_SudipaAPI-data'!$J82/'[29]GABM_R03_SudipaAPI-data'!$L82</f>
        <v>0.62680000000000002</v>
      </c>
      <c r="K83">
        <f>'[30]R03_GABM_run2-data'!$J82/'[30]R03_GABM_run2-data'!$L82</f>
        <v>0.63680000000000003</v>
      </c>
      <c r="L83">
        <f t="shared" si="1"/>
        <v>0.80615999999999999</v>
      </c>
    </row>
    <row r="84" spans="1:12" x14ac:dyDescent="0.35">
      <c r="A84">
        <v>81</v>
      </c>
      <c r="B84">
        <v>1</v>
      </c>
      <c r="C84">
        <v>1</v>
      </c>
      <c r="D84">
        <v>1</v>
      </c>
      <c r="E84">
        <v>1</v>
      </c>
      <c r="F84">
        <f>'[25]GABM_R03_Terry-data'!$J83/'[25]GABM_R03_Terry-data'!$L83</f>
        <v>0.58240000000000003</v>
      </c>
      <c r="G84">
        <f>'[26]GABM_R03_SarahAPI-data'!$J83/'[26]GABM_R03_SarahAPI-data'!$L83</f>
        <v>0.62439999999999996</v>
      </c>
      <c r="H84">
        <f>'[27]GABM_R03_savannah-data'!$J83/'[27]GABM_R03_savannah-data'!$L83</f>
        <v>0.65480000000000005</v>
      </c>
      <c r="I84">
        <f>'[28]GABM_R03_MitchellAPI-data'!$J83/'[28]GABM_R03_MitchellAPI-data'!$L83</f>
        <v>0.21879999999999999</v>
      </c>
      <c r="J84">
        <f>'[29]GABM_R03_SudipaAPI-data'!$J83/'[29]GABM_R03_SudipaAPI-data'!$L83</f>
        <v>0.98960000000000004</v>
      </c>
      <c r="K84">
        <f>'[30]R03_GABM_run2-data'!$J83/'[30]R03_GABM_run2-data'!$L83</f>
        <v>0.61599999999999999</v>
      </c>
      <c r="L84">
        <f t="shared" si="1"/>
        <v>0.76859999999999995</v>
      </c>
    </row>
    <row r="85" spans="1:12" x14ac:dyDescent="0.35">
      <c r="A85">
        <v>82</v>
      </c>
      <c r="B85">
        <v>1</v>
      </c>
      <c r="C85">
        <v>1</v>
      </c>
      <c r="D85">
        <v>1</v>
      </c>
      <c r="E85">
        <v>1</v>
      </c>
      <c r="F85">
        <f>'[25]GABM_R03_Terry-data'!$J84/'[25]GABM_R03_Terry-data'!$L84</f>
        <v>0.63400000000000001</v>
      </c>
      <c r="G85">
        <f>'[26]GABM_R03_SarahAPI-data'!$J84/'[26]GABM_R03_SarahAPI-data'!$L84</f>
        <v>0.61839999999999995</v>
      </c>
      <c r="H85">
        <f>'[27]GABM_R03_savannah-data'!$J84/'[27]GABM_R03_savannah-data'!$L84</f>
        <v>0.99199999999999999</v>
      </c>
      <c r="I85">
        <f>'[28]GABM_R03_MitchellAPI-data'!$J84/'[28]GABM_R03_MitchellAPI-data'!$L84</f>
        <v>0.52880000000000005</v>
      </c>
      <c r="J85">
        <f>'[29]GABM_R03_SudipaAPI-data'!$J84/'[29]GABM_R03_SudipaAPI-data'!$L84</f>
        <v>0.99039999999999995</v>
      </c>
      <c r="K85">
        <f>'[30]R03_GABM_run2-data'!$J84/'[30]R03_GABM_run2-data'!$L84</f>
        <v>0.64319999999999999</v>
      </c>
      <c r="L85">
        <f t="shared" si="1"/>
        <v>0.84068000000000009</v>
      </c>
    </row>
    <row r="86" spans="1:12" x14ac:dyDescent="0.35">
      <c r="A86">
        <v>83</v>
      </c>
      <c r="B86">
        <v>1</v>
      </c>
      <c r="C86">
        <v>1</v>
      </c>
      <c r="D86">
        <v>1</v>
      </c>
      <c r="E86">
        <v>1</v>
      </c>
      <c r="F86">
        <f>'[25]GABM_R03_Terry-data'!$J85/'[25]GABM_R03_Terry-data'!$L85</f>
        <v>0.61919999999999997</v>
      </c>
      <c r="G86">
        <f>'[26]GABM_R03_SarahAPI-data'!$J85/'[26]GABM_R03_SarahAPI-data'!$L85</f>
        <v>0.61880000000000002</v>
      </c>
      <c r="H86">
        <f>'[27]GABM_R03_savannah-data'!$J85/'[27]GABM_R03_savannah-data'!$L85</f>
        <v>0.99280000000000002</v>
      </c>
      <c r="I86">
        <f>'[28]GABM_R03_MitchellAPI-data'!$J85/'[28]GABM_R03_MitchellAPI-data'!$L85</f>
        <v>0.61839999999999995</v>
      </c>
      <c r="J86">
        <f>'[29]GABM_R03_SudipaAPI-data'!$J85/'[29]GABM_R03_SudipaAPI-data'!$L85</f>
        <v>0.61080000000000001</v>
      </c>
      <c r="K86">
        <f>'[30]R03_GABM_run2-data'!$J85/'[30]R03_GABM_run2-data'!$L85</f>
        <v>0.98880000000000001</v>
      </c>
      <c r="L86">
        <f t="shared" si="1"/>
        <v>0.84488000000000008</v>
      </c>
    </row>
    <row r="87" spans="1:12" x14ac:dyDescent="0.35">
      <c r="A87">
        <v>84</v>
      </c>
      <c r="B87">
        <v>1</v>
      </c>
      <c r="C87">
        <v>1</v>
      </c>
      <c r="D87">
        <v>1</v>
      </c>
      <c r="E87">
        <v>1</v>
      </c>
      <c r="F87">
        <f>'[25]GABM_R03_Terry-data'!$J86/'[25]GABM_R03_Terry-data'!$L86</f>
        <v>0.99280000000000002</v>
      </c>
      <c r="G87">
        <f>'[26]GABM_R03_SarahAPI-data'!$J86/'[26]GABM_R03_SarahAPI-data'!$L86</f>
        <v>0.63439999999999996</v>
      </c>
      <c r="H87">
        <f>'[27]GABM_R03_savannah-data'!$J86/'[27]GABM_R03_savannah-data'!$L86</f>
        <v>0.61240000000000006</v>
      </c>
      <c r="I87">
        <f>'[28]GABM_R03_MitchellAPI-data'!$J86/'[28]GABM_R03_MitchellAPI-data'!$L86</f>
        <v>0.62719999999999998</v>
      </c>
      <c r="J87">
        <f>'[29]GABM_R03_SudipaAPI-data'!$J86/'[29]GABM_R03_SudipaAPI-data'!$L86</f>
        <v>0.61199999999999999</v>
      </c>
      <c r="K87">
        <f>'[30]R03_GABM_run2-data'!$J86/'[30]R03_GABM_run2-data'!$L86</f>
        <v>0.61599999999999999</v>
      </c>
      <c r="L87">
        <f t="shared" si="1"/>
        <v>0.80948000000000009</v>
      </c>
    </row>
    <row r="88" spans="1:12" x14ac:dyDescent="0.35">
      <c r="A88">
        <v>85</v>
      </c>
      <c r="B88">
        <v>1</v>
      </c>
      <c r="C88">
        <v>1</v>
      </c>
      <c r="D88">
        <v>1</v>
      </c>
      <c r="E88">
        <v>1</v>
      </c>
      <c r="F88">
        <f>'[25]GABM_R03_Terry-data'!$J87/'[25]GABM_R03_Terry-data'!$L87</f>
        <v>0.99039999999999995</v>
      </c>
      <c r="G88">
        <f>'[26]GABM_R03_SarahAPI-data'!$J87/'[26]GABM_R03_SarahAPI-data'!$L87</f>
        <v>0.99080000000000001</v>
      </c>
      <c r="H88">
        <f>'[27]GABM_R03_savannah-data'!$J87/'[27]GABM_R03_savannah-data'!$L87</f>
        <v>0.65759999999999996</v>
      </c>
      <c r="I88">
        <f>'[28]GABM_R03_MitchellAPI-data'!$J87/'[28]GABM_R03_MitchellAPI-data'!$L87</f>
        <v>0.64159999999999995</v>
      </c>
      <c r="J88">
        <f>'[29]GABM_R03_SudipaAPI-data'!$J87/'[29]GABM_R03_SudipaAPI-data'!$L87</f>
        <v>0.62080000000000002</v>
      </c>
      <c r="K88">
        <f>'[30]R03_GABM_run2-data'!$J87/'[30]R03_GABM_run2-data'!$L87</f>
        <v>0.99399999999999999</v>
      </c>
      <c r="L88">
        <f t="shared" si="1"/>
        <v>0.88952000000000009</v>
      </c>
    </row>
    <row r="89" spans="1:12" x14ac:dyDescent="0.35">
      <c r="A89">
        <v>86</v>
      </c>
      <c r="B89">
        <v>1</v>
      </c>
      <c r="C89">
        <v>1</v>
      </c>
      <c r="D89">
        <v>1</v>
      </c>
      <c r="E89">
        <v>1</v>
      </c>
      <c r="F89">
        <v>1</v>
      </c>
      <c r="G89">
        <f>'[26]GABM_R03_SarahAPI-data'!$J88/'[26]GABM_R03_SarahAPI-data'!$L88</f>
        <v>0.99199999999999999</v>
      </c>
      <c r="H89">
        <f>'[27]GABM_R03_savannah-data'!$J88/'[27]GABM_R03_savannah-data'!$L88</f>
        <v>0.99080000000000001</v>
      </c>
      <c r="I89">
        <f>'[28]GABM_R03_MitchellAPI-data'!$J88/'[28]GABM_R03_MitchellAPI-data'!$L88</f>
        <v>0.63839999999999997</v>
      </c>
      <c r="J89">
        <f>'[29]GABM_R03_SudipaAPI-data'!$J88/'[29]GABM_R03_SudipaAPI-data'!$L88</f>
        <v>0.58399999999999996</v>
      </c>
      <c r="K89">
        <f>'[30]R03_GABM_run2-data'!$J88/'[30]R03_GABM_run2-data'!$L88</f>
        <v>0.63439999999999996</v>
      </c>
      <c r="L89">
        <f t="shared" si="1"/>
        <v>0.88395999999999986</v>
      </c>
    </row>
    <row r="90" spans="1:12" x14ac:dyDescent="0.35">
      <c r="A90">
        <v>87</v>
      </c>
      <c r="B90">
        <v>1</v>
      </c>
      <c r="C90">
        <v>1</v>
      </c>
      <c r="D90">
        <v>1</v>
      </c>
      <c r="E90">
        <v>1</v>
      </c>
      <c r="F90">
        <v>1</v>
      </c>
      <c r="G90">
        <f>'[26]GABM_R03_SarahAPI-data'!$J89/'[26]GABM_R03_SarahAPI-data'!$L89</f>
        <v>0.99080000000000001</v>
      </c>
      <c r="H90">
        <f>'[27]GABM_R03_savannah-data'!$J89/'[27]GABM_R03_savannah-data'!$L89</f>
        <v>0.99639999999999995</v>
      </c>
      <c r="I90">
        <f>'[28]GABM_R03_MitchellAPI-data'!$J89/'[28]GABM_R03_MitchellAPI-data'!$L89</f>
        <v>0.99319999999999997</v>
      </c>
      <c r="J90">
        <f>'[29]GABM_R03_SudipaAPI-data'!$J89/'[29]GABM_R03_SudipaAPI-data'!$L89</f>
        <v>0.57799999999999996</v>
      </c>
      <c r="K90">
        <f>'[30]R03_GABM_run2-data'!$J89/'[30]R03_GABM_run2-data'!$L89</f>
        <v>0.63</v>
      </c>
      <c r="L90">
        <f t="shared" si="1"/>
        <v>0.91883999999999999</v>
      </c>
    </row>
    <row r="91" spans="1:12" x14ac:dyDescent="0.35">
      <c r="A91">
        <v>88</v>
      </c>
      <c r="B91">
        <v>1</v>
      </c>
      <c r="C91">
        <v>1</v>
      </c>
      <c r="D91">
        <v>1</v>
      </c>
      <c r="E91">
        <v>1</v>
      </c>
      <c r="F91">
        <v>1</v>
      </c>
      <c r="G91">
        <f>'[26]GABM_R03_SarahAPI-data'!$J90/'[26]GABM_R03_SarahAPI-data'!$L90</f>
        <v>0.64</v>
      </c>
      <c r="H91">
        <f>'[27]GABM_R03_savannah-data'!$J90/'[27]GABM_R03_savannah-data'!$L90</f>
        <v>0.998</v>
      </c>
      <c r="I91">
        <f>'[28]GABM_R03_MitchellAPI-data'!$J90/'[28]GABM_R03_MitchellAPI-data'!$L90</f>
        <v>0.6532</v>
      </c>
      <c r="J91">
        <f>'[29]GABM_R03_SudipaAPI-data'!$J90/'[29]GABM_R03_SudipaAPI-data'!$L90</f>
        <v>0.61119999999999997</v>
      </c>
      <c r="K91">
        <f>'[30]R03_GABM_run2-data'!$J90/'[30]R03_GABM_run2-data'!$L90</f>
        <v>0.62480000000000002</v>
      </c>
      <c r="L91">
        <f t="shared" si="1"/>
        <v>0.85272000000000003</v>
      </c>
    </row>
    <row r="92" spans="1:12" x14ac:dyDescent="0.35">
      <c r="A92">
        <v>89</v>
      </c>
      <c r="B92">
        <v>1</v>
      </c>
      <c r="C92">
        <v>1</v>
      </c>
      <c r="D92">
        <v>1</v>
      </c>
      <c r="E92">
        <v>1</v>
      </c>
      <c r="F92">
        <v>1</v>
      </c>
      <c r="G92">
        <f>'[26]GABM_R03_SarahAPI-data'!$J91/'[26]GABM_R03_SarahAPI-data'!$L91</f>
        <v>0.64400000000000002</v>
      </c>
      <c r="H92">
        <f>'[27]GABM_R03_savannah-data'!$J91/'[27]GABM_R03_savannah-data'!$L91</f>
        <v>0.998</v>
      </c>
      <c r="I92">
        <f>'[28]GABM_R03_MitchellAPI-data'!$J91/'[28]GABM_R03_MitchellAPI-data'!$L91</f>
        <v>0.6512</v>
      </c>
      <c r="J92">
        <f>'[29]GABM_R03_SudipaAPI-data'!$J91/'[29]GABM_R03_SudipaAPI-data'!$L91</f>
        <v>0.61319999999999997</v>
      </c>
      <c r="K92">
        <f>'[30]R03_GABM_run2-data'!$J91/'[30]R03_GABM_run2-data'!$L91</f>
        <v>0.63119999999999998</v>
      </c>
      <c r="L92">
        <f t="shared" si="1"/>
        <v>0.85376000000000007</v>
      </c>
    </row>
    <row r="93" spans="1:12" x14ac:dyDescent="0.35">
      <c r="A93">
        <v>90</v>
      </c>
      <c r="B93">
        <v>1</v>
      </c>
      <c r="C93">
        <v>1</v>
      </c>
      <c r="D93">
        <v>1</v>
      </c>
      <c r="E93">
        <v>1</v>
      </c>
      <c r="F93">
        <v>1</v>
      </c>
      <c r="G93">
        <f>'[26]GABM_R03_SarahAPI-data'!$J92/'[26]GABM_R03_SarahAPI-data'!$L92</f>
        <v>0.61960000000000004</v>
      </c>
      <c r="H93">
        <v>1</v>
      </c>
      <c r="I93">
        <f>'[28]GABM_R03_MitchellAPI-data'!$J92/'[28]GABM_R03_MitchellAPI-data'!$L92</f>
        <v>0.99039999999999995</v>
      </c>
      <c r="J93">
        <f>'[29]GABM_R03_SudipaAPI-data'!$J92/'[29]GABM_R03_SudipaAPI-data'!$L92</f>
        <v>0.99360000000000004</v>
      </c>
      <c r="K93">
        <f>'[30]R03_GABM_run2-data'!$J92/'[30]R03_GABM_run2-data'!$L92</f>
        <v>0.99480000000000002</v>
      </c>
      <c r="L93">
        <f t="shared" si="1"/>
        <v>0.95984000000000003</v>
      </c>
    </row>
    <row r="94" spans="1:12" x14ac:dyDescent="0.35">
      <c r="A94">
        <v>91</v>
      </c>
      <c r="B94">
        <v>1</v>
      </c>
      <c r="C94">
        <v>1</v>
      </c>
      <c r="D94">
        <v>1</v>
      </c>
      <c r="E94">
        <v>1</v>
      </c>
      <c r="F94">
        <v>1</v>
      </c>
      <c r="G94">
        <f>'[26]GABM_R03_SarahAPI-data'!$J93/'[26]GABM_R03_SarahAPI-data'!$L93</f>
        <v>0.63839999999999997</v>
      </c>
      <c r="H94">
        <v>1</v>
      </c>
      <c r="I94">
        <f>'[28]GABM_R03_MitchellAPI-data'!$J93/'[28]GABM_R03_MitchellAPI-data'!$L93</f>
        <v>0.626</v>
      </c>
      <c r="J94">
        <f>'[29]GABM_R03_SudipaAPI-data'!$J93/'[29]GABM_R03_SudipaAPI-data'!$L93</f>
        <v>0.61719999999999997</v>
      </c>
      <c r="K94">
        <f>'[30]R03_GABM_run2-data'!$J93/'[30]R03_GABM_run2-data'!$L93</f>
        <v>0.99560000000000004</v>
      </c>
      <c r="L94">
        <f t="shared" si="1"/>
        <v>0.88772000000000006</v>
      </c>
    </row>
    <row r="95" spans="1:12" x14ac:dyDescent="0.35">
      <c r="A95">
        <v>92</v>
      </c>
      <c r="B95">
        <v>1</v>
      </c>
      <c r="C95">
        <v>1</v>
      </c>
      <c r="D95">
        <v>1</v>
      </c>
      <c r="E95">
        <v>1</v>
      </c>
      <c r="F95">
        <v>1</v>
      </c>
      <c r="G95">
        <f>'[26]GABM_R03_SarahAPI-data'!$J94/'[26]GABM_R03_SarahAPI-data'!$L94</f>
        <v>0.62160000000000004</v>
      </c>
      <c r="H95">
        <v>1</v>
      </c>
      <c r="I95">
        <f>'[28]GABM_R03_MitchellAPI-data'!$J94/'[28]GABM_R03_MitchellAPI-data'!$L94</f>
        <v>0.65439999999999998</v>
      </c>
      <c r="J95">
        <f>'[29]GABM_R03_SudipaAPI-data'!$J94/'[29]GABM_R03_SudipaAPI-data'!$L94</f>
        <v>0.61960000000000004</v>
      </c>
      <c r="K95">
        <f>'[30]R03_GABM_run2-data'!$J94/'[30]R03_GABM_run2-data'!$L94</f>
        <v>0.99680000000000002</v>
      </c>
      <c r="L95">
        <f t="shared" si="1"/>
        <v>0.88924000000000003</v>
      </c>
    </row>
    <row r="96" spans="1:12" x14ac:dyDescent="0.35">
      <c r="A96">
        <v>93</v>
      </c>
      <c r="B96">
        <v>1</v>
      </c>
      <c r="C96">
        <v>1</v>
      </c>
      <c r="D96">
        <v>1</v>
      </c>
      <c r="E96">
        <v>1</v>
      </c>
      <c r="F96">
        <v>1</v>
      </c>
      <c r="G96">
        <f>'[26]GABM_R03_SarahAPI-data'!$J95/'[26]GABM_R03_SarahAPI-data'!$L95</f>
        <v>0.63319999999999999</v>
      </c>
      <c r="H96">
        <v>1</v>
      </c>
      <c r="I96">
        <f>'[28]GABM_R03_MitchellAPI-data'!$J95/'[28]GABM_R03_MitchellAPI-data'!$L95</f>
        <v>0.99199999999999999</v>
      </c>
      <c r="J96">
        <f>'[29]GABM_R03_SudipaAPI-data'!$J95/'[29]GABM_R03_SudipaAPI-data'!$L95</f>
        <v>0.98880000000000001</v>
      </c>
      <c r="K96">
        <f>'[30]R03_GABM_run2-data'!$J95/'[30]R03_GABM_run2-data'!$L95</f>
        <v>0.99480000000000002</v>
      </c>
      <c r="L96">
        <f t="shared" si="1"/>
        <v>0.96088000000000007</v>
      </c>
    </row>
    <row r="97" spans="1:12" x14ac:dyDescent="0.35">
      <c r="A97">
        <v>94</v>
      </c>
      <c r="B97">
        <v>1</v>
      </c>
      <c r="C97">
        <v>1</v>
      </c>
      <c r="D97">
        <v>1</v>
      </c>
      <c r="E97">
        <v>1</v>
      </c>
      <c r="F97">
        <v>1</v>
      </c>
      <c r="G97">
        <f>'[26]GABM_R03_SarahAPI-data'!$J96/'[26]GABM_R03_SarahAPI-data'!$L96</f>
        <v>0.99199999999999999</v>
      </c>
      <c r="H97">
        <v>1</v>
      </c>
      <c r="I97">
        <f>'[28]GABM_R03_MitchellAPI-data'!$J96/'[28]GABM_R03_MitchellAPI-data'!$L96</f>
        <v>0.48399999999999999</v>
      </c>
      <c r="J97">
        <f>'[29]GABM_R03_SudipaAPI-data'!$J96/'[29]GABM_R03_SudipaAPI-data'!$L96</f>
        <v>0.61919999999999997</v>
      </c>
      <c r="K97">
        <f>'[30]R03_GABM_run2-data'!$J96/'[30]R03_GABM_run2-data'!$L96</f>
        <v>0.624</v>
      </c>
      <c r="L97">
        <f t="shared" si="1"/>
        <v>0.87192000000000003</v>
      </c>
    </row>
    <row r="98" spans="1:12" x14ac:dyDescent="0.35">
      <c r="A98">
        <v>95</v>
      </c>
      <c r="B98">
        <v>1</v>
      </c>
      <c r="C98">
        <v>1</v>
      </c>
      <c r="D98">
        <v>1</v>
      </c>
      <c r="E98">
        <v>1</v>
      </c>
      <c r="F98">
        <v>1</v>
      </c>
      <c r="G98">
        <f>'[26]GABM_R03_SarahAPI-data'!$J97/'[26]GABM_R03_SarahAPI-data'!$L97</f>
        <v>0.99680000000000002</v>
      </c>
      <c r="H98">
        <v>1</v>
      </c>
      <c r="I98">
        <f>'[28]GABM_R03_MitchellAPI-data'!$J97/'[28]GABM_R03_MitchellAPI-data'!$L97</f>
        <v>0.65839999999999999</v>
      </c>
      <c r="J98">
        <f>'[29]GABM_R03_SudipaAPI-data'!$J97/'[29]GABM_R03_SudipaAPI-data'!$L97</f>
        <v>0.61</v>
      </c>
      <c r="K98">
        <f>'[30]R03_GABM_run2-data'!$J97/'[30]R03_GABM_run2-data'!$L97</f>
        <v>0.99399999999999999</v>
      </c>
      <c r="L98">
        <f t="shared" si="1"/>
        <v>0.92591999999999997</v>
      </c>
    </row>
    <row r="99" spans="1:12" x14ac:dyDescent="0.35">
      <c r="A99">
        <v>96</v>
      </c>
      <c r="B99">
        <v>1</v>
      </c>
      <c r="C99">
        <v>1</v>
      </c>
      <c r="D99">
        <v>1</v>
      </c>
      <c r="E99">
        <v>1</v>
      </c>
      <c r="F99">
        <v>1</v>
      </c>
      <c r="G99">
        <f>'[26]GABM_R03_SarahAPI-data'!$J98/'[26]GABM_R03_SarahAPI-data'!$L98</f>
        <v>0.99760000000000004</v>
      </c>
      <c r="H99">
        <v>1</v>
      </c>
      <c r="I99">
        <f>'[28]GABM_R03_MitchellAPI-data'!$J98/'[28]GABM_R03_MitchellAPI-data'!$L98</f>
        <v>0.61480000000000001</v>
      </c>
      <c r="J99">
        <f>'[29]GABM_R03_SudipaAPI-data'!$J98/'[29]GABM_R03_SudipaAPI-data'!$L98</f>
        <v>0.6008</v>
      </c>
      <c r="K99">
        <f>'[30]R03_GABM_run2-data'!$J98/'[30]R03_GABM_run2-data'!$L98</f>
        <v>0.99519999999999997</v>
      </c>
      <c r="L99">
        <f t="shared" si="1"/>
        <v>0.9208400000000001</v>
      </c>
    </row>
    <row r="100" spans="1:12" x14ac:dyDescent="0.35">
      <c r="A100">
        <v>97</v>
      </c>
      <c r="B100">
        <v>1</v>
      </c>
      <c r="C100">
        <v>1</v>
      </c>
      <c r="D100">
        <v>1</v>
      </c>
      <c r="E100">
        <v>1</v>
      </c>
      <c r="F100">
        <v>1</v>
      </c>
      <c r="G100">
        <f>'[26]GABM_R03_SarahAPI-data'!$J99/'[26]GABM_R03_SarahAPI-data'!$L99</f>
        <v>0.99719999999999998</v>
      </c>
      <c r="H100">
        <v>1</v>
      </c>
      <c r="I100">
        <f>'[28]GABM_R03_MitchellAPI-data'!$J99/'[28]GABM_R03_MitchellAPI-data'!$L99</f>
        <v>0.59760000000000002</v>
      </c>
      <c r="J100">
        <f>'[29]GABM_R03_SudipaAPI-data'!$J99/'[29]GABM_R03_SudipaAPI-data'!$L99</f>
        <v>0.628</v>
      </c>
      <c r="K100">
        <v>1</v>
      </c>
      <c r="L100">
        <f t="shared" si="1"/>
        <v>0.92227999999999999</v>
      </c>
    </row>
    <row r="101" spans="1:12" x14ac:dyDescent="0.35">
      <c r="A101">
        <v>98</v>
      </c>
      <c r="B101">
        <v>1</v>
      </c>
      <c r="C101">
        <v>1</v>
      </c>
      <c r="D101">
        <v>1</v>
      </c>
      <c r="E101">
        <v>1</v>
      </c>
      <c r="F101">
        <v>1</v>
      </c>
      <c r="G101">
        <f>'[26]GABM_R03_SarahAPI-data'!$J100/'[26]GABM_R03_SarahAPI-data'!$L100</f>
        <v>0.63519999999999999</v>
      </c>
      <c r="H101">
        <v>1</v>
      </c>
      <c r="I101">
        <f>'[28]GABM_R03_MitchellAPI-data'!$J100/'[28]GABM_R03_MitchellAPI-data'!$L100</f>
        <v>0.63360000000000005</v>
      </c>
      <c r="J101">
        <f>'[29]GABM_R03_SudipaAPI-data'!$J100/'[29]GABM_R03_SudipaAPI-data'!$L100</f>
        <v>0.61599999999999999</v>
      </c>
      <c r="K101">
        <v>1</v>
      </c>
      <c r="L101">
        <f t="shared" si="1"/>
        <v>0.88848000000000005</v>
      </c>
    </row>
    <row r="102" spans="1:12" x14ac:dyDescent="0.35">
      <c r="A102">
        <v>99</v>
      </c>
      <c r="B102">
        <v>1</v>
      </c>
      <c r="C102">
        <v>1</v>
      </c>
      <c r="D102">
        <v>1</v>
      </c>
      <c r="E102">
        <v>1</v>
      </c>
      <c r="F102">
        <v>1</v>
      </c>
      <c r="G102">
        <f>'[26]GABM_R03_SarahAPI-data'!$J101/'[26]GABM_R03_SarahAPI-data'!$L101</f>
        <v>0.62080000000000002</v>
      </c>
      <c r="H102">
        <v>1</v>
      </c>
      <c r="I102">
        <f>'[28]GABM_R03_MitchellAPI-data'!$J101/'[28]GABM_R03_MitchellAPI-data'!$L101</f>
        <v>0.61280000000000001</v>
      </c>
      <c r="J102">
        <f>'[29]GABM_R03_SudipaAPI-data'!$J101/'[29]GABM_R03_SudipaAPI-data'!$L101</f>
        <v>0.99239999999999995</v>
      </c>
      <c r="K102">
        <v>1</v>
      </c>
      <c r="L102">
        <f t="shared" si="1"/>
        <v>0.92259999999999986</v>
      </c>
    </row>
    <row r="103" spans="1:12" x14ac:dyDescent="0.35">
      <c r="A103">
        <v>100</v>
      </c>
      <c r="B103">
        <v>1</v>
      </c>
      <c r="C103">
        <v>1</v>
      </c>
      <c r="D103">
        <v>1</v>
      </c>
      <c r="E103">
        <v>1</v>
      </c>
      <c r="F103">
        <v>1</v>
      </c>
      <c r="G103">
        <f>'[26]GABM_R03_SarahAPI-data'!$J102/'[26]GABM_R03_SarahAPI-data'!$L102</f>
        <v>0.63560000000000005</v>
      </c>
      <c r="H103">
        <v>1</v>
      </c>
      <c r="I103">
        <f>'[28]GABM_R03_MitchellAPI-data'!$J102/'[28]GABM_R03_MitchellAPI-data'!$L102</f>
        <v>0.64319999999999999</v>
      </c>
      <c r="J103">
        <f>'[29]GABM_R03_SudipaAPI-data'!$J102/'[29]GABM_R03_SudipaAPI-data'!$L102</f>
        <v>0.99199999999999999</v>
      </c>
      <c r="K103">
        <v>1</v>
      </c>
      <c r="L103">
        <f t="shared" si="1"/>
        <v>0.92708000000000013</v>
      </c>
    </row>
    <row r="104" spans="1:12" x14ac:dyDescent="0.35">
      <c r="A104">
        <v>101</v>
      </c>
      <c r="B104">
        <v>1</v>
      </c>
      <c r="C104">
        <v>1</v>
      </c>
      <c r="D104">
        <v>1</v>
      </c>
      <c r="E104">
        <v>1</v>
      </c>
      <c r="F104">
        <v>1</v>
      </c>
      <c r="G104">
        <f>'[26]GABM_R03_SarahAPI-data'!$J103/'[26]GABM_R03_SarahAPI-data'!$L103</f>
        <v>0.61599999999999999</v>
      </c>
      <c r="H104">
        <v>1</v>
      </c>
      <c r="I104">
        <f>'[28]GABM_R03_MitchellAPI-data'!$J103/'[28]GABM_R03_MitchellAPI-data'!$L103</f>
        <v>0.622</v>
      </c>
      <c r="J104">
        <f>'[29]GABM_R03_SudipaAPI-data'!$J103/'[29]GABM_R03_SudipaAPI-data'!$L103</f>
        <v>0.98880000000000001</v>
      </c>
      <c r="K104">
        <v>1</v>
      </c>
      <c r="L104">
        <f t="shared" si="1"/>
        <v>0.92267999999999994</v>
      </c>
    </row>
    <row r="105" spans="1:12" x14ac:dyDescent="0.35">
      <c r="A105">
        <v>102</v>
      </c>
      <c r="B105">
        <v>1</v>
      </c>
      <c r="C105">
        <v>1</v>
      </c>
      <c r="D105">
        <v>1</v>
      </c>
      <c r="E105">
        <v>1</v>
      </c>
      <c r="F105">
        <v>1</v>
      </c>
      <c r="G105">
        <f>'[26]GABM_R03_SarahAPI-data'!$J104/'[26]GABM_R03_SarahAPI-data'!$L104</f>
        <v>0.99280000000000002</v>
      </c>
      <c r="H105">
        <v>1</v>
      </c>
      <c r="I105">
        <f>'[28]GABM_R03_MitchellAPI-data'!$J104/'[28]GABM_R03_MitchellAPI-data'!$L104</f>
        <v>0.64159999999999995</v>
      </c>
      <c r="J105">
        <f>'[29]GABM_R03_SudipaAPI-data'!$J104/'[29]GABM_R03_SudipaAPI-data'!$L104</f>
        <v>0.99280000000000002</v>
      </c>
      <c r="K105">
        <v>1</v>
      </c>
      <c r="L105">
        <f t="shared" si="1"/>
        <v>0.96272000000000002</v>
      </c>
    </row>
    <row r="106" spans="1:12" x14ac:dyDescent="0.35">
      <c r="A106">
        <v>103</v>
      </c>
      <c r="B106">
        <v>1</v>
      </c>
      <c r="C106">
        <v>1</v>
      </c>
      <c r="D106">
        <v>1</v>
      </c>
      <c r="E106">
        <v>1</v>
      </c>
      <c r="F106">
        <v>1</v>
      </c>
      <c r="G106">
        <f>'[26]GABM_R03_SarahAPI-data'!$J105/'[26]GABM_R03_SarahAPI-data'!$L105</f>
        <v>0.99039999999999995</v>
      </c>
      <c r="H106">
        <v>1</v>
      </c>
      <c r="I106">
        <f>'[28]GABM_R03_MitchellAPI-data'!$J105/'[28]GABM_R03_MitchellAPI-data'!$L105</f>
        <v>0.61760000000000004</v>
      </c>
      <c r="J106">
        <f>'[29]GABM_R03_SudipaAPI-data'!$J105/'[29]GABM_R03_SudipaAPI-data'!$L105</f>
        <v>0.63239999999999996</v>
      </c>
      <c r="K106">
        <v>1</v>
      </c>
      <c r="L106">
        <f t="shared" si="1"/>
        <v>0.92404000000000008</v>
      </c>
    </row>
    <row r="107" spans="1:12" x14ac:dyDescent="0.35">
      <c r="A107">
        <v>104</v>
      </c>
      <c r="B107">
        <v>1</v>
      </c>
      <c r="C107">
        <v>1</v>
      </c>
      <c r="D107">
        <v>1</v>
      </c>
      <c r="E107">
        <v>1</v>
      </c>
      <c r="F107">
        <v>1</v>
      </c>
      <c r="G107">
        <f>'[26]GABM_R03_SarahAPI-data'!$J106/'[26]GABM_R03_SarahAPI-data'!$L106</f>
        <v>0.99480000000000002</v>
      </c>
      <c r="H107">
        <v>1</v>
      </c>
      <c r="I107">
        <f>'[28]GABM_R03_MitchellAPI-data'!$J106/'[28]GABM_R03_MitchellAPI-data'!$L106</f>
        <v>0.64680000000000004</v>
      </c>
      <c r="J107">
        <f>'[29]GABM_R03_SudipaAPI-data'!$J106/'[29]GABM_R03_SudipaAPI-data'!$L106</f>
        <v>0.60560000000000003</v>
      </c>
      <c r="K107">
        <v>1</v>
      </c>
      <c r="L107">
        <f t="shared" si="1"/>
        <v>0.92471999999999999</v>
      </c>
    </row>
    <row r="108" spans="1:12" x14ac:dyDescent="0.35">
      <c r="A108">
        <v>105</v>
      </c>
      <c r="B108">
        <v>1</v>
      </c>
      <c r="C108">
        <v>1</v>
      </c>
      <c r="D108">
        <v>1</v>
      </c>
      <c r="E108">
        <v>1</v>
      </c>
      <c r="F108">
        <v>1</v>
      </c>
      <c r="G108">
        <f>'[26]GABM_R03_SarahAPI-data'!$J107/'[26]GABM_R03_SarahAPI-data'!$L107</f>
        <v>0.99160000000000004</v>
      </c>
      <c r="H108">
        <v>1</v>
      </c>
      <c r="I108">
        <f>'[28]GABM_R03_MitchellAPI-data'!$J107/'[28]GABM_R03_MitchellAPI-data'!$L107</f>
        <v>0.99319999999999997</v>
      </c>
      <c r="J108">
        <f>'[29]GABM_R03_SudipaAPI-data'!$J107/'[29]GABM_R03_SudipaAPI-data'!$L107</f>
        <v>0.98640000000000005</v>
      </c>
      <c r="K108">
        <v>1</v>
      </c>
      <c r="L108">
        <f t="shared" si="1"/>
        <v>0.99712000000000001</v>
      </c>
    </row>
    <row r="109" spans="1:12" x14ac:dyDescent="0.35">
      <c r="A109">
        <v>106</v>
      </c>
      <c r="B109">
        <v>1</v>
      </c>
      <c r="C109">
        <v>1</v>
      </c>
      <c r="D109">
        <v>1</v>
      </c>
      <c r="E109">
        <v>1</v>
      </c>
      <c r="F109">
        <v>1</v>
      </c>
      <c r="G109">
        <f>'[26]GABM_R03_SarahAPI-data'!$J108/'[26]GABM_R03_SarahAPI-data'!$L108</f>
        <v>0.63400000000000001</v>
      </c>
      <c r="H109">
        <v>1</v>
      </c>
      <c r="I109">
        <f>'[28]GABM_R03_MitchellAPI-data'!$J108/'[28]GABM_R03_MitchellAPI-data'!$L108</f>
        <v>0.99719999999999998</v>
      </c>
      <c r="J109">
        <f>'[29]GABM_R03_SudipaAPI-data'!$J108/'[29]GABM_R03_SudipaAPI-data'!$L108</f>
        <v>0.99280000000000002</v>
      </c>
      <c r="K109">
        <v>1</v>
      </c>
      <c r="L109">
        <f t="shared" si="1"/>
        <v>0.96240000000000003</v>
      </c>
    </row>
    <row r="110" spans="1:12" x14ac:dyDescent="0.35">
      <c r="A110">
        <v>107</v>
      </c>
      <c r="B110">
        <v>1</v>
      </c>
      <c r="C110">
        <v>1</v>
      </c>
      <c r="D110">
        <v>1</v>
      </c>
      <c r="E110">
        <v>1</v>
      </c>
      <c r="F110">
        <v>1</v>
      </c>
      <c r="G110">
        <f>'[26]GABM_R03_SarahAPI-data'!$J109/'[26]GABM_R03_SarahAPI-data'!$L109</f>
        <v>0.64</v>
      </c>
      <c r="H110">
        <v>1</v>
      </c>
      <c r="I110">
        <f>'[28]GABM_R03_MitchellAPI-data'!$J109/'[28]GABM_R03_MitchellAPI-data'!$L109</f>
        <v>0.99960000000000004</v>
      </c>
      <c r="J110">
        <f>'[29]GABM_R03_SudipaAPI-data'!$J109/'[29]GABM_R03_SudipaAPI-data'!$L109</f>
        <v>0.99239999999999995</v>
      </c>
      <c r="K110">
        <v>1</v>
      </c>
      <c r="L110">
        <f t="shared" si="1"/>
        <v>0.96319999999999995</v>
      </c>
    </row>
    <row r="111" spans="1:12" x14ac:dyDescent="0.35">
      <c r="A111">
        <v>108</v>
      </c>
      <c r="B111">
        <v>1</v>
      </c>
      <c r="C111">
        <v>1</v>
      </c>
      <c r="D111">
        <v>1</v>
      </c>
      <c r="E111">
        <v>1</v>
      </c>
      <c r="F111">
        <v>1</v>
      </c>
      <c r="G111">
        <f>'[26]GABM_R03_SarahAPI-data'!$J110/'[26]GABM_R03_SarahAPI-data'!$L110</f>
        <v>0.63959999999999995</v>
      </c>
      <c r="H111">
        <v>1</v>
      </c>
      <c r="I111">
        <f>'[28]GABM_R03_MitchellAPI-data'!$J110/'[28]GABM_R03_MitchellAPI-data'!$L110</f>
        <v>0.99480000000000002</v>
      </c>
      <c r="J111">
        <f>'[29]GABM_R03_SudipaAPI-data'!$J110/'[29]GABM_R03_SudipaAPI-data'!$L110</f>
        <v>0.99239999999999995</v>
      </c>
      <c r="K111">
        <v>1</v>
      </c>
      <c r="L111">
        <f t="shared" si="1"/>
        <v>0.96267999999999998</v>
      </c>
    </row>
    <row r="112" spans="1:12" x14ac:dyDescent="0.35">
      <c r="A112">
        <v>109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f>'[26]GABM_R03_SarahAPI-data'!$J111/'[26]GABM_R03_SarahAPI-data'!$L111</f>
        <v>0.64280000000000004</v>
      </c>
      <c r="H112">
        <v>1</v>
      </c>
      <c r="I112">
        <f>'[28]GABM_R03_MitchellAPI-data'!$J111/'[28]GABM_R03_MitchellAPI-data'!$L111</f>
        <v>0.622</v>
      </c>
      <c r="J112">
        <f>'[29]GABM_R03_SudipaAPI-data'!$J111/'[29]GABM_R03_SudipaAPI-data'!$L111</f>
        <v>0.62839999999999996</v>
      </c>
      <c r="K112">
        <v>1</v>
      </c>
      <c r="L112">
        <f t="shared" si="1"/>
        <v>0.88932</v>
      </c>
    </row>
    <row r="113" spans="1:12" x14ac:dyDescent="0.35">
      <c r="A113">
        <v>110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f>'[26]GABM_R03_SarahAPI-data'!$J112/'[26]GABM_R03_SarahAPI-data'!$L112</f>
        <v>0.64439999999999997</v>
      </c>
      <c r="H113">
        <v>1</v>
      </c>
      <c r="I113">
        <f>'[28]GABM_R03_MitchellAPI-data'!$J112/'[28]GABM_R03_MitchellAPI-data'!$L112</f>
        <v>0.65559999999999996</v>
      </c>
      <c r="J113">
        <f>'[29]GABM_R03_SudipaAPI-data'!$J112/'[29]GABM_R03_SudipaAPI-data'!$L112</f>
        <v>0.62</v>
      </c>
      <c r="K113">
        <v>1</v>
      </c>
      <c r="L113">
        <f t="shared" si="1"/>
        <v>0.89200000000000002</v>
      </c>
    </row>
    <row r="114" spans="1:12" x14ac:dyDescent="0.35">
      <c r="A114">
        <v>111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f>'[26]GABM_R03_SarahAPI-data'!$J113/'[26]GABM_R03_SarahAPI-data'!$L113</f>
        <v>0.64839999999999998</v>
      </c>
      <c r="H114">
        <v>1</v>
      </c>
      <c r="I114">
        <f>'[28]GABM_R03_MitchellAPI-data'!$J113/'[28]GABM_R03_MitchellAPI-data'!$L113</f>
        <v>0.65200000000000002</v>
      </c>
      <c r="J114">
        <f>'[29]GABM_R03_SudipaAPI-data'!$J113/'[29]GABM_R03_SudipaAPI-data'!$L113</f>
        <v>0.99319999999999997</v>
      </c>
      <c r="K114">
        <v>1</v>
      </c>
      <c r="L114">
        <f t="shared" si="1"/>
        <v>0.92935999999999996</v>
      </c>
    </row>
    <row r="115" spans="1:12" x14ac:dyDescent="0.35">
      <c r="A115">
        <v>112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f>'[26]GABM_R03_SarahAPI-data'!$J114/'[26]GABM_R03_SarahAPI-data'!$L114</f>
        <v>0.64439999999999997</v>
      </c>
      <c r="H115">
        <v>1</v>
      </c>
      <c r="I115">
        <f>'[28]GABM_R03_MitchellAPI-data'!$J114/'[28]GABM_R03_MitchellAPI-data'!$L114</f>
        <v>0.63800000000000001</v>
      </c>
      <c r="J115">
        <f>'[29]GABM_R03_SudipaAPI-data'!$J114/'[29]GABM_R03_SudipaAPI-data'!$L114</f>
        <v>0.58199999999999996</v>
      </c>
      <c r="K115">
        <v>1</v>
      </c>
      <c r="L115">
        <f t="shared" si="1"/>
        <v>0.88644000000000001</v>
      </c>
    </row>
    <row r="116" spans="1:12" x14ac:dyDescent="0.35">
      <c r="A116">
        <v>113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f>'[26]GABM_R03_SarahAPI-data'!$J115/'[26]GABM_R03_SarahAPI-data'!$L115</f>
        <v>0.64480000000000004</v>
      </c>
      <c r="H116">
        <v>1</v>
      </c>
      <c r="I116">
        <f>'[28]GABM_R03_MitchellAPI-data'!$J115/'[28]GABM_R03_MitchellAPI-data'!$L115</f>
        <v>0.64480000000000004</v>
      </c>
      <c r="J116">
        <f>'[29]GABM_R03_SudipaAPI-data'!$J115/'[29]GABM_R03_SudipaAPI-data'!$L115</f>
        <v>0.61760000000000004</v>
      </c>
      <c r="K116">
        <v>1</v>
      </c>
      <c r="L116">
        <f t="shared" si="1"/>
        <v>0.89071999999999996</v>
      </c>
    </row>
    <row r="117" spans="1:12" x14ac:dyDescent="0.35">
      <c r="A117">
        <v>114</v>
      </c>
      <c r="B117">
        <v>1</v>
      </c>
      <c r="C117">
        <v>1</v>
      </c>
      <c r="D117">
        <v>1</v>
      </c>
      <c r="E117">
        <v>1</v>
      </c>
      <c r="F117">
        <v>1</v>
      </c>
      <c r="G117">
        <f>'[26]GABM_R03_SarahAPI-data'!$J116/'[26]GABM_R03_SarahAPI-data'!$L116</f>
        <v>0.60719999999999996</v>
      </c>
      <c r="H117">
        <v>1</v>
      </c>
      <c r="I117">
        <f>'[28]GABM_R03_MitchellAPI-data'!$J116/'[28]GABM_R03_MitchellAPI-data'!$L116</f>
        <v>0.99319999999999997</v>
      </c>
      <c r="J117">
        <f>'[29]GABM_R03_SudipaAPI-data'!$J116/'[29]GABM_R03_SudipaAPI-data'!$L116</f>
        <v>0.98719999999999997</v>
      </c>
      <c r="K117">
        <v>1</v>
      </c>
      <c r="L117">
        <f t="shared" si="1"/>
        <v>0.95876000000000006</v>
      </c>
    </row>
    <row r="118" spans="1:12" x14ac:dyDescent="0.35">
      <c r="A118">
        <v>115</v>
      </c>
      <c r="B118">
        <v>1</v>
      </c>
      <c r="C118">
        <v>1</v>
      </c>
      <c r="D118">
        <v>1</v>
      </c>
      <c r="E118">
        <v>1</v>
      </c>
      <c r="F118">
        <v>1</v>
      </c>
      <c r="G118">
        <f>'[26]GABM_R03_SarahAPI-data'!$J117/'[26]GABM_R03_SarahAPI-data'!$L117</f>
        <v>0.61319999999999997</v>
      </c>
      <c r="H118">
        <v>1</v>
      </c>
      <c r="I118">
        <f>'[28]GABM_R03_MitchellAPI-data'!$J117/'[28]GABM_R03_MitchellAPI-data'!$L117</f>
        <v>0.998</v>
      </c>
      <c r="J118">
        <f>'[29]GABM_R03_SudipaAPI-data'!$J117/'[29]GABM_R03_SudipaAPI-data'!$L117</f>
        <v>0.61839999999999995</v>
      </c>
      <c r="K118">
        <v>1</v>
      </c>
      <c r="L118">
        <f t="shared" si="1"/>
        <v>0.92296</v>
      </c>
    </row>
    <row r="119" spans="1:12" x14ac:dyDescent="0.35">
      <c r="A119">
        <v>116</v>
      </c>
      <c r="B119">
        <v>1</v>
      </c>
      <c r="C119">
        <v>1</v>
      </c>
      <c r="D119">
        <v>1</v>
      </c>
      <c r="E119">
        <v>1</v>
      </c>
      <c r="F119">
        <v>1</v>
      </c>
      <c r="G119">
        <f>'[26]GABM_R03_SarahAPI-data'!$J118/'[26]GABM_R03_SarahAPI-data'!$L118</f>
        <v>0.63400000000000001</v>
      </c>
      <c r="H119">
        <v>1</v>
      </c>
      <c r="I119">
        <v>1</v>
      </c>
      <c r="J119">
        <f>'[29]GABM_R03_SudipaAPI-data'!$J118/'[29]GABM_R03_SudipaAPI-data'!$L118</f>
        <v>0.61399999999999999</v>
      </c>
      <c r="K119">
        <v>1</v>
      </c>
      <c r="L119">
        <f t="shared" si="1"/>
        <v>0.92480000000000007</v>
      </c>
    </row>
    <row r="120" spans="1:12" x14ac:dyDescent="0.35">
      <c r="A120">
        <v>117</v>
      </c>
      <c r="B120">
        <v>1</v>
      </c>
      <c r="C120">
        <v>1</v>
      </c>
      <c r="D120">
        <v>1</v>
      </c>
      <c r="E120">
        <v>1</v>
      </c>
      <c r="F120">
        <v>1</v>
      </c>
      <c r="G120">
        <f>'[26]GABM_R03_SarahAPI-data'!$J119/'[26]GABM_R03_SarahAPI-data'!$L119</f>
        <v>0.30280000000000001</v>
      </c>
      <c r="H120">
        <v>1</v>
      </c>
      <c r="I120">
        <v>1</v>
      </c>
      <c r="J120">
        <f>'[29]GABM_R03_SudipaAPI-data'!$J119/'[29]GABM_R03_SudipaAPI-data'!$L119</f>
        <v>0.59519999999999995</v>
      </c>
      <c r="K120">
        <v>1</v>
      </c>
      <c r="L120">
        <f t="shared" si="1"/>
        <v>0.88979999999999992</v>
      </c>
    </row>
    <row r="121" spans="1:12" x14ac:dyDescent="0.35">
      <c r="A121">
        <v>118</v>
      </c>
      <c r="B121">
        <v>1</v>
      </c>
      <c r="C121">
        <v>1</v>
      </c>
      <c r="D121">
        <v>1</v>
      </c>
      <c r="E121">
        <v>1</v>
      </c>
      <c r="F121">
        <v>1</v>
      </c>
      <c r="G121">
        <f>'[26]GABM_R03_SarahAPI-data'!$J120/'[26]GABM_R03_SarahAPI-data'!$L120</f>
        <v>0.63</v>
      </c>
      <c r="H121">
        <v>1</v>
      </c>
      <c r="I121">
        <v>1</v>
      </c>
      <c r="J121">
        <f>'[29]GABM_R03_SudipaAPI-data'!$J120/'[29]GABM_R03_SudipaAPI-data'!$L120</f>
        <v>0.51280000000000003</v>
      </c>
      <c r="K121">
        <v>1</v>
      </c>
      <c r="L121">
        <f t="shared" si="1"/>
        <v>0.91427999999999998</v>
      </c>
    </row>
    <row r="122" spans="1:12" x14ac:dyDescent="0.35">
      <c r="A122">
        <v>119</v>
      </c>
      <c r="B122">
        <v>1</v>
      </c>
      <c r="C122">
        <v>1</v>
      </c>
      <c r="D122">
        <v>1</v>
      </c>
      <c r="E122">
        <v>1</v>
      </c>
      <c r="F122">
        <v>1</v>
      </c>
      <c r="G122">
        <f>'[26]GABM_R03_SarahAPI-data'!$J121/'[26]GABM_R03_SarahAPI-data'!$L121</f>
        <v>0.6452</v>
      </c>
      <c r="H122">
        <v>1</v>
      </c>
      <c r="I122">
        <v>1</v>
      </c>
      <c r="J122">
        <f>'[29]GABM_R03_SudipaAPI-data'!$J121/'[29]GABM_R03_SudipaAPI-data'!$L121</f>
        <v>0.59240000000000004</v>
      </c>
      <c r="K122">
        <v>1</v>
      </c>
      <c r="L122">
        <f t="shared" si="1"/>
        <v>0.92376000000000003</v>
      </c>
    </row>
    <row r="123" spans="1:12" x14ac:dyDescent="0.35">
      <c r="A123">
        <v>120</v>
      </c>
      <c r="B123">
        <v>1</v>
      </c>
      <c r="C123">
        <v>1</v>
      </c>
      <c r="D123">
        <v>1</v>
      </c>
      <c r="E123">
        <v>1</v>
      </c>
      <c r="F123">
        <v>1</v>
      </c>
      <c r="G123">
        <f>'[26]GABM_R03_SarahAPI-data'!$J122/'[26]GABM_R03_SarahAPI-data'!$L122</f>
        <v>0.63239999999999996</v>
      </c>
      <c r="H123">
        <v>1</v>
      </c>
      <c r="I123">
        <v>1</v>
      </c>
      <c r="J123">
        <f>'[29]GABM_R03_SudipaAPI-data'!$J122/'[29]GABM_R03_SudipaAPI-data'!$L122</f>
        <v>0.59240000000000004</v>
      </c>
      <c r="K123">
        <v>1</v>
      </c>
      <c r="L123">
        <f t="shared" si="1"/>
        <v>0.92247999999999997</v>
      </c>
    </row>
    <row r="124" spans="1:12" x14ac:dyDescent="0.35">
      <c r="A124">
        <v>121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f>'[26]GABM_R03_SarahAPI-data'!$J123/'[26]GABM_R03_SarahAPI-data'!$L123</f>
        <v>0.62960000000000005</v>
      </c>
      <c r="H124">
        <v>1</v>
      </c>
      <c r="I124">
        <v>1</v>
      </c>
      <c r="J124">
        <f>'[29]GABM_R03_SudipaAPI-data'!$J123/'[29]GABM_R03_SudipaAPI-data'!$L123</f>
        <v>0.60719999999999996</v>
      </c>
      <c r="K124">
        <v>1</v>
      </c>
      <c r="L124">
        <f t="shared" si="1"/>
        <v>0.92368000000000006</v>
      </c>
    </row>
    <row r="125" spans="1:12" x14ac:dyDescent="0.35">
      <c r="A125">
        <v>122</v>
      </c>
      <c r="B125">
        <v>1</v>
      </c>
      <c r="C125">
        <v>1</v>
      </c>
      <c r="D125">
        <v>1</v>
      </c>
      <c r="E125">
        <v>1</v>
      </c>
      <c r="F125">
        <v>1</v>
      </c>
      <c r="G125">
        <f>'[26]GABM_R03_SarahAPI-data'!$J124/'[26]GABM_R03_SarahAPI-data'!$L124</f>
        <v>0.98799999999999999</v>
      </c>
      <c r="H125">
        <v>1</v>
      </c>
      <c r="I125">
        <v>1</v>
      </c>
      <c r="J125">
        <f>'[29]GABM_R03_SudipaAPI-data'!$J124/'[29]GABM_R03_SudipaAPI-data'!$L124</f>
        <v>0.61360000000000003</v>
      </c>
      <c r="K125">
        <v>1</v>
      </c>
      <c r="L125">
        <f t="shared" si="1"/>
        <v>0.9601599999999999</v>
      </c>
    </row>
    <row r="126" spans="1:12" x14ac:dyDescent="0.35">
      <c r="A126">
        <v>123</v>
      </c>
      <c r="B126">
        <v>1</v>
      </c>
      <c r="C126">
        <v>1</v>
      </c>
      <c r="D126">
        <v>1</v>
      </c>
      <c r="E126">
        <v>1</v>
      </c>
      <c r="F126">
        <v>1</v>
      </c>
      <c r="G126">
        <f>'[26]GABM_R03_SarahAPI-data'!$J125/'[26]GABM_R03_SarahAPI-data'!$L125</f>
        <v>0.99639999999999995</v>
      </c>
      <c r="H126">
        <v>1</v>
      </c>
      <c r="I126">
        <v>1</v>
      </c>
      <c r="J126">
        <f>'[29]GABM_R03_SudipaAPI-data'!$J125/'[29]GABM_R03_SudipaAPI-data'!$L125</f>
        <v>0.57920000000000005</v>
      </c>
      <c r="K126">
        <v>1</v>
      </c>
      <c r="L126">
        <f t="shared" si="1"/>
        <v>0.95755999999999997</v>
      </c>
    </row>
    <row r="127" spans="1:12" x14ac:dyDescent="0.35">
      <c r="A127">
        <v>124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f>'[29]GABM_R03_SudipaAPI-data'!$J126/'[29]GABM_R03_SudipaAPI-data'!$L126</f>
        <v>0.61880000000000002</v>
      </c>
      <c r="K127">
        <v>1</v>
      </c>
      <c r="L127">
        <f t="shared" si="1"/>
        <v>0.96188000000000007</v>
      </c>
    </row>
    <row r="128" spans="1:12" x14ac:dyDescent="0.35">
      <c r="A128">
        <v>125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f>'[29]GABM_R03_SudipaAPI-data'!$J127/'[29]GABM_R03_SudipaAPI-data'!$L127</f>
        <v>0.65080000000000005</v>
      </c>
      <c r="K128">
        <v>1</v>
      </c>
      <c r="L128">
        <f t="shared" si="1"/>
        <v>0.96508000000000005</v>
      </c>
    </row>
    <row r="129" spans="1:12" x14ac:dyDescent="0.35">
      <c r="A129">
        <v>126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f>'[29]GABM_R03_SudipaAPI-data'!$J128/'[29]GABM_R03_SudipaAPI-data'!$L128</f>
        <v>0.57599999999999996</v>
      </c>
      <c r="K129">
        <v>1</v>
      </c>
      <c r="L129">
        <f t="shared" si="1"/>
        <v>0.95760000000000001</v>
      </c>
    </row>
    <row r="130" spans="1:12" x14ac:dyDescent="0.35">
      <c r="A130">
        <v>127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f>'[29]GABM_R03_SudipaAPI-data'!$J129/'[29]GABM_R03_SudipaAPI-data'!$L129</f>
        <v>0.30840000000000001</v>
      </c>
      <c r="K130">
        <v>1</v>
      </c>
      <c r="L130">
        <f t="shared" si="1"/>
        <v>0.93084000000000011</v>
      </c>
    </row>
    <row r="131" spans="1:12" x14ac:dyDescent="0.35">
      <c r="A131">
        <v>128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f>'[29]GABM_R03_SudipaAPI-data'!$J130/'[29]GABM_R03_SudipaAPI-data'!$L130</f>
        <v>0.5736</v>
      </c>
      <c r="K131">
        <v>1</v>
      </c>
      <c r="L131">
        <f t="shared" si="1"/>
        <v>0.9573600000000001</v>
      </c>
    </row>
    <row r="132" spans="1:12" x14ac:dyDescent="0.35">
      <c r="A132">
        <v>129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f>'[29]GABM_R03_SudipaAPI-data'!$J131/'[29]GABM_R03_SudipaAPI-data'!$L131</f>
        <v>0.61</v>
      </c>
      <c r="K132">
        <v>1</v>
      </c>
      <c r="L132">
        <f t="shared" ref="L132:L195" si="2">AVERAGE(B132:K132)</f>
        <v>0.96099999999999997</v>
      </c>
    </row>
    <row r="133" spans="1:12" x14ac:dyDescent="0.35">
      <c r="A133">
        <v>130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f>'[29]GABM_R03_SudipaAPI-data'!$J132/'[29]GABM_R03_SudipaAPI-data'!$L132</f>
        <v>0.98480000000000001</v>
      </c>
      <c r="K133">
        <v>1</v>
      </c>
      <c r="L133">
        <f t="shared" si="2"/>
        <v>0.99848000000000003</v>
      </c>
    </row>
    <row r="134" spans="1:12" x14ac:dyDescent="0.35">
      <c r="A134">
        <v>131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f>'[29]GABM_R03_SudipaAPI-data'!$J133/'[29]GABM_R03_SudipaAPI-data'!$L133</f>
        <v>0.99239999999999995</v>
      </c>
      <c r="K134">
        <v>1</v>
      </c>
      <c r="L134">
        <f t="shared" si="2"/>
        <v>0.99924000000000002</v>
      </c>
    </row>
    <row r="135" spans="1:12" x14ac:dyDescent="0.35">
      <c r="A135">
        <v>132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f>'[29]GABM_R03_SudipaAPI-data'!$J134/'[29]GABM_R03_SudipaAPI-data'!$L134</f>
        <v>0.99360000000000004</v>
      </c>
      <c r="K135">
        <v>1</v>
      </c>
      <c r="L135">
        <f t="shared" si="2"/>
        <v>0.99936000000000003</v>
      </c>
    </row>
    <row r="136" spans="1:12" x14ac:dyDescent="0.35">
      <c r="A136">
        <v>133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f>'[29]GABM_R03_SudipaAPI-data'!$J135/'[29]GABM_R03_SudipaAPI-data'!$L135</f>
        <v>0.99439999999999995</v>
      </c>
      <c r="K136">
        <v>1</v>
      </c>
      <c r="L136">
        <f t="shared" si="2"/>
        <v>0.99944000000000011</v>
      </c>
    </row>
    <row r="137" spans="1:12" x14ac:dyDescent="0.35">
      <c r="A137">
        <v>134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f>'[29]GABM_R03_SudipaAPI-data'!$J136/'[29]GABM_R03_SudipaAPI-data'!$L136</f>
        <v>0.99080000000000001</v>
      </c>
      <c r="K137">
        <v>1</v>
      </c>
      <c r="L137">
        <f t="shared" si="2"/>
        <v>0.99907999999999997</v>
      </c>
    </row>
    <row r="138" spans="1:12" x14ac:dyDescent="0.35">
      <c r="A138">
        <v>135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f>'[29]GABM_R03_SudipaAPI-data'!$J137/'[29]GABM_R03_SudipaAPI-data'!$L137</f>
        <v>0.61760000000000004</v>
      </c>
      <c r="K138">
        <v>1</v>
      </c>
      <c r="L138">
        <f t="shared" si="2"/>
        <v>0.96175999999999995</v>
      </c>
    </row>
    <row r="139" spans="1:12" x14ac:dyDescent="0.35">
      <c r="A139">
        <v>136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f>'[29]GABM_R03_SudipaAPI-data'!$J138/'[29]GABM_R03_SudipaAPI-data'!$L138</f>
        <v>0.624</v>
      </c>
      <c r="K139">
        <v>1</v>
      </c>
      <c r="L139">
        <f t="shared" si="2"/>
        <v>0.96240000000000003</v>
      </c>
    </row>
    <row r="140" spans="1:12" x14ac:dyDescent="0.35">
      <c r="A140">
        <v>137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f>'[29]GABM_R03_SudipaAPI-data'!$J139/'[29]GABM_R03_SudipaAPI-data'!$L139</f>
        <v>0.61080000000000001</v>
      </c>
      <c r="K140">
        <v>1</v>
      </c>
      <c r="L140">
        <f t="shared" si="2"/>
        <v>0.96107999999999993</v>
      </c>
    </row>
    <row r="141" spans="1:12" x14ac:dyDescent="0.35">
      <c r="A141">
        <v>138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f>'[29]GABM_R03_SudipaAPI-data'!$J140/'[29]GABM_R03_SudipaAPI-data'!$L140</f>
        <v>0.58040000000000003</v>
      </c>
      <c r="K141">
        <v>1</v>
      </c>
      <c r="L141">
        <f t="shared" si="2"/>
        <v>0.95804000000000011</v>
      </c>
    </row>
    <row r="142" spans="1:12" x14ac:dyDescent="0.35">
      <c r="A142">
        <v>139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f>'[29]GABM_R03_SudipaAPI-data'!$J141/'[29]GABM_R03_SudipaAPI-data'!$L141</f>
        <v>0.98280000000000001</v>
      </c>
      <c r="K142">
        <v>1</v>
      </c>
      <c r="L142">
        <f t="shared" si="2"/>
        <v>0.99827999999999995</v>
      </c>
    </row>
    <row r="143" spans="1:12" x14ac:dyDescent="0.35">
      <c r="A143">
        <v>140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f>'[29]GABM_R03_SudipaAPI-data'!$J142/'[29]GABM_R03_SudipaAPI-data'!$L142</f>
        <v>0.98839999999999995</v>
      </c>
      <c r="K143">
        <v>1</v>
      </c>
      <c r="L143">
        <f t="shared" si="2"/>
        <v>0.99884000000000006</v>
      </c>
    </row>
    <row r="144" spans="1:12" x14ac:dyDescent="0.35">
      <c r="A144">
        <v>141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f>'[29]GABM_R03_SudipaAPI-data'!$J143/'[29]GABM_R03_SudipaAPI-data'!$L143</f>
        <v>0.98880000000000001</v>
      </c>
      <c r="K144">
        <v>1</v>
      </c>
      <c r="L144">
        <f t="shared" si="2"/>
        <v>0.99887999999999999</v>
      </c>
    </row>
    <row r="145" spans="1:12" x14ac:dyDescent="0.35">
      <c r="A145">
        <v>142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f>'[29]GABM_R03_SudipaAPI-data'!$J144/'[29]GABM_R03_SudipaAPI-data'!$L144</f>
        <v>0.99319999999999997</v>
      </c>
      <c r="K145">
        <v>1</v>
      </c>
      <c r="L145">
        <f t="shared" si="2"/>
        <v>0.99931999999999999</v>
      </c>
    </row>
    <row r="146" spans="1:12" x14ac:dyDescent="0.35">
      <c r="A146">
        <v>143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f>'[29]GABM_R03_SudipaAPI-data'!$J145/'[29]GABM_R03_SudipaAPI-data'!$L145</f>
        <v>0.99319999999999997</v>
      </c>
      <c r="K146">
        <v>1</v>
      </c>
      <c r="L146">
        <f t="shared" si="2"/>
        <v>0.99931999999999999</v>
      </c>
    </row>
    <row r="147" spans="1:12" x14ac:dyDescent="0.35">
      <c r="A147">
        <v>144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f>'[29]GABM_R03_SudipaAPI-data'!$J146/'[29]GABM_R03_SudipaAPI-data'!$L146</f>
        <v>0.61880000000000002</v>
      </c>
      <c r="K147">
        <v>1</v>
      </c>
      <c r="L147">
        <f t="shared" si="2"/>
        <v>0.96188000000000007</v>
      </c>
    </row>
    <row r="148" spans="1:12" x14ac:dyDescent="0.35">
      <c r="A148">
        <v>145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f>'[29]GABM_R03_SudipaAPI-data'!$J147/'[29]GABM_R03_SudipaAPI-data'!$L147</f>
        <v>0.63</v>
      </c>
      <c r="K148">
        <v>1</v>
      </c>
      <c r="L148">
        <f t="shared" si="2"/>
        <v>0.96300000000000008</v>
      </c>
    </row>
    <row r="149" spans="1:12" x14ac:dyDescent="0.35">
      <c r="A149">
        <v>146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f>'[29]GABM_R03_SudipaAPI-data'!$J148/'[29]GABM_R03_SudipaAPI-data'!$L148</f>
        <v>0.59840000000000004</v>
      </c>
      <c r="K149">
        <v>1</v>
      </c>
      <c r="L149">
        <f t="shared" si="2"/>
        <v>0.95984000000000003</v>
      </c>
    </row>
    <row r="150" spans="1:12" x14ac:dyDescent="0.35">
      <c r="A150">
        <v>147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f>'[29]GABM_R03_SudipaAPI-data'!$J149/'[29]GABM_R03_SudipaAPI-data'!$L149</f>
        <v>0.32279999999999998</v>
      </c>
      <c r="K150">
        <v>1</v>
      </c>
      <c r="L150">
        <f t="shared" si="2"/>
        <v>0.93228000000000011</v>
      </c>
    </row>
    <row r="151" spans="1:12" x14ac:dyDescent="0.35">
      <c r="A151">
        <v>148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f>'[29]GABM_R03_SudipaAPI-data'!$J150/'[29]GABM_R03_SudipaAPI-data'!$L150</f>
        <v>0.64800000000000002</v>
      </c>
      <c r="K151">
        <v>1</v>
      </c>
      <c r="L151">
        <f t="shared" si="2"/>
        <v>0.96479999999999999</v>
      </c>
    </row>
    <row r="152" spans="1:12" x14ac:dyDescent="0.35">
      <c r="A152">
        <v>149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f>'[29]GABM_R03_SudipaAPI-data'!$J151/'[29]GABM_R03_SudipaAPI-data'!$L151</f>
        <v>0.62960000000000005</v>
      </c>
      <c r="K152">
        <v>1</v>
      </c>
      <c r="L152">
        <f t="shared" si="2"/>
        <v>0.96296000000000004</v>
      </c>
    </row>
    <row r="153" spans="1:12" x14ac:dyDescent="0.35">
      <c r="A153">
        <v>150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f>'[29]GABM_R03_SudipaAPI-data'!$J152/'[29]GABM_R03_SudipaAPI-data'!$L152</f>
        <v>0.32040000000000002</v>
      </c>
      <c r="K153">
        <v>1</v>
      </c>
      <c r="L153">
        <f t="shared" si="2"/>
        <v>0.93203999999999998</v>
      </c>
    </row>
    <row r="154" spans="1:12" x14ac:dyDescent="0.35">
      <c r="A154">
        <v>151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f>'[29]GABM_R03_SudipaAPI-data'!$J153/'[29]GABM_R03_SudipaAPI-data'!$L153</f>
        <v>0.58040000000000003</v>
      </c>
      <c r="K154">
        <v>1</v>
      </c>
      <c r="L154">
        <f t="shared" si="2"/>
        <v>0.95804000000000011</v>
      </c>
    </row>
    <row r="155" spans="1:12" x14ac:dyDescent="0.35">
      <c r="A155">
        <v>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f>'[29]GABM_R03_SudipaAPI-data'!$J154/'[29]GABM_R03_SudipaAPI-data'!$L154</f>
        <v>0.64959999999999996</v>
      </c>
      <c r="K155">
        <v>1</v>
      </c>
      <c r="L155">
        <f t="shared" si="2"/>
        <v>0.96495999999999993</v>
      </c>
    </row>
    <row r="156" spans="1:12" x14ac:dyDescent="0.35">
      <c r="A156">
        <v>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f>'[29]GABM_R03_SudipaAPI-data'!$J155/'[29]GABM_R03_SudipaAPI-data'!$L155</f>
        <v>0.97719999999999996</v>
      </c>
      <c r="K156">
        <v>1</v>
      </c>
      <c r="L156">
        <f t="shared" si="2"/>
        <v>0.99771999999999994</v>
      </c>
    </row>
    <row r="157" spans="1:12" x14ac:dyDescent="0.35">
      <c r="A157">
        <v>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f>'[29]GABM_R03_SudipaAPI-data'!$J156/'[29]GABM_R03_SudipaAPI-data'!$L156</f>
        <v>0.64200000000000002</v>
      </c>
      <c r="K157">
        <v>1</v>
      </c>
      <c r="L157">
        <f t="shared" si="2"/>
        <v>0.96419999999999995</v>
      </c>
    </row>
    <row r="158" spans="1:12" x14ac:dyDescent="0.35">
      <c r="A158">
        <v>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f>'[29]GABM_R03_SudipaAPI-data'!$J157/'[29]GABM_R03_SudipaAPI-data'!$L157</f>
        <v>0.98960000000000004</v>
      </c>
      <c r="K158">
        <v>1</v>
      </c>
      <c r="L158">
        <f t="shared" si="2"/>
        <v>0.99895999999999996</v>
      </c>
    </row>
    <row r="159" spans="1:12" x14ac:dyDescent="0.35">
      <c r="A159">
        <v>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f>'[29]GABM_R03_SudipaAPI-data'!$J158/'[29]GABM_R03_SudipaAPI-data'!$L158</f>
        <v>0.61560000000000004</v>
      </c>
      <c r="K159">
        <v>1</v>
      </c>
      <c r="L159">
        <f t="shared" si="2"/>
        <v>0.96156000000000008</v>
      </c>
    </row>
    <row r="160" spans="1:12" x14ac:dyDescent="0.35">
      <c r="A160">
        <v>157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f>'[29]GABM_R03_SudipaAPI-data'!$J159/'[29]GABM_R03_SudipaAPI-data'!$L159</f>
        <v>0.61560000000000004</v>
      </c>
      <c r="K160">
        <v>1</v>
      </c>
      <c r="L160">
        <f t="shared" si="2"/>
        <v>0.96156000000000008</v>
      </c>
    </row>
    <row r="161" spans="1:12" x14ac:dyDescent="0.35">
      <c r="A161">
        <v>158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f>'[29]GABM_R03_SudipaAPI-data'!$J160/'[29]GABM_R03_SudipaAPI-data'!$L160</f>
        <v>0.62360000000000004</v>
      </c>
      <c r="K161">
        <v>1</v>
      </c>
      <c r="L161">
        <f t="shared" si="2"/>
        <v>0.96235999999999999</v>
      </c>
    </row>
    <row r="162" spans="1:12" x14ac:dyDescent="0.35">
      <c r="A162">
        <v>159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f>'[29]GABM_R03_SudipaAPI-data'!$J161/'[29]GABM_R03_SudipaAPI-data'!$L161</f>
        <v>0.99119999999999997</v>
      </c>
      <c r="K162">
        <v>1</v>
      </c>
      <c r="L162">
        <f t="shared" si="2"/>
        <v>0.9991199999999999</v>
      </c>
    </row>
    <row r="163" spans="1:12" x14ac:dyDescent="0.35">
      <c r="A163">
        <v>160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f>'[29]GABM_R03_SudipaAPI-data'!$J162/'[29]GABM_R03_SudipaAPI-data'!$L162</f>
        <v>0.99199999999999999</v>
      </c>
      <c r="K163">
        <v>1</v>
      </c>
      <c r="L163">
        <f t="shared" si="2"/>
        <v>0.99920000000000009</v>
      </c>
    </row>
    <row r="164" spans="1:12" x14ac:dyDescent="0.35">
      <c r="A164">
        <v>161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f>'[29]GABM_R03_SudipaAPI-data'!$J163/'[29]GABM_R03_SudipaAPI-data'!$L163</f>
        <v>0.99119999999999997</v>
      </c>
      <c r="K164">
        <v>1</v>
      </c>
      <c r="L164">
        <f t="shared" si="2"/>
        <v>0.9991199999999999</v>
      </c>
    </row>
    <row r="165" spans="1:12" x14ac:dyDescent="0.35">
      <c r="A165">
        <v>162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f>'[29]GABM_R03_SudipaAPI-data'!$J164/'[29]GABM_R03_SudipaAPI-data'!$L164</f>
        <v>0.99199999999999999</v>
      </c>
      <c r="K165">
        <v>1</v>
      </c>
      <c r="L165">
        <f t="shared" si="2"/>
        <v>0.99920000000000009</v>
      </c>
    </row>
    <row r="166" spans="1:12" x14ac:dyDescent="0.35">
      <c r="A166">
        <v>163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f>'[29]GABM_R03_SudipaAPI-data'!$J165/'[29]GABM_R03_SudipaAPI-data'!$L165</f>
        <v>0.99360000000000004</v>
      </c>
      <c r="K166">
        <v>1</v>
      </c>
      <c r="L166">
        <f t="shared" si="2"/>
        <v>0.99936000000000003</v>
      </c>
    </row>
    <row r="167" spans="1:12" x14ac:dyDescent="0.35">
      <c r="A167">
        <v>164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f>'[29]GABM_R03_SudipaAPI-data'!$J166/'[29]GABM_R03_SudipaAPI-data'!$L166</f>
        <v>0.62719999999999998</v>
      </c>
      <c r="K167">
        <v>1</v>
      </c>
      <c r="L167">
        <f t="shared" si="2"/>
        <v>0.96272000000000002</v>
      </c>
    </row>
    <row r="168" spans="1:12" x14ac:dyDescent="0.35">
      <c r="A168">
        <v>165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f>'[29]GABM_R03_SudipaAPI-data'!$J167/'[29]GABM_R03_SudipaAPI-data'!$L167</f>
        <v>0.98960000000000004</v>
      </c>
      <c r="K168">
        <v>1</v>
      </c>
      <c r="L168">
        <f t="shared" si="2"/>
        <v>0.99895999999999996</v>
      </c>
    </row>
    <row r="169" spans="1:12" x14ac:dyDescent="0.35">
      <c r="A169">
        <v>166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f>'[29]GABM_R03_SudipaAPI-data'!$J168/'[29]GABM_R03_SudipaAPI-data'!$L168</f>
        <v>0.61360000000000003</v>
      </c>
      <c r="K169">
        <v>1</v>
      </c>
      <c r="L169">
        <f t="shared" si="2"/>
        <v>0.96135999999999999</v>
      </c>
    </row>
    <row r="170" spans="1:12" x14ac:dyDescent="0.35">
      <c r="A170">
        <v>167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f>'[29]GABM_R03_SudipaAPI-data'!$J169/'[29]GABM_R03_SudipaAPI-data'!$L169</f>
        <v>0.58720000000000006</v>
      </c>
      <c r="K170">
        <v>1</v>
      </c>
      <c r="L170">
        <f t="shared" si="2"/>
        <v>0.95871999999999991</v>
      </c>
    </row>
    <row r="171" spans="1:12" x14ac:dyDescent="0.35">
      <c r="A171">
        <v>168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f>'[29]GABM_R03_SudipaAPI-data'!$J170/'[29]GABM_R03_SudipaAPI-data'!$L170</f>
        <v>0.58720000000000006</v>
      </c>
      <c r="K171">
        <v>1</v>
      </c>
      <c r="L171">
        <f t="shared" si="2"/>
        <v>0.95871999999999991</v>
      </c>
    </row>
    <row r="172" spans="1:12" x14ac:dyDescent="0.35">
      <c r="A172">
        <v>169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f>'[29]GABM_R03_SudipaAPI-data'!$J171/'[29]GABM_R03_SudipaAPI-data'!$L171</f>
        <v>0.55679999999999996</v>
      </c>
      <c r="K172">
        <v>1</v>
      </c>
      <c r="L172">
        <f t="shared" si="2"/>
        <v>0.95567999999999986</v>
      </c>
    </row>
    <row r="173" spans="1:12" x14ac:dyDescent="0.35">
      <c r="A173">
        <v>170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f>'[29]GABM_R03_SudipaAPI-data'!$J172/'[29]GABM_R03_SudipaAPI-data'!$L172</f>
        <v>0.53639999999999999</v>
      </c>
      <c r="K173">
        <v>1</v>
      </c>
      <c r="L173">
        <f t="shared" si="2"/>
        <v>0.95364000000000004</v>
      </c>
    </row>
    <row r="174" spans="1:12" x14ac:dyDescent="0.35">
      <c r="A174">
        <v>171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f>'[29]GABM_R03_SudipaAPI-data'!$J173/'[29]GABM_R03_SudipaAPI-data'!$L173</f>
        <v>0.63800000000000001</v>
      </c>
      <c r="K174">
        <v>1</v>
      </c>
      <c r="L174">
        <f t="shared" si="2"/>
        <v>0.96379999999999999</v>
      </c>
    </row>
    <row r="175" spans="1:12" x14ac:dyDescent="0.35">
      <c r="A175">
        <v>172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f>'[29]GABM_R03_SudipaAPI-data'!$J174/'[29]GABM_R03_SudipaAPI-data'!$L174</f>
        <v>0.54600000000000004</v>
      </c>
      <c r="K175">
        <v>1</v>
      </c>
      <c r="L175">
        <f t="shared" si="2"/>
        <v>0.95459999999999989</v>
      </c>
    </row>
    <row r="176" spans="1:12" x14ac:dyDescent="0.35">
      <c r="A176">
        <v>173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f>'[29]GABM_R03_SudipaAPI-data'!$J175/'[29]GABM_R03_SudipaAPI-data'!$L175</f>
        <v>0.62</v>
      </c>
      <c r="K176">
        <v>1</v>
      </c>
      <c r="L176">
        <f t="shared" si="2"/>
        <v>0.96199999999999997</v>
      </c>
    </row>
    <row r="177" spans="1:12" x14ac:dyDescent="0.35">
      <c r="A177">
        <v>174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f>'[29]GABM_R03_SudipaAPI-data'!$J176/'[29]GABM_R03_SudipaAPI-data'!$L176</f>
        <v>0.98760000000000003</v>
      </c>
      <c r="K177">
        <v>1</v>
      </c>
      <c r="L177">
        <f t="shared" si="2"/>
        <v>0.99876000000000009</v>
      </c>
    </row>
    <row r="178" spans="1:12" x14ac:dyDescent="0.35">
      <c r="A178">
        <v>175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f>'[29]GABM_R03_SudipaAPI-data'!$J177/'[29]GABM_R03_SudipaAPI-data'!$L177</f>
        <v>0.99480000000000002</v>
      </c>
      <c r="K178">
        <v>1</v>
      </c>
      <c r="L178">
        <f t="shared" si="2"/>
        <v>0.99947999999999992</v>
      </c>
    </row>
    <row r="179" spans="1:12" x14ac:dyDescent="0.35">
      <c r="A179">
        <v>176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f>'[29]GABM_R03_SudipaAPI-data'!$J178/'[29]GABM_R03_SudipaAPI-data'!$L178</f>
        <v>0.99239999999999995</v>
      </c>
      <c r="K179">
        <v>1</v>
      </c>
      <c r="L179">
        <f t="shared" si="2"/>
        <v>0.99924000000000002</v>
      </c>
    </row>
    <row r="180" spans="1:12" x14ac:dyDescent="0.35">
      <c r="A180">
        <v>177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f>'[29]GABM_R03_SudipaAPI-data'!$J179/'[29]GABM_R03_SudipaAPI-data'!$L179</f>
        <v>0.998</v>
      </c>
      <c r="K180">
        <v>1</v>
      </c>
      <c r="L180">
        <f t="shared" si="2"/>
        <v>0.99979999999999991</v>
      </c>
    </row>
    <row r="181" spans="1:12" x14ac:dyDescent="0.35">
      <c r="A181">
        <v>178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f>'[29]GABM_R03_SudipaAPI-data'!$J180/'[29]GABM_R03_SudipaAPI-data'!$L180</f>
        <v>0.61639999999999995</v>
      </c>
      <c r="K181">
        <v>1</v>
      </c>
      <c r="L181">
        <f t="shared" si="2"/>
        <v>0.96164000000000005</v>
      </c>
    </row>
    <row r="182" spans="1:12" x14ac:dyDescent="0.35">
      <c r="A182">
        <v>179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f>'[29]GABM_R03_SudipaAPI-data'!$J181/'[29]GABM_R03_SudipaAPI-data'!$L181</f>
        <v>0.62360000000000004</v>
      </c>
      <c r="K182">
        <v>1</v>
      </c>
      <c r="L182">
        <f t="shared" si="2"/>
        <v>0.96235999999999999</v>
      </c>
    </row>
    <row r="183" spans="1:12" x14ac:dyDescent="0.35">
      <c r="A183">
        <v>180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f>'[29]GABM_R03_SudipaAPI-data'!$J182/'[29]GABM_R03_SudipaAPI-data'!$L182</f>
        <v>0.62760000000000005</v>
      </c>
      <c r="K183">
        <v>1</v>
      </c>
      <c r="L183">
        <f t="shared" si="2"/>
        <v>0.96275999999999995</v>
      </c>
    </row>
    <row r="184" spans="1:12" x14ac:dyDescent="0.35">
      <c r="A184">
        <v>181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f>'[29]GABM_R03_SudipaAPI-data'!$J183/'[29]GABM_R03_SudipaAPI-data'!$L183</f>
        <v>0.62280000000000002</v>
      </c>
      <c r="K184">
        <v>1</v>
      </c>
      <c r="L184">
        <f t="shared" si="2"/>
        <v>0.96228000000000002</v>
      </c>
    </row>
    <row r="185" spans="1:12" x14ac:dyDescent="0.35">
      <c r="A185">
        <v>182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f>'[29]GABM_R03_SudipaAPI-data'!$J184/'[29]GABM_R03_SudipaAPI-data'!$L184</f>
        <v>0.98560000000000003</v>
      </c>
      <c r="K185">
        <v>1</v>
      </c>
      <c r="L185">
        <f t="shared" si="2"/>
        <v>0.99856</v>
      </c>
    </row>
    <row r="186" spans="1:12" x14ac:dyDescent="0.35">
      <c r="A186">
        <v>183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f>'[29]GABM_R03_SudipaAPI-data'!$J185/'[29]GABM_R03_SudipaAPI-data'!$L185</f>
        <v>0.61399999999999999</v>
      </c>
      <c r="K186">
        <v>1</v>
      </c>
      <c r="L186">
        <f t="shared" si="2"/>
        <v>0.96140000000000003</v>
      </c>
    </row>
    <row r="187" spans="1:12" x14ac:dyDescent="0.35">
      <c r="A187">
        <v>184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f>'[29]GABM_R03_SudipaAPI-data'!$J186/'[29]GABM_R03_SudipaAPI-data'!$L186</f>
        <v>0.62519999999999998</v>
      </c>
      <c r="K187">
        <v>1</v>
      </c>
      <c r="L187">
        <f t="shared" si="2"/>
        <v>0.96251999999999993</v>
      </c>
    </row>
    <row r="188" spans="1:12" x14ac:dyDescent="0.35">
      <c r="A188">
        <v>185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f>'[29]GABM_R03_SudipaAPI-data'!$J187/'[29]GABM_R03_SudipaAPI-data'!$L187</f>
        <v>0.98919999999999997</v>
      </c>
      <c r="K188">
        <v>1</v>
      </c>
      <c r="L188">
        <f t="shared" si="2"/>
        <v>0.99892000000000003</v>
      </c>
    </row>
    <row r="189" spans="1:12" x14ac:dyDescent="0.35">
      <c r="A189">
        <v>186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f>'[29]GABM_R03_SudipaAPI-data'!$J188/'[29]GABM_R03_SudipaAPI-data'!$L188</f>
        <v>0.62119999999999997</v>
      </c>
      <c r="K189">
        <v>1</v>
      </c>
      <c r="L189">
        <f t="shared" si="2"/>
        <v>0.96211999999999998</v>
      </c>
    </row>
    <row r="190" spans="1:12" x14ac:dyDescent="0.35">
      <c r="A190">
        <v>187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f>'[29]GABM_R03_SudipaAPI-data'!$J189/'[29]GABM_R03_SudipaAPI-data'!$L189</f>
        <v>0.61599999999999999</v>
      </c>
      <c r="K190">
        <v>1</v>
      </c>
      <c r="L190">
        <f t="shared" si="2"/>
        <v>0.96160000000000001</v>
      </c>
    </row>
    <row r="191" spans="1:12" x14ac:dyDescent="0.35">
      <c r="A191">
        <v>188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f>'[29]GABM_R03_SudipaAPI-data'!$J190/'[29]GABM_R03_SudipaAPI-data'!$L190</f>
        <v>0.6048</v>
      </c>
      <c r="K191">
        <v>1</v>
      </c>
      <c r="L191">
        <f t="shared" si="2"/>
        <v>0.96048000000000011</v>
      </c>
    </row>
    <row r="192" spans="1:12" x14ac:dyDescent="0.35">
      <c r="A192">
        <v>189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f>'[29]GABM_R03_SudipaAPI-data'!$J191/'[29]GABM_R03_SudipaAPI-data'!$L191</f>
        <v>0.59760000000000002</v>
      </c>
      <c r="K192">
        <v>1</v>
      </c>
      <c r="L192">
        <f t="shared" si="2"/>
        <v>0.95975999999999995</v>
      </c>
    </row>
    <row r="193" spans="1:12" x14ac:dyDescent="0.35">
      <c r="A193">
        <v>190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f>'[29]GABM_R03_SudipaAPI-data'!$J192/'[29]GABM_R03_SudipaAPI-data'!$L192</f>
        <v>0.61280000000000001</v>
      </c>
      <c r="K193">
        <v>1</v>
      </c>
      <c r="L193">
        <f t="shared" si="2"/>
        <v>0.96128000000000002</v>
      </c>
    </row>
    <row r="194" spans="1:12" x14ac:dyDescent="0.35">
      <c r="A194">
        <v>191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f>'[29]GABM_R03_SudipaAPI-data'!$J193/'[29]GABM_R03_SudipaAPI-data'!$L193</f>
        <v>0.60960000000000003</v>
      </c>
      <c r="K194">
        <v>1</v>
      </c>
      <c r="L194">
        <f t="shared" si="2"/>
        <v>0.96096000000000004</v>
      </c>
    </row>
    <row r="195" spans="1:12" x14ac:dyDescent="0.35">
      <c r="A195">
        <v>192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f>'[29]GABM_R03_SudipaAPI-data'!$J194/'[29]GABM_R03_SudipaAPI-data'!$L194</f>
        <v>0.62</v>
      </c>
      <c r="K195">
        <v>1</v>
      </c>
      <c r="L195">
        <f t="shared" si="2"/>
        <v>0.96199999999999997</v>
      </c>
    </row>
    <row r="196" spans="1:12" x14ac:dyDescent="0.35">
      <c r="A196">
        <v>193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f>'[29]GABM_R03_SudipaAPI-data'!$J195/'[29]GABM_R03_SudipaAPI-data'!$L195</f>
        <v>0.61599999999999999</v>
      </c>
      <c r="K196">
        <v>1</v>
      </c>
      <c r="L196">
        <f t="shared" ref="L196:L200" si="3">AVERAGE(B196:K196)</f>
        <v>0.96160000000000001</v>
      </c>
    </row>
    <row r="197" spans="1:12" x14ac:dyDescent="0.35">
      <c r="A197">
        <v>194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f>'[29]GABM_R03_SudipaAPI-data'!$J196/'[29]GABM_R03_SudipaAPI-data'!$L196</f>
        <v>0.63360000000000005</v>
      </c>
      <c r="K197">
        <v>1</v>
      </c>
      <c r="L197">
        <f t="shared" si="3"/>
        <v>0.96335999999999999</v>
      </c>
    </row>
    <row r="198" spans="1:12" x14ac:dyDescent="0.35">
      <c r="A198">
        <v>195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f>'[29]GABM_R03_SudipaAPI-data'!$J197/'[29]GABM_R03_SudipaAPI-data'!$L197</f>
        <v>0.62080000000000002</v>
      </c>
      <c r="K198">
        <v>1</v>
      </c>
      <c r="L198">
        <f t="shared" si="3"/>
        <v>0.96207999999999994</v>
      </c>
    </row>
    <row r="199" spans="1:12" x14ac:dyDescent="0.35">
      <c r="A199">
        <v>196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f>'[29]GABM_R03_SudipaAPI-data'!$J198/'[29]GABM_R03_SudipaAPI-data'!$L198</f>
        <v>0.98719999999999997</v>
      </c>
      <c r="K199">
        <v>1</v>
      </c>
      <c r="L199">
        <f t="shared" si="3"/>
        <v>0.99871999999999994</v>
      </c>
    </row>
    <row r="200" spans="1:12" x14ac:dyDescent="0.35">
      <c r="A200">
        <v>197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f>'[29]GABM_R03_SudipaAPI-data'!$J199/'[29]GABM_R03_SudipaAPI-data'!$L199</f>
        <v>0.99280000000000002</v>
      </c>
      <c r="K200">
        <v>1</v>
      </c>
      <c r="L200">
        <f t="shared" si="3"/>
        <v>0.99928000000000006</v>
      </c>
    </row>
  </sheetData>
  <mergeCells count="1">
    <mergeCell ref="A1:L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7F71C-B0B6-4F76-B0CA-7A38B5CD4A3E}">
  <dimension ref="A1:Y41"/>
  <sheetViews>
    <sheetView topLeftCell="C2" workbookViewId="0">
      <selection activeCell="I37" sqref="I37"/>
    </sheetView>
  </sheetViews>
  <sheetFormatPr defaultRowHeight="14.5" x14ac:dyDescent="0.35"/>
  <sheetData>
    <row r="1" spans="1:25" x14ac:dyDescent="0.35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N1" s="7" t="s">
        <v>24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x14ac:dyDescent="0.35">
      <c r="A2" t="s">
        <v>10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12</v>
      </c>
      <c r="N2" t="str">
        <f>A2</f>
        <v>Time Step</v>
      </c>
      <c r="O2" t="str">
        <f t="shared" ref="O2:Y2" si="0">B2</f>
        <v>Run 1</v>
      </c>
      <c r="P2" t="str">
        <f t="shared" si="0"/>
        <v>Run 2</v>
      </c>
      <c r="Q2" t="str">
        <f t="shared" si="0"/>
        <v>Run 3</v>
      </c>
      <c r="R2" t="str">
        <f t="shared" si="0"/>
        <v>Run 4</v>
      </c>
      <c r="S2" t="str">
        <f t="shared" si="0"/>
        <v>Run 5</v>
      </c>
      <c r="T2" t="str">
        <f t="shared" si="0"/>
        <v>Run 6</v>
      </c>
      <c r="U2" t="str">
        <f t="shared" si="0"/>
        <v>Run 7</v>
      </c>
      <c r="V2" t="str">
        <f t="shared" si="0"/>
        <v>Run 8</v>
      </c>
      <c r="W2" t="str">
        <f t="shared" si="0"/>
        <v>Run 9</v>
      </c>
      <c r="X2" t="str">
        <f t="shared" si="0"/>
        <v>Run 10</v>
      </c>
      <c r="Y2" t="str">
        <f t="shared" si="0"/>
        <v>Average</v>
      </c>
    </row>
    <row r="3" spans="1:25" x14ac:dyDescent="0.35">
      <c r="A3">
        <v>0</v>
      </c>
      <c r="B3">
        <f>'[1]GABM_R03_Terry_no_fb-data'!$G2</f>
        <v>1000</v>
      </c>
      <c r="C3">
        <f>'[2]GABM_R03_MitchellAPI_no_fb-data'!$G2</f>
        <v>1000</v>
      </c>
      <c r="D3">
        <f>'[3]GABM_R03_NavidAPI_no_fb-data'!$G2</f>
        <v>1000</v>
      </c>
      <c r="E3">
        <f>'[4]GABM_R03_RandiAPI_no_fb_runtwo-'!$G2</f>
        <v>1000</v>
      </c>
      <c r="F3">
        <f>'[5]GABM_R03_SudipaAPI_no_fb-data'!$G2</f>
        <v>1000</v>
      </c>
      <c r="G3">
        <f>'[6]GABM_R03_NavidAPI_no_fb_runtwo-'!$G2</f>
        <v>1000</v>
      </c>
      <c r="H3">
        <f>'[7]GABM_R03_savannah_no_fb-data'!$G2</f>
        <v>1000</v>
      </c>
      <c r="I3">
        <f>'[8]GABM_R03_Terry_no_fb_run_two-da'!$G2</f>
        <v>1000</v>
      </c>
      <c r="J3">
        <f>[9]GABM_R03_MitchellAPI_no_fb_runt!$G2</f>
        <v>1000</v>
      </c>
      <c r="K3">
        <f>'[10]R03_GABM_NiyoushaAPI_no_fb-data'!$G2</f>
        <v>1000</v>
      </c>
      <c r="L3">
        <f>AVERAGE(B3:K3)</f>
        <v>1000</v>
      </c>
      <c r="N3">
        <f t="shared" ref="N3:N29" si="1">A3</f>
        <v>0</v>
      </c>
      <c r="O3">
        <f>B3/1000</f>
        <v>1</v>
      </c>
      <c r="P3">
        <f t="shared" ref="P3:Y18" si="2">C3/1000</f>
        <v>1</v>
      </c>
      <c r="Q3">
        <f t="shared" si="2"/>
        <v>1</v>
      </c>
      <c r="R3">
        <f t="shared" si="2"/>
        <v>1</v>
      </c>
      <c r="S3">
        <f t="shared" si="2"/>
        <v>1</v>
      </c>
      <c r="T3">
        <f t="shared" si="2"/>
        <v>1</v>
      </c>
      <c r="U3">
        <f t="shared" si="2"/>
        <v>1</v>
      </c>
      <c r="V3">
        <f t="shared" si="2"/>
        <v>1</v>
      </c>
      <c r="W3">
        <f t="shared" si="2"/>
        <v>1</v>
      </c>
      <c r="X3">
        <f t="shared" si="2"/>
        <v>1</v>
      </c>
      <c r="Y3">
        <f t="shared" si="2"/>
        <v>1</v>
      </c>
    </row>
    <row r="4" spans="1:25" x14ac:dyDescent="0.35">
      <c r="A4">
        <v>1</v>
      </c>
      <c r="B4">
        <f>'[1]GABM_R03_Terry_no_fb-data'!$G3</f>
        <v>1000</v>
      </c>
      <c r="C4">
        <f>'[2]GABM_R03_MitchellAPI_no_fb-data'!$G3</f>
        <v>1000</v>
      </c>
      <c r="D4">
        <f>'[3]GABM_R03_NavidAPI_no_fb-data'!$G3</f>
        <v>999</v>
      </c>
      <c r="E4">
        <f>'[4]GABM_R03_RandiAPI_no_fb_runtwo-'!$G3</f>
        <v>999</v>
      </c>
      <c r="F4">
        <f>'[5]GABM_R03_SudipaAPI_no_fb-data'!$G3</f>
        <v>999</v>
      </c>
      <c r="G4">
        <f>'[6]GABM_R03_NavidAPI_no_fb_runtwo-'!$G3</f>
        <v>1000</v>
      </c>
      <c r="H4">
        <f>'[7]GABM_R03_savannah_no_fb-data'!$G3</f>
        <v>1000</v>
      </c>
      <c r="I4">
        <f>'[8]GABM_R03_Terry_no_fb_run_two-da'!$G3</f>
        <v>998</v>
      </c>
      <c r="J4">
        <f>[9]GABM_R03_MitchellAPI_no_fb_runt!$G3</f>
        <v>1000</v>
      </c>
      <c r="K4">
        <f>'[10]R03_GABM_NiyoushaAPI_no_fb-data'!$G3</f>
        <v>1000</v>
      </c>
      <c r="L4">
        <f t="shared" ref="L4:L29" si="3">AVERAGE(B4:K4)</f>
        <v>999.5</v>
      </c>
      <c r="N4">
        <f t="shared" si="1"/>
        <v>1</v>
      </c>
      <c r="O4">
        <f t="shared" ref="O4:O29" si="4">B4/1000</f>
        <v>1</v>
      </c>
      <c r="P4">
        <f t="shared" si="2"/>
        <v>1</v>
      </c>
      <c r="Q4">
        <f t="shared" si="2"/>
        <v>0.999</v>
      </c>
      <c r="R4">
        <f t="shared" si="2"/>
        <v>0.999</v>
      </c>
      <c r="S4">
        <f t="shared" si="2"/>
        <v>0.999</v>
      </c>
      <c r="T4">
        <f t="shared" si="2"/>
        <v>1</v>
      </c>
      <c r="U4">
        <f t="shared" si="2"/>
        <v>1</v>
      </c>
      <c r="V4">
        <f t="shared" si="2"/>
        <v>0.998</v>
      </c>
      <c r="W4">
        <f t="shared" si="2"/>
        <v>1</v>
      </c>
      <c r="X4">
        <f t="shared" si="2"/>
        <v>1</v>
      </c>
      <c r="Y4">
        <f t="shared" si="2"/>
        <v>0.99950000000000006</v>
      </c>
    </row>
    <row r="5" spans="1:25" x14ac:dyDescent="0.35">
      <c r="A5">
        <v>2</v>
      </c>
      <c r="B5">
        <f>'[1]GABM_R03_Terry_no_fb-data'!$G4</f>
        <v>1000</v>
      </c>
      <c r="C5">
        <f>'[2]GABM_R03_MitchellAPI_no_fb-data'!$G4</f>
        <v>1000</v>
      </c>
      <c r="D5">
        <f>'[3]GABM_R03_NavidAPI_no_fb-data'!$G4</f>
        <v>999</v>
      </c>
      <c r="E5">
        <f>'[4]GABM_R03_RandiAPI_no_fb_runtwo-'!$G4</f>
        <v>999</v>
      </c>
      <c r="F5">
        <f>'[5]GABM_R03_SudipaAPI_no_fb-data'!$G4</f>
        <v>999</v>
      </c>
      <c r="G5">
        <f>'[6]GABM_R03_NavidAPI_no_fb_runtwo-'!$G4</f>
        <v>1000</v>
      </c>
      <c r="H5">
        <f>'[7]GABM_R03_savannah_no_fb-data'!$G4</f>
        <v>1000</v>
      </c>
      <c r="I5">
        <f>'[8]GABM_R03_Terry_no_fb_run_two-da'!$G4</f>
        <v>998</v>
      </c>
      <c r="J5">
        <f>[9]GABM_R03_MitchellAPI_no_fb_runt!$G4</f>
        <v>1000</v>
      </c>
      <c r="K5">
        <f>'[10]R03_GABM_NiyoushaAPI_no_fb-data'!$G4</f>
        <v>1000</v>
      </c>
      <c r="L5">
        <f t="shared" si="3"/>
        <v>999.5</v>
      </c>
      <c r="N5">
        <f t="shared" si="1"/>
        <v>2</v>
      </c>
      <c r="O5">
        <f t="shared" si="4"/>
        <v>1</v>
      </c>
      <c r="P5">
        <f t="shared" si="2"/>
        <v>1</v>
      </c>
      <c r="Q5">
        <f t="shared" si="2"/>
        <v>0.999</v>
      </c>
      <c r="R5">
        <f t="shared" si="2"/>
        <v>0.999</v>
      </c>
      <c r="S5">
        <f t="shared" si="2"/>
        <v>0.999</v>
      </c>
      <c r="T5">
        <f t="shared" si="2"/>
        <v>1</v>
      </c>
      <c r="U5">
        <f t="shared" si="2"/>
        <v>1</v>
      </c>
      <c r="V5">
        <f t="shared" si="2"/>
        <v>0.998</v>
      </c>
      <c r="W5">
        <f t="shared" si="2"/>
        <v>1</v>
      </c>
      <c r="X5">
        <f t="shared" si="2"/>
        <v>1</v>
      </c>
      <c r="Y5">
        <f t="shared" si="2"/>
        <v>0.99950000000000006</v>
      </c>
    </row>
    <row r="6" spans="1:25" x14ac:dyDescent="0.35">
      <c r="A6">
        <v>3</v>
      </c>
      <c r="B6">
        <f>'[1]GABM_R03_Terry_no_fb-data'!$G5</f>
        <v>1000</v>
      </c>
      <c r="C6">
        <f>'[2]GABM_R03_MitchellAPI_no_fb-data'!$G5</f>
        <v>1000</v>
      </c>
      <c r="D6">
        <f>'[3]GABM_R03_NavidAPI_no_fb-data'!$G5</f>
        <v>999</v>
      </c>
      <c r="E6">
        <f>'[4]GABM_R03_RandiAPI_no_fb_runtwo-'!$G5</f>
        <v>999</v>
      </c>
      <c r="F6">
        <f>'[5]GABM_R03_SudipaAPI_no_fb-data'!$G5</f>
        <v>999</v>
      </c>
      <c r="G6">
        <f>'[6]GABM_R03_NavidAPI_no_fb_runtwo-'!$G5</f>
        <v>1000</v>
      </c>
      <c r="H6">
        <f>'[7]GABM_R03_savannah_no_fb-data'!$G5</f>
        <v>1000</v>
      </c>
      <c r="I6">
        <f>'[8]GABM_R03_Terry_no_fb_run_two-da'!$G5</f>
        <v>997</v>
      </c>
      <c r="J6">
        <f>[9]GABM_R03_MitchellAPI_no_fb_runt!$G5</f>
        <v>1000</v>
      </c>
      <c r="K6">
        <f>'[10]R03_GABM_NiyoushaAPI_no_fb-data'!$G5</f>
        <v>1000</v>
      </c>
      <c r="L6">
        <f t="shared" si="3"/>
        <v>999.4</v>
      </c>
      <c r="N6">
        <f t="shared" si="1"/>
        <v>3</v>
      </c>
      <c r="O6">
        <f t="shared" si="4"/>
        <v>1</v>
      </c>
      <c r="P6">
        <f t="shared" si="2"/>
        <v>1</v>
      </c>
      <c r="Q6">
        <f t="shared" si="2"/>
        <v>0.999</v>
      </c>
      <c r="R6">
        <f t="shared" si="2"/>
        <v>0.999</v>
      </c>
      <c r="S6">
        <f t="shared" si="2"/>
        <v>0.999</v>
      </c>
      <c r="T6">
        <f t="shared" si="2"/>
        <v>1</v>
      </c>
      <c r="U6">
        <f t="shared" si="2"/>
        <v>1</v>
      </c>
      <c r="V6">
        <f t="shared" si="2"/>
        <v>0.997</v>
      </c>
      <c r="W6">
        <f t="shared" si="2"/>
        <v>1</v>
      </c>
      <c r="X6">
        <f t="shared" si="2"/>
        <v>1</v>
      </c>
      <c r="Y6">
        <f t="shared" si="2"/>
        <v>0.99939999999999996</v>
      </c>
    </row>
    <row r="7" spans="1:25" x14ac:dyDescent="0.35">
      <c r="A7">
        <v>4</v>
      </c>
      <c r="B7">
        <f>'[1]GABM_R03_Terry_no_fb-data'!$G6</f>
        <v>1000</v>
      </c>
      <c r="C7">
        <f>'[2]GABM_R03_MitchellAPI_no_fb-data'!$G6</f>
        <v>1000</v>
      </c>
      <c r="D7">
        <f>'[3]GABM_R03_NavidAPI_no_fb-data'!$G6</f>
        <v>999</v>
      </c>
      <c r="E7">
        <f>'[4]GABM_R03_RandiAPI_no_fb_runtwo-'!$G6</f>
        <v>999</v>
      </c>
      <c r="F7">
        <f>'[5]GABM_R03_SudipaAPI_no_fb-data'!$G6</f>
        <v>999</v>
      </c>
      <c r="G7">
        <f>'[6]GABM_R03_NavidAPI_no_fb_runtwo-'!$G6</f>
        <v>1000</v>
      </c>
      <c r="H7">
        <f>'[7]GABM_R03_savannah_no_fb-data'!$G6</f>
        <v>1000</v>
      </c>
      <c r="I7">
        <f>'[8]GABM_R03_Terry_no_fb_run_two-da'!$G6</f>
        <v>998</v>
      </c>
      <c r="J7">
        <f>[9]GABM_R03_MitchellAPI_no_fb_runt!$G6</f>
        <v>1000</v>
      </c>
      <c r="K7">
        <f>'[10]R03_GABM_NiyoushaAPI_no_fb-data'!$G6</f>
        <v>999</v>
      </c>
      <c r="L7">
        <f t="shared" si="3"/>
        <v>999.4</v>
      </c>
      <c r="N7">
        <f t="shared" si="1"/>
        <v>4</v>
      </c>
      <c r="O7">
        <f t="shared" si="4"/>
        <v>1</v>
      </c>
      <c r="P7">
        <f t="shared" si="2"/>
        <v>1</v>
      </c>
      <c r="Q7">
        <f t="shared" si="2"/>
        <v>0.999</v>
      </c>
      <c r="R7">
        <f t="shared" si="2"/>
        <v>0.999</v>
      </c>
      <c r="S7">
        <f t="shared" si="2"/>
        <v>0.999</v>
      </c>
      <c r="T7">
        <f t="shared" si="2"/>
        <v>1</v>
      </c>
      <c r="U7">
        <f t="shared" si="2"/>
        <v>1</v>
      </c>
      <c r="V7">
        <f t="shared" si="2"/>
        <v>0.998</v>
      </c>
      <c r="W7">
        <f t="shared" si="2"/>
        <v>1</v>
      </c>
      <c r="X7">
        <f t="shared" si="2"/>
        <v>0.999</v>
      </c>
      <c r="Y7">
        <f t="shared" si="2"/>
        <v>0.99939999999999996</v>
      </c>
    </row>
    <row r="8" spans="1:25" x14ac:dyDescent="0.35">
      <c r="A8">
        <v>5</v>
      </c>
      <c r="B8">
        <f>'[1]GABM_R03_Terry_no_fb-data'!$G7</f>
        <v>1000</v>
      </c>
      <c r="C8">
        <f>'[2]GABM_R03_MitchellAPI_no_fb-data'!$G7</f>
        <v>1000</v>
      </c>
      <c r="D8">
        <f>'[3]GABM_R03_NavidAPI_no_fb-data'!$G7</f>
        <v>999</v>
      </c>
      <c r="E8">
        <f>'[4]GABM_R03_RandiAPI_no_fb_runtwo-'!$G7</f>
        <v>999</v>
      </c>
      <c r="F8">
        <f>'[5]GABM_R03_SudipaAPI_no_fb-data'!$G7</f>
        <v>999</v>
      </c>
      <c r="G8">
        <f>'[6]GABM_R03_NavidAPI_no_fb_runtwo-'!$G7</f>
        <v>1000</v>
      </c>
      <c r="H8">
        <f>'[7]GABM_R03_savannah_no_fb-data'!$G7</f>
        <v>1000</v>
      </c>
      <c r="I8">
        <f>'[8]GABM_R03_Terry_no_fb_run_two-da'!$G7</f>
        <v>997</v>
      </c>
      <c r="J8">
        <f>[9]GABM_R03_MitchellAPI_no_fb_runt!$G7</f>
        <v>1000</v>
      </c>
      <c r="K8">
        <f>'[10]R03_GABM_NiyoushaAPI_no_fb-data'!$G7</f>
        <v>1000</v>
      </c>
      <c r="L8">
        <f t="shared" si="3"/>
        <v>999.4</v>
      </c>
      <c r="N8">
        <f t="shared" si="1"/>
        <v>5</v>
      </c>
      <c r="O8">
        <f t="shared" si="4"/>
        <v>1</v>
      </c>
      <c r="P8">
        <f t="shared" si="2"/>
        <v>1</v>
      </c>
      <c r="Q8">
        <f t="shared" si="2"/>
        <v>0.999</v>
      </c>
      <c r="R8">
        <f t="shared" si="2"/>
        <v>0.999</v>
      </c>
      <c r="S8">
        <f t="shared" si="2"/>
        <v>0.999</v>
      </c>
      <c r="T8">
        <f t="shared" si="2"/>
        <v>1</v>
      </c>
      <c r="U8">
        <f t="shared" si="2"/>
        <v>1</v>
      </c>
      <c r="V8">
        <f t="shared" si="2"/>
        <v>0.997</v>
      </c>
      <c r="W8">
        <f t="shared" si="2"/>
        <v>1</v>
      </c>
      <c r="X8">
        <f t="shared" si="2"/>
        <v>1</v>
      </c>
      <c r="Y8">
        <f t="shared" si="2"/>
        <v>0.99939999999999996</v>
      </c>
    </row>
    <row r="9" spans="1:25" x14ac:dyDescent="0.35">
      <c r="A9">
        <v>6</v>
      </c>
      <c r="B9">
        <f>'[1]GABM_R03_Terry_no_fb-data'!$G8</f>
        <v>1000</v>
      </c>
      <c r="C9">
        <f>'[2]GABM_R03_MitchellAPI_no_fb-data'!$G8</f>
        <v>1000</v>
      </c>
      <c r="D9">
        <f>'[3]GABM_R03_NavidAPI_no_fb-data'!$G8</f>
        <v>999</v>
      </c>
      <c r="E9">
        <f>'[4]GABM_R03_RandiAPI_no_fb_runtwo-'!$G8</f>
        <v>999</v>
      </c>
      <c r="F9">
        <f>'[5]GABM_R03_SudipaAPI_no_fb-data'!$G8</f>
        <v>999</v>
      </c>
      <c r="G9">
        <f>'[6]GABM_R03_NavidAPI_no_fb_runtwo-'!$G8</f>
        <v>1000</v>
      </c>
      <c r="H9">
        <f>'[7]GABM_R03_savannah_no_fb-data'!$G8</f>
        <v>1000</v>
      </c>
      <c r="I9">
        <f>'[8]GABM_R03_Terry_no_fb_run_two-da'!$G8</f>
        <v>998</v>
      </c>
      <c r="J9">
        <f>[9]GABM_R03_MitchellAPI_no_fb_runt!$G8</f>
        <v>1000</v>
      </c>
      <c r="K9">
        <f>'[10]R03_GABM_NiyoushaAPI_no_fb-data'!$G8</f>
        <v>1000</v>
      </c>
      <c r="L9">
        <f t="shared" si="3"/>
        <v>999.5</v>
      </c>
      <c r="N9">
        <f t="shared" si="1"/>
        <v>6</v>
      </c>
      <c r="O9">
        <f t="shared" si="4"/>
        <v>1</v>
      </c>
      <c r="P9">
        <f t="shared" si="2"/>
        <v>1</v>
      </c>
      <c r="Q9">
        <f t="shared" si="2"/>
        <v>0.999</v>
      </c>
      <c r="R9">
        <f t="shared" si="2"/>
        <v>0.999</v>
      </c>
      <c r="S9">
        <f t="shared" si="2"/>
        <v>0.999</v>
      </c>
      <c r="T9">
        <f t="shared" si="2"/>
        <v>1</v>
      </c>
      <c r="U9">
        <f t="shared" si="2"/>
        <v>1</v>
      </c>
      <c r="V9">
        <f t="shared" si="2"/>
        <v>0.998</v>
      </c>
      <c r="W9">
        <f t="shared" si="2"/>
        <v>1</v>
      </c>
      <c r="X9">
        <f t="shared" si="2"/>
        <v>1</v>
      </c>
      <c r="Y9">
        <f t="shared" si="2"/>
        <v>0.99950000000000006</v>
      </c>
    </row>
    <row r="10" spans="1:25" x14ac:dyDescent="0.35">
      <c r="A10">
        <v>7</v>
      </c>
      <c r="B10">
        <f>'[1]GABM_R03_Terry_no_fb-data'!$G9</f>
        <v>1000</v>
      </c>
      <c r="C10">
        <f>'[2]GABM_R03_MitchellAPI_no_fb-data'!$G9</f>
        <v>1000</v>
      </c>
      <c r="D10">
        <f>'[3]GABM_R03_NavidAPI_no_fb-data'!$G9</f>
        <v>999</v>
      </c>
      <c r="E10">
        <f>'[4]GABM_R03_RandiAPI_no_fb_runtwo-'!$G9</f>
        <v>999</v>
      </c>
      <c r="F10">
        <f>'[5]GABM_R03_SudipaAPI_no_fb-data'!$G9</f>
        <v>999</v>
      </c>
      <c r="G10">
        <f>'[6]GABM_R03_NavidAPI_no_fb_runtwo-'!$G9</f>
        <v>1000</v>
      </c>
      <c r="H10">
        <f>'[7]GABM_R03_savannah_no_fb-data'!$G9</f>
        <v>1000</v>
      </c>
      <c r="I10">
        <f>'[8]GABM_R03_Terry_no_fb_run_two-da'!$G9</f>
        <v>998</v>
      </c>
      <c r="J10">
        <f>[9]GABM_R03_MitchellAPI_no_fb_runt!$G9</f>
        <v>1000</v>
      </c>
      <c r="K10">
        <f>'[10]R03_GABM_NiyoushaAPI_no_fb-data'!$G9</f>
        <v>1000</v>
      </c>
      <c r="L10">
        <f t="shared" si="3"/>
        <v>999.5</v>
      </c>
      <c r="N10">
        <f t="shared" si="1"/>
        <v>7</v>
      </c>
      <c r="O10">
        <f t="shared" si="4"/>
        <v>1</v>
      </c>
      <c r="P10">
        <f t="shared" si="2"/>
        <v>1</v>
      </c>
      <c r="Q10">
        <f t="shared" si="2"/>
        <v>0.999</v>
      </c>
      <c r="R10">
        <f t="shared" si="2"/>
        <v>0.999</v>
      </c>
      <c r="S10">
        <f t="shared" si="2"/>
        <v>0.999</v>
      </c>
      <c r="T10">
        <f t="shared" si="2"/>
        <v>1</v>
      </c>
      <c r="U10">
        <f t="shared" si="2"/>
        <v>1</v>
      </c>
      <c r="V10">
        <f t="shared" si="2"/>
        <v>0.998</v>
      </c>
      <c r="W10">
        <f t="shared" si="2"/>
        <v>1</v>
      </c>
      <c r="X10">
        <f t="shared" si="2"/>
        <v>1</v>
      </c>
      <c r="Y10">
        <f t="shared" si="2"/>
        <v>0.99950000000000006</v>
      </c>
    </row>
    <row r="11" spans="1:25" x14ac:dyDescent="0.35">
      <c r="A11">
        <v>8</v>
      </c>
      <c r="B11">
        <f>'[1]GABM_R03_Terry_no_fb-data'!$G10</f>
        <v>1000</v>
      </c>
      <c r="C11">
        <f>'[2]GABM_R03_MitchellAPI_no_fb-data'!$G10</f>
        <v>1000</v>
      </c>
      <c r="D11">
        <f>'[3]GABM_R03_NavidAPI_no_fb-data'!$G10</f>
        <v>999</v>
      </c>
      <c r="E11">
        <f>'[4]GABM_R03_RandiAPI_no_fb_runtwo-'!$G10</f>
        <v>999</v>
      </c>
      <c r="F11">
        <f>'[5]GABM_R03_SudipaAPI_no_fb-data'!$G10</f>
        <v>999</v>
      </c>
      <c r="G11">
        <f>'[6]GABM_R03_NavidAPI_no_fb_runtwo-'!$G10</f>
        <v>1000</v>
      </c>
      <c r="H11">
        <f>'[7]GABM_R03_savannah_no_fb-data'!$G10</f>
        <v>1000</v>
      </c>
      <c r="I11">
        <f>'[8]GABM_R03_Terry_no_fb_run_two-da'!$G10</f>
        <v>998</v>
      </c>
      <c r="J11">
        <f>[9]GABM_R03_MitchellAPI_no_fb_runt!$G10</f>
        <v>1000</v>
      </c>
      <c r="K11">
        <f>'[10]R03_GABM_NiyoushaAPI_no_fb-data'!$G10</f>
        <v>1000</v>
      </c>
      <c r="L11">
        <f t="shared" si="3"/>
        <v>999.5</v>
      </c>
      <c r="N11">
        <f t="shared" si="1"/>
        <v>8</v>
      </c>
      <c r="O11">
        <f t="shared" si="4"/>
        <v>1</v>
      </c>
      <c r="P11">
        <f t="shared" si="2"/>
        <v>1</v>
      </c>
      <c r="Q11">
        <f t="shared" si="2"/>
        <v>0.999</v>
      </c>
      <c r="R11">
        <f t="shared" si="2"/>
        <v>0.999</v>
      </c>
      <c r="S11">
        <f t="shared" si="2"/>
        <v>0.999</v>
      </c>
      <c r="T11">
        <f t="shared" si="2"/>
        <v>1</v>
      </c>
      <c r="U11">
        <f t="shared" si="2"/>
        <v>1</v>
      </c>
      <c r="V11">
        <f t="shared" si="2"/>
        <v>0.998</v>
      </c>
      <c r="W11">
        <f t="shared" si="2"/>
        <v>1</v>
      </c>
      <c r="X11">
        <f t="shared" si="2"/>
        <v>1</v>
      </c>
      <c r="Y11">
        <f t="shared" si="2"/>
        <v>0.99950000000000006</v>
      </c>
    </row>
    <row r="12" spans="1:25" x14ac:dyDescent="0.35">
      <c r="A12">
        <v>9</v>
      </c>
      <c r="B12">
        <f>'[1]GABM_R03_Terry_no_fb-data'!$G11</f>
        <v>1000</v>
      </c>
      <c r="C12">
        <f>'[2]GABM_R03_MitchellAPI_no_fb-data'!$G11</f>
        <v>1000</v>
      </c>
      <c r="D12">
        <f>'[3]GABM_R03_NavidAPI_no_fb-data'!$G11</f>
        <v>999</v>
      </c>
      <c r="E12">
        <f>'[4]GABM_R03_RandiAPI_no_fb_runtwo-'!$G11</f>
        <v>999</v>
      </c>
      <c r="F12">
        <f>'[5]GABM_R03_SudipaAPI_no_fb-data'!$G11</f>
        <v>999</v>
      </c>
      <c r="G12">
        <f>'[6]GABM_R03_NavidAPI_no_fb_runtwo-'!$G11</f>
        <v>1000</v>
      </c>
      <c r="H12">
        <f>'[7]GABM_R03_savannah_no_fb-data'!$G11</f>
        <v>1000</v>
      </c>
      <c r="I12">
        <f>'[8]GABM_R03_Terry_no_fb_run_two-da'!$G11</f>
        <v>998</v>
      </c>
      <c r="J12">
        <f>[9]GABM_R03_MitchellAPI_no_fb_runt!$G11</f>
        <v>1000</v>
      </c>
      <c r="K12">
        <f>'[10]R03_GABM_NiyoushaAPI_no_fb-data'!$G11</f>
        <v>999</v>
      </c>
      <c r="L12">
        <f t="shared" si="3"/>
        <v>999.4</v>
      </c>
      <c r="N12">
        <f t="shared" si="1"/>
        <v>9</v>
      </c>
      <c r="O12">
        <f t="shared" si="4"/>
        <v>1</v>
      </c>
      <c r="P12">
        <f t="shared" si="2"/>
        <v>1</v>
      </c>
      <c r="Q12">
        <f t="shared" si="2"/>
        <v>0.999</v>
      </c>
      <c r="R12">
        <f t="shared" si="2"/>
        <v>0.999</v>
      </c>
      <c r="S12">
        <f t="shared" si="2"/>
        <v>0.999</v>
      </c>
      <c r="T12">
        <f t="shared" si="2"/>
        <v>1</v>
      </c>
      <c r="U12">
        <f t="shared" si="2"/>
        <v>1</v>
      </c>
      <c r="V12">
        <f t="shared" si="2"/>
        <v>0.998</v>
      </c>
      <c r="W12">
        <f t="shared" si="2"/>
        <v>1</v>
      </c>
      <c r="X12">
        <f t="shared" si="2"/>
        <v>0.999</v>
      </c>
      <c r="Y12">
        <f t="shared" si="2"/>
        <v>0.99939999999999996</v>
      </c>
    </row>
    <row r="13" spans="1:25" x14ac:dyDescent="0.35">
      <c r="A13">
        <v>10</v>
      </c>
      <c r="B13">
        <f>'[1]GABM_R03_Terry_no_fb-data'!$G12</f>
        <v>1000</v>
      </c>
      <c r="C13">
        <f>'[2]GABM_R03_MitchellAPI_no_fb-data'!$G12</f>
        <v>1000</v>
      </c>
      <c r="D13">
        <f>'[3]GABM_R03_NavidAPI_no_fb-data'!$G12</f>
        <v>999</v>
      </c>
      <c r="E13">
        <f>'[4]GABM_R03_RandiAPI_no_fb_runtwo-'!$G12</f>
        <v>999</v>
      </c>
      <c r="F13">
        <f>'[5]GABM_R03_SudipaAPI_no_fb-data'!$G12</f>
        <v>998</v>
      </c>
      <c r="G13">
        <f>'[6]GABM_R03_NavidAPI_no_fb_runtwo-'!$G12</f>
        <v>1000</v>
      </c>
      <c r="H13">
        <f>'[7]GABM_R03_savannah_no_fb-data'!$G12</f>
        <v>1000</v>
      </c>
      <c r="I13">
        <f>'[8]GABM_R03_Terry_no_fb_run_two-da'!$G12</f>
        <v>998</v>
      </c>
      <c r="J13">
        <f>[9]GABM_R03_MitchellAPI_no_fb_runt!$G12</f>
        <v>1000</v>
      </c>
      <c r="K13">
        <f>'[10]R03_GABM_NiyoushaAPI_no_fb-data'!$G12</f>
        <v>1000</v>
      </c>
      <c r="L13">
        <f t="shared" si="3"/>
        <v>999.4</v>
      </c>
      <c r="N13">
        <f t="shared" si="1"/>
        <v>10</v>
      </c>
      <c r="O13">
        <f t="shared" si="4"/>
        <v>1</v>
      </c>
      <c r="P13">
        <f t="shared" si="2"/>
        <v>1</v>
      </c>
      <c r="Q13">
        <f t="shared" si="2"/>
        <v>0.999</v>
      </c>
      <c r="R13">
        <f t="shared" si="2"/>
        <v>0.999</v>
      </c>
      <c r="S13">
        <f t="shared" si="2"/>
        <v>0.998</v>
      </c>
      <c r="T13">
        <f t="shared" si="2"/>
        <v>1</v>
      </c>
      <c r="U13">
        <f t="shared" si="2"/>
        <v>1</v>
      </c>
      <c r="V13">
        <f t="shared" si="2"/>
        <v>0.998</v>
      </c>
      <c r="W13">
        <f t="shared" si="2"/>
        <v>1</v>
      </c>
      <c r="X13">
        <f t="shared" si="2"/>
        <v>1</v>
      </c>
      <c r="Y13">
        <f t="shared" si="2"/>
        <v>0.99939999999999996</v>
      </c>
    </row>
    <row r="14" spans="1:25" x14ac:dyDescent="0.35">
      <c r="A14">
        <v>11</v>
      </c>
      <c r="B14">
        <f>'[1]GABM_R03_Terry_no_fb-data'!$G13</f>
        <v>1000</v>
      </c>
      <c r="C14">
        <f>'[2]GABM_R03_MitchellAPI_no_fb-data'!$G13</f>
        <v>1000</v>
      </c>
      <c r="D14">
        <f>'[3]GABM_R03_NavidAPI_no_fb-data'!$G13</f>
        <v>999</v>
      </c>
      <c r="E14">
        <f>'[4]GABM_R03_RandiAPI_no_fb_runtwo-'!$G13</f>
        <v>999</v>
      </c>
      <c r="F14">
        <f>'[5]GABM_R03_SudipaAPI_no_fb-data'!$G13</f>
        <v>999</v>
      </c>
      <c r="G14">
        <f>'[6]GABM_R03_NavidAPI_no_fb_runtwo-'!$G13</f>
        <v>1000</v>
      </c>
      <c r="H14">
        <f>'[7]GABM_R03_savannah_no_fb-data'!$G13</f>
        <v>1000</v>
      </c>
      <c r="I14">
        <f>'[8]GABM_R03_Terry_no_fb_run_two-da'!$G13</f>
        <v>998</v>
      </c>
      <c r="J14">
        <f>[9]GABM_R03_MitchellAPI_no_fb_runt!$G13</f>
        <v>1000</v>
      </c>
      <c r="K14">
        <f>'[10]R03_GABM_NiyoushaAPI_no_fb-data'!$G13</f>
        <v>1000</v>
      </c>
      <c r="L14">
        <f t="shared" si="3"/>
        <v>999.5</v>
      </c>
      <c r="N14">
        <f t="shared" si="1"/>
        <v>11</v>
      </c>
      <c r="O14">
        <f t="shared" si="4"/>
        <v>1</v>
      </c>
      <c r="P14">
        <f t="shared" si="2"/>
        <v>1</v>
      </c>
      <c r="Q14">
        <f t="shared" si="2"/>
        <v>0.999</v>
      </c>
      <c r="R14">
        <f t="shared" si="2"/>
        <v>0.999</v>
      </c>
      <c r="S14">
        <f t="shared" si="2"/>
        <v>0.999</v>
      </c>
      <c r="T14">
        <f t="shared" si="2"/>
        <v>1</v>
      </c>
      <c r="U14">
        <f t="shared" si="2"/>
        <v>1</v>
      </c>
      <c r="V14">
        <f t="shared" si="2"/>
        <v>0.998</v>
      </c>
      <c r="W14">
        <f t="shared" si="2"/>
        <v>1</v>
      </c>
      <c r="X14">
        <f t="shared" si="2"/>
        <v>1</v>
      </c>
      <c r="Y14">
        <f t="shared" si="2"/>
        <v>0.99950000000000006</v>
      </c>
    </row>
    <row r="15" spans="1:25" x14ac:dyDescent="0.35">
      <c r="A15">
        <v>12</v>
      </c>
      <c r="B15">
        <f>'[1]GABM_R03_Terry_no_fb-data'!$G14</f>
        <v>1000</v>
      </c>
      <c r="C15">
        <f>'[2]GABM_R03_MitchellAPI_no_fb-data'!$G14</f>
        <v>1000</v>
      </c>
      <c r="D15">
        <f>'[3]GABM_R03_NavidAPI_no_fb-data'!$G14</f>
        <v>999</v>
      </c>
      <c r="E15">
        <f>'[4]GABM_R03_RandiAPI_no_fb_runtwo-'!$G14</f>
        <v>999</v>
      </c>
      <c r="F15">
        <f>'[5]GABM_R03_SudipaAPI_no_fb-data'!$G14</f>
        <v>998</v>
      </c>
      <c r="G15">
        <f>'[6]GABM_R03_NavidAPI_no_fb_runtwo-'!$G14</f>
        <v>1000</v>
      </c>
      <c r="H15">
        <f>'[7]GABM_R03_savannah_no_fb-data'!$G14</f>
        <v>1000</v>
      </c>
      <c r="I15">
        <f>'[8]GABM_R03_Terry_no_fb_run_two-da'!$G14</f>
        <v>998</v>
      </c>
      <c r="J15">
        <f>[9]GABM_R03_MitchellAPI_no_fb_runt!$G14</f>
        <v>1000</v>
      </c>
      <c r="K15">
        <f>'[10]R03_GABM_NiyoushaAPI_no_fb-data'!$G14</f>
        <v>999</v>
      </c>
      <c r="L15">
        <f t="shared" si="3"/>
        <v>999.3</v>
      </c>
      <c r="N15">
        <f t="shared" si="1"/>
        <v>12</v>
      </c>
      <c r="O15">
        <f t="shared" si="4"/>
        <v>1</v>
      </c>
      <c r="P15">
        <f t="shared" si="2"/>
        <v>1</v>
      </c>
      <c r="Q15">
        <f t="shared" si="2"/>
        <v>0.999</v>
      </c>
      <c r="R15">
        <f t="shared" si="2"/>
        <v>0.999</v>
      </c>
      <c r="S15">
        <f t="shared" si="2"/>
        <v>0.998</v>
      </c>
      <c r="T15">
        <f t="shared" si="2"/>
        <v>1</v>
      </c>
      <c r="U15">
        <f t="shared" si="2"/>
        <v>1</v>
      </c>
      <c r="V15">
        <f t="shared" si="2"/>
        <v>0.998</v>
      </c>
      <c r="W15">
        <f t="shared" si="2"/>
        <v>1</v>
      </c>
      <c r="X15">
        <f t="shared" si="2"/>
        <v>0.999</v>
      </c>
      <c r="Y15">
        <f t="shared" si="2"/>
        <v>0.99929999999999997</v>
      </c>
    </row>
    <row r="16" spans="1:25" x14ac:dyDescent="0.35">
      <c r="A16">
        <v>13</v>
      </c>
      <c r="B16">
        <f>'[1]GABM_R03_Terry_no_fb-data'!$G15</f>
        <v>1000</v>
      </c>
      <c r="C16">
        <f>'[2]GABM_R03_MitchellAPI_no_fb-data'!$G15</f>
        <v>1000</v>
      </c>
      <c r="D16">
        <f>'[3]GABM_R03_NavidAPI_no_fb-data'!$G15</f>
        <v>999</v>
      </c>
      <c r="E16">
        <f>'[4]GABM_R03_RandiAPI_no_fb_runtwo-'!$G15</f>
        <v>999</v>
      </c>
      <c r="F16">
        <f>'[5]GABM_R03_SudipaAPI_no_fb-data'!$G15</f>
        <v>999</v>
      </c>
      <c r="G16">
        <f>'[6]GABM_R03_NavidAPI_no_fb_runtwo-'!$G15</f>
        <v>1000</v>
      </c>
      <c r="H16">
        <f>'[7]GABM_R03_savannah_no_fb-data'!$G15</f>
        <v>1000</v>
      </c>
      <c r="I16">
        <f>'[8]GABM_R03_Terry_no_fb_run_two-da'!$G15</f>
        <v>998</v>
      </c>
      <c r="J16">
        <f>[9]GABM_R03_MitchellAPI_no_fb_runt!$G15</f>
        <v>1000</v>
      </c>
      <c r="K16">
        <f>'[10]R03_GABM_NiyoushaAPI_no_fb-data'!$G15</f>
        <v>1000</v>
      </c>
      <c r="L16">
        <f t="shared" si="3"/>
        <v>999.5</v>
      </c>
      <c r="N16">
        <f t="shared" si="1"/>
        <v>13</v>
      </c>
      <c r="O16">
        <f t="shared" si="4"/>
        <v>1</v>
      </c>
      <c r="P16">
        <f t="shared" si="2"/>
        <v>1</v>
      </c>
      <c r="Q16">
        <f t="shared" si="2"/>
        <v>0.999</v>
      </c>
      <c r="R16">
        <f t="shared" si="2"/>
        <v>0.999</v>
      </c>
      <c r="S16">
        <f t="shared" si="2"/>
        <v>0.999</v>
      </c>
      <c r="T16">
        <f t="shared" si="2"/>
        <v>1</v>
      </c>
      <c r="U16">
        <f t="shared" si="2"/>
        <v>1</v>
      </c>
      <c r="V16">
        <f t="shared" si="2"/>
        <v>0.998</v>
      </c>
      <c r="W16">
        <f t="shared" si="2"/>
        <v>1</v>
      </c>
      <c r="X16">
        <f t="shared" si="2"/>
        <v>1</v>
      </c>
      <c r="Y16">
        <f t="shared" si="2"/>
        <v>0.99950000000000006</v>
      </c>
    </row>
    <row r="17" spans="1:25" x14ac:dyDescent="0.35">
      <c r="A17">
        <v>14</v>
      </c>
      <c r="B17">
        <f>'[1]GABM_R03_Terry_no_fb-data'!$G16</f>
        <v>1000</v>
      </c>
      <c r="C17">
        <f>'[2]GABM_R03_MitchellAPI_no_fb-data'!$G16</f>
        <v>1000</v>
      </c>
      <c r="D17">
        <f>'[3]GABM_R03_NavidAPI_no_fb-data'!$G16</f>
        <v>999</v>
      </c>
      <c r="E17">
        <f>'[4]GABM_R03_RandiAPI_no_fb_runtwo-'!$G16</f>
        <v>999</v>
      </c>
      <c r="F17">
        <f>'[5]GABM_R03_SudipaAPI_no_fb-data'!$G16</f>
        <v>999</v>
      </c>
      <c r="G17">
        <f>'[6]GABM_R03_NavidAPI_no_fb_runtwo-'!$G16</f>
        <v>1000</v>
      </c>
      <c r="H17">
        <f>'[7]GABM_R03_savannah_no_fb-data'!$G16</f>
        <v>1000</v>
      </c>
      <c r="I17">
        <f>'[8]GABM_R03_Terry_no_fb_run_two-da'!$G16</f>
        <v>998</v>
      </c>
      <c r="J17">
        <f>[9]GABM_R03_MitchellAPI_no_fb_runt!$G16</f>
        <v>1000</v>
      </c>
      <c r="K17">
        <f>'[10]R03_GABM_NiyoushaAPI_no_fb-data'!$G16</f>
        <v>1000</v>
      </c>
      <c r="L17">
        <f t="shared" si="3"/>
        <v>999.5</v>
      </c>
      <c r="N17">
        <f t="shared" si="1"/>
        <v>14</v>
      </c>
      <c r="O17">
        <f t="shared" si="4"/>
        <v>1</v>
      </c>
      <c r="P17">
        <f t="shared" si="2"/>
        <v>1</v>
      </c>
      <c r="Q17">
        <f t="shared" si="2"/>
        <v>0.999</v>
      </c>
      <c r="R17">
        <f t="shared" si="2"/>
        <v>0.999</v>
      </c>
      <c r="S17">
        <f t="shared" si="2"/>
        <v>0.999</v>
      </c>
      <c r="T17">
        <f t="shared" si="2"/>
        <v>1</v>
      </c>
      <c r="U17">
        <f t="shared" si="2"/>
        <v>1</v>
      </c>
      <c r="V17">
        <f t="shared" si="2"/>
        <v>0.998</v>
      </c>
      <c r="W17">
        <f t="shared" si="2"/>
        <v>1</v>
      </c>
      <c r="X17">
        <f t="shared" si="2"/>
        <v>1</v>
      </c>
      <c r="Y17">
        <f t="shared" si="2"/>
        <v>0.99950000000000006</v>
      </c>
    </row>
    <row r="18" spans="1:25" x14ac:dyDescent="0.35">
      <c r="A18">
        <v>15</v>
      </c>
      <c r="B18">
        <f>'[1]GABM_R03_Terry_no_fb-data'!$G17</f>
        <v>1000</v>
      </c>
      <c r="C18">
        <f>'[2]GABM_R03_MitchellAPI_no_fb-data'!$G17</f>
        <v>1000</v>
      </c>
      <c r="D18">
        <f>'[3]GABM_R03_NavidAPI_no_fb-data'!$G17</f>
        <v>999</v>
      </c>
      <c r="E18">
        <f>'[4]GABM_R03_RandiAPI_no_fb_runtwo-'!$G17</f>
        <v>999</v>
      </c>
      <c r="F18">
        <f>'[5]GABM_R03_SudipaAPI_no_fb-data'!$G17</f>
        <v>999</v>
      </c>
      <c r="G18">
        <f>'[6]GABM_R03_NavidAPI_no_fb_runtwo-'!$G17</f>
        <v>1000</v>
      </c>
      <c r="H18">
        <f>'[7]GABM_R03_savannah_no_fb-data'!$G17</f>
        <v>1000</v>
      </c>
      <c r="I18">
        <f>'[8]GABM_R03_Terry_no_fb_run_two-da'!$G17</f>
        <v>998</v>
      </c>
      <c r="J18">
        <f>[9]GABM_R03_MitchellAPI_no_fb_runt!$G17</f>
        <v>1000</v>
      </c>
      <c r="K18">
        <f>'[10]R03_GABM_NiyoushaAPI_no_fb-data'!$G17</f>
        <v>1000</v>
      </c>
      <c r="L18">
        <f t="shared" si="3"/>
        <v>999.5</v>
      </c>
      <c r="N18">
        <f t="shared" si="1"/>
        <v>15</v>
      </c>
      <c r="O18">
        <f t="shared" si="4"/>
        <v>1</v>
      </c>
      <c r="P18">
        <f t="shared" si="2"/>
        <v>1</v>
      </c>
      <c r="Q18">
        <f t="shared" si="2"/>
        <v>0.999</v>
      </c>
      <c r="R18">
        <f t="shared" si="2"/>
        <v>0.999</v>
      </c>
      <c r="S18">
        <f t="shared" si="2"/>
        <v>0.999</v>
      </c>
      <c r="T18">
        <f t="shared" si="2"/>
        <v>1</v>
      </c>
      <c r="U18">
        <f t="shared" si="2"/>
        <v>1</v>
      </c>
      <c r="V18">
        <f t="shared" si="2"/>
        <v>0.998</v>
      </c>
      <c r="W18">
        <f t="shared" si="2"/>
        <v>1</v>
      </c>
      <c r="X18">
        <f t="shared" si="2"/>
        <v>1</v>
      </c>
      <c r="Y18">
        <f t="shared" si="2"/>
        <v>0.99950000000000006</v>
      </c>
    </row>
    <row r="19" spans="1:25" x14ac:dyDescent="0.35">
      <c r="A19">
        <v>16</v>
      </c>
      <c r="B19">
        <f>'[1]GABM_R03_Terry_no_fb-data'!$G18</f>
        <v>1000</v>
      </c>
      <c r="C19">
        <f>'[2]GABM_R03_MitchellAPI_no_fb-data'!$G18</f>
        <v>1000</v>
      </c>
      <c r="D19">
        <f>'[3]GABM_R03_NavidAPI_no_fb-data'!$G18</f>
        <v>999</v>
      </c>
      <c r="E19">
        <f>'[4]GABM_R03_RandiAPI_no_fb_runtwo-'!$G18</f>
        <v>999</v>
      </c>
      <c r="F19">
        <f>'[5]GABM_R03_SudipaAPI_no_fb-data'!$G18</f>
        <v>999</v>
      </c>
      <c r="G19">
        <f>'[6]GABM_R03_NavidAPI_no_fb_runtwo-'!$G18</f>
        <v>1000</v>
      </c>
      <c r="H19">
        <f>'[7]GABM_R03_savannah_no_fb-data'!$G18</f>
        <v>1000</v>
      </c>
      <c r="I19">
        <f>'[8]GABM_R03_Terry_no_fb_run_two-da'!$G18</f>
        <v>998</v>
      </c>
      <c r="J19">
        <f>[9]GABM_R03_MitchellAPI_no_fb_runt!$G18</f>
        <v>1000</v>
      </c>
      <c r="K19">
        <f>'[10]R03_GABM_NiyoushaAPI_no_fb-data'!$G18</f>
        <v>999</v>
      </c>
      <c r="L19">
        <f t="shared" si="3"/>
        <v>999.4</v>
      </c>
      <c r="N19">
        <f t="shared" si="1"/>
        <v>16</v>
      </c>
      <c r="O19">
        <f t="shared" si="4"/>
        <v>1</v>
      </c>
      <c r="P19">
        <f t="shared" ref="P19:P29" si="5">C19/1000</f>
        <v>1</v>
      </c>
      <c r="Q19">
        <f t="shared" ref="Q19:Q29" si="6">D19/1000</f>
        <v>0.999</v>
      </c>
      <c r="R19">
        <f t="shared" ref="R19:R29" si="7">E19/1000</f>
        <v>0.999</v>
      </c>
      <c r="S19">
        <f t="shared" ref="S19:S29" si="8">F19/1000</f>
        <v>0.999</v>
      </c>
      <c r="T19">
        <f t="shared" ref="T19:T29" si="9">G19/1000</f>
        <v>1</v>
      </c>
      <c r="U19">
        <f t="shared" ref="U19:U29" si="10">H19/1000</f>
        <v>1</v>
      </c>
      <c r="V19">
        <f t="shared" ref="V19:V29" si="11">I19/1000</f>
        <v>0.998</v>
      </c>
      <c r="W19">
        <f t="shared" ref="W19:W29" si="12">J19/1000</f>
        <v>1</v>
      </c>
      <c r="X19">
        <f t="shared" ref="X19:X29" si="13">K19/1000</f>
        <v>0.999</v>
      </c>
      <c r="Y19">
        <f t="shared" ref="Y19:Y29" si="14">L19/1000</f>
        <v>0.99939999999999996</v>
      </c>
    </row>
    <row r="20" spans="1:25" x14ac:dyDescent="0.35">
      <c r="A20">
        <v>17</v>
      </c>
      <c r="B20">
        <f>'[1]GABM_R03_Terry_no_fb-data'!$G19</f>
        <v>1000</v>
      </c>
      <c r="C20">
        <f>'[2]GABM_R03_MitchellAPI_no_fb-data'!$G19</f>
        <v>1000</v>
      </c>
      <c r="D20">
        <f>'[3]GABM_R03_NavidAPI_no_fb-data'!$G19</f>
        <v>999</v>
      </c>
      <c r="E20">
        <f>'[4]GABM_R03_RandiAPI_no_fb_runtwo-'!$G19</f>
        <v>999</v>
      </c>
      <c r="F20">
        <f>'[5]GABM_R03_SudipaAPI_no_fb-data'!$G19</f>
        <v>999</v>
      </c>
      <c r="G20">
        <f>'[6]GABM_R03_NavidAPI_no_fb_runtwo-'!$G19</f>
        <v>1000</v>
      </c>
      <c r="H20">
        <f>'[7]GABM_R03_savannah_no_fb-data'!$G19</f>
        <v>1000</v>
      </c>
      <c r="I20">
        <f>'[8]GABM_R03_Terry_no_fb_run_two-da'!$G19</f>
        <v>998</v>
      </c>
      <c r="J20">
        <f>[9]GABM_R03_MitchellAPI_no_fb_runt!$G19</f>
        <v>1000</v>
      </c>
      <c r="K20">
        <f>'[10]R03_GABM_NiyoushaAPI_no_fb-data'!$G19</f>
        <v>1000</v>
      </c>
      <c r="L20">
        <f t="shared" si="3"/>
        <v>999.5</v>
      </c>
      <c r="N20">
        <f t="shared" si="1"/>
        <v>17</v>
      </c>
      <c r="O20">
        <f t="shared" si="4"/>
        <v>1</v>
      </c>
      <c r="P20">
        <f t="shared" si="5"/>
        <v>1</v>
      </c>
      <c r="Q20">
        <f t="shared" si="6"/>
        <v>0.999</v>
      </c>
      <c r="R20">
        <f t="shared" si="7"/>
        <v>0.999</v>
      </c>
      <c r="S20">
        <f t="shared" si="8"/>
        <v>0.999</v>
      </c>
      <c r="T20">
        <f t="shared" si="9"/>
        <v>1</v>
      </c>
      <c r="U20">
        <f t="shared" si="10"/>
        <v>1</v>
      </c>
      <c r="V20">
        <f t="shared" si="11"/>
        <v>0.998</v>
      </c>
      <c r="W20">
        <f t="shared" si="12"/>
        <v>1</v>
      </c>
      <c r="X20">
        <f t="shared" si="13"/>
        <v>1</v>
      </c>
      <c r="Y20">
        <f t="shared" si="14"/>
        <v>0.99950000000000006</v>
      </c>
    </row>
    <row r="21" spans="1:25" x14ac:dyDescent="0.35">
      <c r="A21">
        <v>18</v>
      </c>
      <c r="B21">
        <f>'[1]GABM_R03_Terry_no_fb-data'!$G20</f>
        <v>1000</v>
      </c>
      <c r="C21">
        <f>'[2]GABM_R03_MitchellAPI_no_fb-data'!$G20</f>
        <v>1000</v>
      </c>
      <c r="D21">
        <f>'[3]GABM_R03_NavidAPI_no_fb-data'!$G20</f>
        <v>999</v>
      </c>
      <c r="E21">
        <f>'[4]GABM_R03_RandiAPI_no_fb_runtwo-'!$G20</f>
        <v>999</v>
      </c>
      <c r="F21">
        <f>'[5]GABM_R03_SudipaAPI_no_fb-data'!$G20</f>
        <v>999</v>
      </c>
      <c r="G21">
        <f>'[6]GABM_R03_NavidAPI_no_fb_runtwo-'!$G20</f>
        <v>1000</v>
      </c>
      <c r="H21">
        <f>'[7]GABM_R03_savannah_no_fb-data'!$G20</f>
        <v>1000</v>
      </c>
      <c r="I21">
        <f>'[8]GABM_R03_Terry_no_fb_run_two-da'!$G20</f>
        <v>998</v>
      </c>
      <c r="J21">
        <f>[9]GABM_R03_MitchellAPI_no_fb_runt!$G20</f>
        <v>1000</v>
      </c>
      <c r="K21">
        <f>'[10]R03_GABM_NiyoushaAPI_no_fb-data'!$G20</f>
        <v>1000</v>
      </c>
      <c r="L21">
        <f t="shared" si="3"/>
        <v>999.5</v>
      </c>
      <c r="N21">
        <f t="shared" si="1"/>
        <v>18</v>
      </c>
      <c r="O21">
        <f t="shared" si="4"/>
        <v>1</v>
      </c>
      <c r="P21">
        <f t="shared" si="5"/>
        <v>1</v>
      </c>
      <c r="Q21">
        <f t="shared" si="6"/>
        <v>0.999</v>
      </c>
      <c r="R21">
        <f t="shared" si="7"/>
        <v>0.999</v>
      </c>
      <c r="S21">
        <f t="shared" si="8"/>
        <v>0.999</v>
      </c>
      <c r="T21">
        <f t="shared" si="9"/>
        <v>1</v>
      </c>
      <c r="U21">
        <f t="shared" si="10"/>
        <v>1</v>
      </c>
      <c r="V21">
        <f t="shared" si="11"/>
        <v>0.998</v>
      </c>
      <c r="W21">
        <f t="shared" si="12"/>
        <v>1</v>
      </c>
      <c r="X21">
        <f t="shared" si="13"/>
        <v>1</v>
      </c>
      <c r="Y21">
        <f t="shared" si="14"/>
        <v>0.99950000000000006</v>
      </c>
    </row>
    <row r="22" spans="1:25" x14ac:dyDescent="0.35">
      <c r="A22">
        <v>19</v>
      </c>
      <c r="B22">
        <f>'[1]GABM_R03_Terry_no_fb-data'!$G21</f>
        <v>1000</v>
      </c>
      <c r="C22">
        <f>'[2]GABM_R03_MitchellAPI_no_fb-data'!$G21</f>
        <v>1000</v>
      </c>
      <c r="D22">
        <f>'[3]GABM_R03_NavidAPI_no_fb-data'!$G21</f>
        <v>999</v>
      </c>
      <c r="E22">
        <f>'[4]GABM_R03_RandiAPI_no_fb_runtwo-'!$G21</f>
        <v>999</v>
      </c>
      <c r="F22">
        <f>'[5]GABM_R03_SudipaAPI_no_fb-data'!$G21</f>
        <v>999</v>
      </c>
      <c r="G22">
        <f>'[6]GABM_R03_NavidAPI_no_fb_runtwo-'!$G21</f>
        <v>1000</v>
      </c>
      <c r="H22">
        <f>'[7]GABM_R03_savannah_no_fb-data'!$G21</f>
        <v>1000</v>
      </c>
      <c r="I22">
        <f>'[8]GABM_R03_Terry_no_fb_run_two-da'!$G21</f>
        <v>999</v>
      </c>
      <c r="J22">
        <f>[9]GABM_R03_MitchellAPI_no_fb_runt!$G21</f>
        <v>1000</v>
      </c>
      <c r="K22">
        <f>'[10]R03_GABM_NiyoushaAPI_no_fb-data'!$G21</f>
        <v>1000</v>
      </c>
      <c r="L22">
        <f t="shared" si="3"/>
        <v>999.6</v>
      </c>
      <c r="N22">
        <f t="shared" si="1"/>
        <v>19</v>
      </c>
      <c r="O22">
        <f t="shared" si="4"/>
        <v>1</v>
      </c>
      <c r="P22">
        <f t="shared" si="5"/>
        <v>1</v>
      </c>
      <c r="Q22">
        <f t="shared" si="6"/>
        <v>0.999</v>
      </c>
      <c r="R22">
        <f t="shared" si="7"/>
        <v>0.999</v>
      </c>
      <c r="S22">
        <f t="shared" si="8"/>
        <v>0.999</v>
      </c>
      <c r="T22">
        <f t="shared" si="9"/>
        <v>1</v>
      </c>
      <c r="U22">
        <f t="shared" si="10"/>
        <v>1</v>
      </c>
      <c r="V22">
        <f t="shared" si="11"/>
        <v>0.999</v>
      </c>
      <c r="W22">
        <f t="shared" si="12"/>
        <v>1</v>
      </c>
      <c r="X22">
        <f t="shared" si="13"/>
        <v>1</v>
      </c>
      <c r="Y22">
        <f t="shared" si="14"/>
        <v>0.99960000000000004</v>
      </c>
    </row>
    <row r="23" spans="1:25" x14ac:dyDescent="0.35">
      <c r="A23">
        <v>20</v>
      </c>
      <c r="B23">
        <f>'[1]GABM_R03_Terry_no_fb-data'!$G22</f>
        <v>1000</v>
      </c>
      <c r="C23">
        <f>'[2]GABM_R03_MitchellAPI_no_fb-data'!$G22</f>
        <v>1000</v>
      </c>
      <c r="D23">
        <f>'[3]GABM_R03_NavidAPI_no_fb-data'!$G22</f>
        <v>999</v>
      </c>
      <c r="E23">
        <f>'[4]GABM_R03_RandiAPI_no_fb_runtwo-'!$G22</f>
        <v>998</v>
      </c>
      <c r="F23">
        <f>'[5]GABM_R03_SudipaAPI_no_fb-data'!$G22</f>
        <v>998</v>
      </c>
      <c r="G23">
        <f>'[6]GABM_R03_NavidAPI_no_fb_runtwo-'!$G22</f>
        <v>1000</v>
      </c>
      <c r="H23">
        <f>'[7]GABM_R03_savannah_no_fb-data'!$G22</f>
        <v>1000</v>
      </c>
      <c r="I23">
        <f>'[8]GABM_R03_Terry_no_fb_run_two-da'!$G22</f>
        <v>998</v>
      </c>
      <c r="J23">
        <f>[9]GABM_R03_MitchellAPI_no_fb_runt!$G22</f>
        <v>1000</v>
      </c>
      <c r="K23">
        <f>'[10]R03_GABM_NiyoushaAPI_no_fb-data'!$G22</f>
        <v>1000</v>
      </c>
      <c r="L23">
        <f t="shared" si="3"/>
        <v>999.3</v>
      </c>
      <c r="N23">
        <f t="shared" si="1"/>
        <v>20</v>
      </c>
      <c r="O23">
        <f t="shared" si="4"/>
        <v>1</v>
      </c>
      <c r="P23">
        <f t="shared" si="5"/>
        <v>1</v>
      </c>
      <c r="Q23">
        <f t="shared" si="6"/>
        <v>0.999</v>
      </c>
      <c r="R23">
        <f t="shared" si="7"/>
        <v>0.998</v>
      </c>
      <c r="S23">
        <f t="shared" si="8"/>
        <v>0.998</v>
      </c>
      <c r="T23">
        <f t="shared" si="9"/>
        <v>1</v>
      </c>
      <c r="U23">
        <f t="shared" si="10"/>
        <v>1</v>
      </c>
      <c r="V23">
        <f t="shared" si="11"/>
        <v>0.998</v>
      </c>
      <c r="W23">
        <f t="shared" si="12"/>
        <v>1</v>
      </c>
      <c r="X23">
        <f t="shared" si="13"/>
        <v>1</v>
      </c>
      <c r="Y23">
        <f t="shared" si="14"/>
        <v>0.99929999999999997</v>
      </c>
    </row>
    <row r="24" spans="1:25" x14ac:dyDescent="0.35">
      <c r="A24">
        <v>21</v>
      </c>
      <c r="B24">
        <f>'[1]GABM_R03_Terry_no_fb-data'!$G23</f>
        <v>1000</v>
      </c>
      <c r="C24">
        <f>'[2]GABM_R03_MitchellAPI_no_fb-data'!$G23</f>
        <v>1000</v>
      </c>
      <c r="D24">
        <f>'[3]GABM_R03_NavidAPI_no_fb-data'!$G23</f>
        <v>999</v>
      </c>
      <c r="E24">
        <f>'[4]GABM_R03_RandiAPI_no_fb_runtwo-'!$G23</f>
        <v>999</v>
      </c>
      <c r="F24">
        <f>'[5]GABM_R03_SudipaAPI_no_fb-data'!$G23</f>
        <v>999</v>
      </c>
      <c r="G24">
        <f>'[6]GABM_R03_NavidAPI_no_fb_runtwo-'!$G23</f>
        <v>1000</v>
      </c>
      <c r="H24">
        <f>'[7]GABM_R03_savannah_no_fb-data'!$G23</f>
        <v>1000</v>
      </c>
      <c r="I24">
        <f>'[8]GABM_R03_Terry_no_fb_run_two-da'!$G23</f>
        <v>998</v>
      </c>
      <c r="J24">
        <f>[9]GABM_R03_MitchellAPI_no_fb_runt!$G23</f>
        <v>1000</v>
      </c>
      <c r="K24">
        <f>'[10]R03_GABM_NiyoushaAPI_no_fb-data'!$G23</f>
        <v>1000</v>
      </c>
      <c r="L24">
        <f t="shared" si="3"/>
        <v>999.5</v>
      </c>
      <c r="N24">
        <f t="shared" si="1"/>
        <v>21</v>
      </c>
      <c r="O24">
        <f t="shared" si="4"/>
        <v>1</v>
      </c>
      <c r="P24">
        <f t="shared" si="5"/>
        <v>1</v>
      </c>
      <c r="Q24">
        <f t="shared" si="6"/>
        <v>0.999</v>
      </c>
      <c r="R24">
        <f t="shared" si="7"/>
        <v>0.999</v>
      </c>
      <c r="S24">
        <f t="shared" si="8"/>
        <v>0.999</v>
      </c>
      <c r="T24">
        <f t="shared" si="9"/>
        <v>1</v>
      </c>
      <c r="U24">
        <f t="shared" si="10"/>
        <v>1</v>
      </c>
      <c r="V24">
        <f t="shared" si="11"/>
        <v>0.998</v>
      </c>
      <c r="W24">
        <f t="shared" si="12"/>
        <v>1</v>
      </c>
      <c r="X24">
        <f t="shared" si="13"/>
        <v>1</v>
      </c>
      <c r="Y24">
        <f t="shared" si="14"/>
        <v>0.99950000000000006</v>
      </c>
    </row>
    <row r="25" spans="1:25" x14ac:dyDescent="0.35">
      <c r="A25">
        <v>22</v>
      </c>
      <c r="B25">
        <f>'[1]GABM_R03_Terry_no_fb-data'!$G24</f>
        <v>1000</v>
      </c>
      <c r="C25">
        <f>'[2]GABM_R03_MitchellAPI_no_fb-data'!$G24</f>
        <v>1000</v>
      </c>
      <c r="D25">
        <f>'[3]GABM_R03_NavidAPI_no_fb-data'!$G24</f>
        <v>999</v>
      </c>
      <c r="E25">
        <f>'[4]GABM_R03_RandiAPI_no_fb_runtwo-'!$G24</f>
        <v>999</v>
      </c>
      <c r="F25">
        <f>'[5]GABM_R03_SudipaAPI_no_fb-data'!$G24</f>
        <v>998</v>
      </c>
      <c r="G25">
        <f>'[6]GABM_R03_NavidAPI_no_fb_runtwo-'!$G24</f>
        <v>1000</v>
      </c>
      <c r="H25">
        <f>'[7]GABM_R03_savannah_no_fb-data'!$G24</f>
        <v>1000</v>
      </c>
      <c r="I25">
        <f>'[8]GABM_R03_Terry_no_fb_run_two-da'!$G24</f>
        <v>998</v>
      </c>
      <c r="J25">
        <f>[9]GABM_R03_MitchellAPI_no_fb_runt!$G24</f>
        <v>1000</v>
      </c>
      <c r="K25">
        <f>'[10]R03_GABM_NiyoushaAPI_no_fb-data'!$G24</f>
        <v>1000</v>
      </c>
      <c r="L25">
        <f t="shared" si="3"/>
        <v>999.4</v>
      </c>
      <c r="N25">
        <f t="shared" si="1"/>
        <v>22</v>
      </c>
      <c r="O25">
        <f t="shared" si="4"/>
        <v>1</v>
      </c>
      <c r="P25">
        <f t="shared" si="5"/>
        <v>1</v>
      </c>
      <c r="Q25">
        <f t="shared" si="6"/>
        <v>0.999</v>
      </c>
      <c r="R25">
        <f t="shared" si="7"/>
        <v>0.999</v>
      </c>
      <c r="S25">
        <f t="shared" si="8"/>
        <v>0.998</v>
      </c>
      <c r="T25">
        <f t="shared" si="9"/>
        <v>1</v>
      </c>
      <c r="U25">
        <f t="shared" si="10"/>
        <v>1</v>
      </c>
      <c r="V25">
        <f t="shared" si="11"/>
        <v>0.998</v>
      </c>
      <c r="W25">
        <f t="shared" si="12"/>
        <v>1</v>
      </c>
      <c r="X25">
        <f t="shared" si="13"/>
        <v>1</v>
      </c>
      <c r="Y25">
        <f t="shared" si="14"/>
        <v>0.99939999999999996</v>
      </c>
    </row>
    <row r="26" spans="1:25" x14ac:dyDescent="0.35">
      <c r="A26">
        <v>23</v>
      </c>
      <c r="B26" s="4">
        <v>1000</v>
      </c>
      <c r="C26">
        <f>'[2]GABM_R03_MitchellAPI_no_fb-data'!$G25</f>
        <v>1000</v>
      </c>
      <c r="D26">
        <f>'[3]GABM_R03_NavidAPI_no_fb-data'!$G25</f>
        <v>999</v>
      </c>
      <c r="E26">
        <f>'[4]GABM_R03_RandiAPI_no_fb_runtwo-'!$G25</f>
        <v>999</v>
      </c>
      <c r="F26">
        <f>'[5]GABM_R03_SudipaAPI_no_fb-data'!$G25</f>
        <v>998</v>
      </c>
      <c r="G26">
        <f>'[6]GABM_R03_NavidAPI_no_fb_runtwo-'!$G25</f>
        <v>1000</v>
      </c>
      <c r="H26">
        <f>'[7]GABM_R03_savannah_no_fb-data'!$G25</f>
        <v>1000</v>
      </c>
      <c r="I26">
        <f>'[8]GABM_R03_Terry_no_fb_run_two-da'!$G25</f>
        <v>998</v>
      </c>
      <c r="J26">
        <f>[9]GABM_R03_MitchellAPI_no_fb_runt!$G25</f>
        <v>1000</v>
      </c>
      <c r="K26" s="4">
        <v>1000</v>
      </c>
      <c r="L26">
        <f t="shared" si="3"/>
        <v>999.4</v>
      </c>
      <c r="N26">
        <f t="shared" si="1"/>
        <v>23</v>
      </c>
      <c r="O26">
        <f t="shared" si="4"/>
        <v>1</v>
      </c>
      <c r="P26">
        <f t="shared" si="5"/>
        <v>1</v>
      </c>
      <c r="Q26">
        <f t="shared" si="6"/>
        <v>0.999</v>
      </c>
      <c r="R26">
        <f t="shared" si="7"/>
        <v>0.999</v>
      </c>
      <c r="S26">
        <f t="shared" si="8"/>
        <v>0.998</v>
      </c>
      <c r="T26">
        <f t="shared" si="9"/>
        <v>1</v>
      </c>
      <c r="U26">
        <f t="shared" si="10"/>
        <v>1</v>
      </c>
      <c r="V26">
        <f t="shared" si="11"/>
        <v>0.998</v>
      </c>
      <c r="W26">
        <f t="shared" si="12"/>
        <v>1</v>
      </c>
      <c r="X26">
        <f t="shared" si="13"/>
        <v>1</v>
      </c>
      <c r="Y26">
        <f t="shared" si="14"/>
        <v>0.99939999999999996</v>
      </c>
    </row>
    <row r="27" spans="1:25" x14ac:dyDescent="0.35">
      <c r="A27">
        <v>24</v>
      </c>
      <c r="B27" s="4">
        <v>1000</v>
      </c>
      <c r="C27">
        <f>'[2]GABM_R03_MitchellAPI_no_fb-data'!$G26</f>
        <v>1000</v>
      </c>
      <c r="D27">
        <f>'[3]GABM_R03_NavidAPI_no_fb-data'!$G26</f>
        <v>999</v>
      </c>
      <c r="E27" s="4">
        <v>1000</v>
      </c>
      <c r="F27">
        <f>'[5]GABM_R03_SudipaAPI_no_fb-data'!$G26</f>
        <v>998</v>
      </c>
      <c r="G27" s="4">
        <v>1000</v>
      </c>
      <c r="H27">
        <f>'[7]GABM_R03_savannah_no_fb-data'!$G26</f>
        <v>1000</v>
      </c>
      <c r="I27">
        <f>'[8]GABM_R03_Terry_no_fb_run_two-da'!$G26</f>
        <v>998</v>
      </c>
      <c r="J27">
        <f>[9]GABM_R03_MitchellAPI_no_fb_runt!$G26</f>
        <v>1000</v>
      </c>
      <c r="K27" s="4">
        <v>1000</v>
      </c>
      <c r="L27">
        <f t="shared" si="3"/>
        <v>999.5</v>
      </c>
      <c r="N27">
        <f t="shared" si="1"/>
        <v>24</v>
      </c>
      <c r="O27">
        <f t="shared" si="4"/>
        <v>1</v>
      </c>
      <c r="P27">
        <f t="shared" si="5"/>
        <v>1</v>
      </c>
      <c r="Q27">
        <f t="shared" si="6"/>
        <v>0.999</v>
      </c>
      <c r="R27">
        <f t="shared" si="7"/>
        <v>1</v>
      </c>
      <c r="S27">
        <f t="shared" si="8"/>
        <v>0.998</v>
      </c>
      <c r="T27">
        <f t="shared" si="9"/>
        <v>1</v>
      </c>
      <c r="U27">
        <f t="shared" si="10"/>
        <v>1</v>
      </c>
      <c r="V27">
        <f t="shared" si="11"/>
        <v>0.998</v>
      </c>
      <c r="W27">
        <f t="shared" si="12"/>
        <v>1</v>
      </c>
      <c r="X27">
        <f t="shared" si="13"/>
        <v>1</v>
      </c>
      <c r="Y27">
        <f t="shared" si="14"/>
        <v>0.99950000000000006</v>
      </c>
    </row>
    <row r="28" spans="1:25" x14ac:dyDescent="0.35">
      <c r="A28">
        <v>25</v>
      </c>
      <c r="B28" s="4">
        <v>1000</v>
      </c>
      <c r="C28" s="4">
        <v>1000</v>
      </c>
      <c r="D28">
        <f>'[3]GABM_R03_NavidAPI_no_fb-data'!$G27</f>
        <v>999</v>
      </c>
      <c r="E28" s="4">
        <v>1000</v>
      </c>
      <c r="F28">
        <f>'[5]GABM_R03_SudipaAPI_no_fb-data'!$G27</f>
        <v>998</v>
      </c>
      <c r="G28" s="4">
        <v>1000</v>
      </c>
      <c r="H28">
        <f>'[7]GABM_R03_savannah_no_fb-data'!$G27</f>
        <v>1000</v>
      </c>
      <c r="I28">
        <f>'[8]GABM_R03_Terry_no_fb_run_two-da'!$G27</f>
        <v>998</v>
      </c>
      <c r="J28" s="4">
        <v>1000</v>
      </c>
      <c r="K28" s="4">
        <v>1000</v>
      </c>
      <c r="L28">
        <f t="shared" si="3"/>
        <v>999.5</v>
      </c>
      <c r="N28">
        <f t="shared" si="1"/>
        <v>25</v>
      </c>
      <c r="O28">
        <f t="shared" si="4"/>
        <v>1</v>
      </c>
      <c r="P28">
        <f t="shared" si="5"/>
        <v>1</v>
      </c>
      <c r="Q28">
        <f t="shared" si="6"/>
        <v>0.999</v>
      </c>
      <c r="R28">
        <f t="shared" si="7"/>
        <v>1</v>
      </c>
      <c r="S28">
        <f t="shared" si="8"/>
        <v>0.998</v>
      </c>
      <c r="T28">
        <f t="shared" si="9"/>
        <v>1</v>
      </c>
      <c r="U28">
        <f t="shared" si="10"/>
        <v>1</v>
      </c>
      <c r="V28">
        <f t="shared" si="11"/>
        <v>0.998</v>
      </c>
      <c r="W28">
        <f t="shared" si="12"/>
        <v>1</v>
      </c>
      <c r="X28">
        <f t="shared" si="13"/>
        <v>1</v>
      </c>
      <c r="Y28">
        <f t="shared" si="14"/>
        <v>0.99950000000000006</v>
      </c>
    </row>
    <row r="29" spans="1:25" x14ac:dyDescent="0.35">
      <c r="A29">
        <v>26</v>
      </c>
      <c r="B29" s="4">
        <v>1000</v>
      </c>
      <c r="C29" s="4">
        <v>1000</v>
      </c>
      <c r="D29" s="4">
        <v>1000</v>
      </c>
      <c r="E29" s="4">
        <v>1000</v>
      </c>
      <c r="F29">
        <f>'[5]GABM_R03_SudipaAPI_no_fb-data'!$G28</f>
        <v>1000</v>
      </c>
      <c r="G29" s="4">
        <v>1000</v>
      </c>
      <c r="H29" s="4">
        <v>1000</v>
      </c>
      <c r="I29" s="4">
        <v>1000</v>
      </c>
      <c r="J29" s="4">
        <v>1000</v>
      </c>
      <c r="K29" s="4">
        <v>1000</v>
      </c>
      <c r="L29">
        <f t="shared" si="3"/>
        <v>1000</v>
      </c>
      <c r="N29">
        <f t="shared" si="1"/>
        <v>26</v>
      </c>
      <c r="O29">
        <f t="shared" si="4"/>
        <v>1</v>
      </c>
      <c r="P29">
        <f t="shared" si="5"/>
        <v>1</v>
      </c>
      <c r="Q29">
        <f t="shared" si="6"/>
        <v>1</v>
      </c>
      <c r="R29">
        <f t="shared" si="7"/>
        <v>1</v>
      </c>
      <c r="S29">
        <f t="shared" si="8"/>
        <v>1</v>
      </c>
      <c r="T29">
        <f t="shared" si="9"/>
        <v>1</v>
      </c>
      <c r="U29">
        <f t="shared" si="10"/>
        <v>1</v>
      </c>
      <c r="V29">
        <f t="shared" si="11"/>
        <v>1</v>
      </c>
      <c r="W29">
        <f t="shared" si="12"/>
        <v>1</v>
      </c>
      <c r="X29">
        <f t="shared" si="13"/>
        <v>1</v>
      </c>
      <c r="Y29">
        <f t="shared" si="14"/>
        <v>1</v>
      </c>
    </row>
    <row r="31" spans="1:25" x14ac:dyDescent="0.35">
      <c r="N31" t="s">
        <v>25</v>
      </c>
      <c r="O31">
        <f>AVERAGE(O4:O28)</f>
        <v>1</v>
      </c>
      <c r="P31">
        <f t="shared" ref="P31:X31" si="15">AVERAGE(P4:P28)</f>
        <v>1</v>
      </c>
      <c r="Q31">
        <f t="shared" si="15"/>
        <v>0.99899999999999978</v>
      </c>
      <c r="R31">
        <f t="shared" si="15"/>
        <v>0.99903999999999993</v>
      </c>
      <c r="S31">
        <f t="shared" si="15"/>
        <v>0.99872000000000016</v>
      </c>
      <c r="T31">
        <f t="shared" si="15"/>
        <v>1</v>
      </c>
      <c r="U31">
        <f t="shared" si="15"/>
        <v>1</v>
      </c>
      <c r="V31">
        <f t="shared" si="15"/>
        <v>0.99796000000000007</v>
      </c>
      <c r="W31">
        <f t="shared" si="15"/>
        <v>1</v>
      </c>
      <c r="X31">
        <f t="shared" si="15"/>
        <v>0.99984000000000006</v>
      </c>
    </row>
    <row r="32" spans="1:25" x14ac:dyDescent="0.35">
      <c r="C32">
        <v>270</v>
      </c>
      <c r="D32">
        <v>21</v>
      </c>
    </row>
    <row r="33" spans="1:15" x14ac:dyDescent="0.35">
      <c r="D33">
        <f>C32-D32</f>
        <v>249</v>
      </c>
      <c r="N33" t="s">
        <v>26</v>
      </c>
      <c r="O33">
        <f>AVERAGE(O31:X31)</f>
        <v>0.99945600000000012</v>
      </c>
    </row>
    <row r="34" spans="1:15" x14ac:dyDescent="0.35">
      <c r="B34" t="s">
        <v>40</v>
      </c>
      <c r="D34">
        <f>D33/10</f>
        <v>24.9</v>
      </c>
      <c r="N34" t="s">
        <v>28</v>
      </c>
      <c r="O34">
        <f>MIN(O31:X31)</f>
        <v>0.99796000000000007</v>
      </c>
    </row>
    <row r="35" spans="1:15" x14ac:dyDescent="0.35">
      <c r="N35" t="s">
        <v>27</v>
      </c>
      <c r="O35">
        <f>MAX(O31:X31)</f>
        <v>1</v>
      </c>
    </row>
    <row r="37" spans="1:15" x14ac:dyDescent="0.35">
      <c r="A37" t="s">
        <v>48</v>
      </c>
      <c r="B37">
        <f>23-1</f>
        <v>22</v>
      </c>
      <c r="C37">
        <f>25-1</f>
        <v>24</v>
      </c>
      <c r="D37">
        <v>25</v>
      </c>
      <c r="E37">
        <v>23</v>
      </c>
      <c r="F37">
        <v>26</v>
      </c>
      <c r="G37">
        <v>23</v>
      </c>
      <c r="H37">
        <v>25</v>
      </c>
      <c r="I37">
        <v>25</v>
      </c>
      <c r="J37">
        <v>24</v>
      </c>
      <c r="K37">
        <v>22</v>
      </c>
    </row>
    <row r="38" spans="1:15" x14ac:dyDescent="0.35">
      <c r="N38" t="s">
        <v>53</v>
      </c>
      <c r="O38">
        <f>MEDIAN(O31:X31)</f>
        <v>0.99992000000000003</v>
      </c>
    </row>
    <row r="39" spans="1:15" x14ac:dyDescent="0.35">
      <c r="A39" t="s">
        <v>44</v>
      </c>
      <c r="N39" t="s">
        <v>54</v>
      </c>
      <c r="O39">
        <f>S31</f>
        <v>0.99872000000000016</v>
      </c>
    </row>
    <row r="40" spans="1:15" x14ac:dyDescent="0.35">
      <c r="A40" s="5">
        <v>0.1</v>
      </c>
      <c r="N40" t="s">
        <v>55</v>
      </c>
      <c r="O40">
        <f>O31</f>
        <v>1</v>
      </c>
    </row>
    <row r="41" spans="1:15" x14ac:dyDescent="0.35">
      <c r="A41" t="s">
        <v>49</v>
      </c>
    </row>
  </sheetData>
  <mergeCells count="2">
    <mergeCell ref="A1:L1"/>
    <mergeCell ref="N1:Y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08B3B-94CA-4C5B-8473-CE0D80307612}">
  <dimension ref="A1:Y52"/>
  <sheetViews>
    <sheetView workbookViewId="0">
      <selection activeCell="N46" sqref="N46:O48"/>
    </sheetView>
  </sheetViews>
  <sheetFormatPr defaultRowHeight="14.5" x14ac:dyDescent="0.35"/>
  <cols>
    <col min="19" max="19" width="9.1796875" customWidth="1"/>
    <col min="20" max="20" width="12.81640625" customWidth="1"/>
  </cols>
  <sheetData>
    <row r="1" spans="1:25" x14ac:dyDescent="0.35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N1" s="7" t="s">
        <v>14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x14ac:dyDescent="0.35">
      <c r="A2" t="s">
        <v>10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12</v>
      </c>
      <c r="N2" t="str">
        <f>A2</f>
        <v>Time Step</v>
      </c>
      <c r="O2" t="str">
        <f t="shared" ref="O2:Y2" si="0">B2</f>
        <v>Run 1</v>
      </c>
      <c r="P2" t="str">
        <f t="shared" si="0"/>
        <v>Run 2</v>
      </c>
      <c r="Q2" t="str">
        <f t="shared" si="0"/>
        <v>Run 3</v>
      </c>
      <c r="R2" t="str">
        <f t="shared" si="0"/>
        <v>Run 4</v>
      </c>
      <c r="S2" t="str">
        <f t="shared" si="0"/>
        <v>Run 5</v>
      </c>
      <c r="T2" t="str">
        <f t="shared" si="0"/>
        <v>Run 6</v>
      </c>
      <c r="U2" t="str">
        <f t="shared" si="0"/>
        <v>Run 7</v>
      </c>
      <c r="V2" t="str">
        <f t="shared" si="0"/>
        <v>Run 8</v>
      </c>
      <c r="W2" t="str">
        <f t="shared" si="0"/>
        <v>Run 9</v>
      </c>
      <c r="X2" t="str">
        <f t="shared" si="0"/>
        <v>Run 10</v>
      </c>
      <c r="Y2" t="str">
        <f t="shared" si="0"/>
        <v>Average</v>
      </c>
    </row>
    <row r="3" spans="1:25" x14ac:dyDescent="0.35">
      <c r="A3">
        <v>0</v>
      </c>
      <c r="B3">
        <f>'[11]GABM_R03_NavidAPI_sf_fb-data'!$G2</f>
        <v>1000</v>
      </c>
      <c r="C3">
        <f>'[12]GABM_R03_savannah_sf_fb-data'!$G2</f>
        <v>1000</v>
      </c>
      <c r="D3">
        <f>'[13]GABM_R03_MitchellAPI_sf_fb-data'!$G2</f>
        <v>1000</v>
      </c>
      <c r="E3">
        <f>'[14]GABM_R03_RandiAPI_sf_fb-data'!$G2</f>
        <v>1000</v>
      </c>
      <c r="F3">
        <f>'[15]GABM_R03_Terry_sf_fb-data'!$G2</f>
        <v>1000</v>
      </c>
      <c r="G3">
        <f>'[16]R03_GABM_NiyoushaAPI_sf_fb-data'!$G2</f>
        <v>1000</v>
      </c>
      <c r="H3">
        <f>'[17]GABM_R03_SudipaAPI_sf_fb-data'!$G2</f>
        <v>1000</v>
      </c>
      <c r="I3">
        <f>'[18]GABM_R03_Terry_sf_fb_2-data'!$G2</f>
        <v>1000</v>
      </c>
      <c r="J3">
        <f>'[19]GABM_R03_NavidAPI_sf_fb_2-data'!$G2</f>
        <v>1000</v>
      </c>
      <c r="K3">
        <f>'[20]R03_GABM_NiyoushaAPI_sf_fb_2-da'!$G2</f>
        <v>1000</v>
      </c>
      <c r="L3">
        <f>AVERAGE(B3:K3)</f>
        <v>1000</v>
      </c>
      <c r="N3">
        <f t="shared" ref="N3:N37" si="1">A3</f>
        <v>0</v>
      </c>
      <c r="O3">
        <f>B3/1000</f>
        <v>1</v>
      </c>
      <c r="P3">
        <f t="shared" ref="P3:Y3" si="2">C3/1000</f>
        <v>1</v>
      </c>
      <c r="Q3">
        <f t="shared" si="2"/>
        <v>1</v>
      </c>
      <c r="R3">
        <f t="shared" si="2"/>
        <v>1</v>
      </c>
      <c r="S3">
        <f t="shared" si="2"/>
        <v>1</v>
      </c>
      <c r="T3">
        <f t="shared" si="2"/>
        <v>1</v>
      </c>
      <c r="U3">
        <f t="shared" si="2"/>
        <v>1</v>
      </c>
      <c r="V3">
        <f t="shared" si="2"/>
        <v>1</v>
      </c>
      <c r="W3">
        <f t="shared" si="2"/>
        <v>1</v>
      </c>
      <c r="X3">
        <f t="shared" si="2"/>
        <v>1</v>
      </c>
      <c r="Y3">
        <f t="shared" si="2"/>
        <v>1</v>
      </c>
    </row>
    <row r="4" spans="1:25" x14ac:dyDescent="0.35">
      <c r="A4">
        <v>1</v>
      </c>
      <c r="B4">
        <f>'[11]GABM_R03_NavidAPI_sf_fb-data'!$G3</f>
        <v>1000</v>
      </c>
      <c r="C4">
        <f>'[12]GABM_R03_savannah_sf_fb-data'!$G3</f>
        <v>1000</v>
      </c>
      <c r="D4">
        <f>'[13]GABM_R03_MitchellAPI_sf_fb-data'!$G3</f>
        <v>1000</v>
      </c>
      <c r="E4">
        <f>'[14]GABM_R03_RandiAPI_sf_fb-data'!$G3</f>
        <v>1000</v>
      </c>
      <c r="F4">
        <f>'[15]GABM_R03_Terry_sf_fb-data'!$G3</f>
        <v>1000</v>
      </c>
      <c r="G4">
        <f>'[16]R03_GABM_NiyoushaAPI_sf_fb-data'!$G3</f>
        <v>1000</v>
      </c>
      <c r="H4">
        <f>'[17]GABM_R03_SudipaAPI_sf_fb-data'!$G3</f>
        <v>1000</v>
      </c>
      <c r="I4">
        <f>'[18]GABM_R03_Terry_sf_fb_2-data'!$G3</f>
        <v>1000</v>
      </c>
      <c r="J4">
        <f>'[19]GABM_R03_NavidAPI_sf_fb_2-data'!$G3</f>
        <v>1000</v>
      </c>
      <c r="K4">
        <f>'[20]R03_GABM_NiyoushaAPI_sf_fb_2-da'!$G3</f>
        <v>1000</v>
      </c>
      <c r="L4">
        <f t="shared" ref="L4:L37" si="3">AVERAGE(B4:K4)</f>
        <v>1000</v>
      </c>
      <c r="N4">
        <f t="shared" si="1"/>
        <v>1</v>
      </c>
      <c r="O4">
        <f t="shared" ref="O4:O37" si="4">B4/1000</f>
        <v>1</v>
      </c>
      <c r="P4">
        <f t="shared" ref="P4:P37" si="5">C4/1000</f>
        <v>1</v>
      </c>
      <c r="Q4">
        <f t="shared" ref="Q4:Q37" si="6">D4/1000</f>
        <v>1</v>
      </c>
      <c r="R4">
        <f t="shared" ref="R4:R37" si="7">E4/1000</f>
        <v>1</v>
      </c>
      <c r="S4">
        <f t="shared" ref="S4:S37" si="8">F4/1000</f>
        <v>1</v>
      </c>
      <c r="T4">
        <f t="shared" ref="T4:T37" si="9">G4/1000</f>
        <v>1</v>
      </c>
      <c r="U4">
        <f t="shared" ref="U4:U37" si="10">H4/1000</f>
        <v>1</v>
      </c>
      <c r="V4">
        <f t="shared" ref="V4:V37" si="11">I4/1000</f>
        <v>1</v>
      </c>
      <c r="W4">
        <f t="shared" ref="W4:W37" si="12">J4/1000</f>
        <v>1</v>
      </c>
      <c r="X4">
        <f t="shared" ref="X4:X37" si="13">K4/1000</f>
        <v>1</v>
      </c>
      <c r="Y4">
        <f t="shared" ref="Y4:Y37" si="14">L4/1000</f>
        <v>1</v>
      </c>
    </row>
    <row r="5" spans="1:25" x14ac:dyDescent="0.35">
      <c r="A5">
        <v>2</v>
      </c>
      <c r="B5">
        <f>'[11]GABM_R03_NavidAPI_sf_fb-data'!$G4</f>
        <v>1000</v>
      </c>
      <c r="C5">
        <f>'[12]GABM_R03_savannah_sf_fb-data'!$G4</f>
        <v>1000</v>
      </c>
      <c r="D5">
        <f>'[13]GABM_R03_MitchellAPI_sf_fb-data'!$G4</f>
        <v>1000</v>
      </c>
      <c r="E5">
        <f>'[14]GABM_R03_RandiAPI_sf_fb-data'!$G4</f>
        <v>1000</v>
      </c>
      <c r="F5">
        <f>'[15]GABM_R03_Terry_sf_fb-data'!$G4</f>
        <v>1000</v>
      </c>
      <c r="G5">
        <f>'[16]R03_GABM_NiyoushaAPI_sf_fb-data'!$G4</f>
        <v>1000</v>
      </c>
      <c r="H5">
        <f>'[17]GABM_R03_SudipaAPI_sf_fb-data'!$G4</f>
        <v>1000</v>
      </c>
      <c r="I5">
        <f>'[18]GABM_R03_Terry_sf_fb_2-data'!$G4</f>
        <v>1000</v>
      </c>
      <c r="J5">
        <f>'[19]GABM_R03_NavidAPI_sf_fb_2-data'!$G4</f>
        <v>1000</v>
      </c>
      <c r="K5">
        <f>'[20]R03_GABM_NiyoushaAPI_sf_fb_2-da'!$G4</f>
        <v>1000</v>
      </c>
      <c r="L5">
        <f t="shared" si="3"/>
        <v>1000</v>
      </c>
      <c r="N5">
        <f t="shared" si="1"/>
        <v>2</v>
      </c>
      <c r="O5">
        <f t="shared" si="4"/>
        <v>1</v>
      </c>
      <c r="P5">
        <f t="shared" si="5"/>
        <v>1</v>
      </c>
      <c r="Q5">
        <f t="shared" si="6"/>
        <v>1</v>
      </c>
      <c r="R5">
        <f t="shared" si="7"/>
        <v>1</v>
      </c>
      <c r="S5">
        <f t="shared" si="8"/>
        <v>1</v>
      </c>
      <c r="T5">
        <f t="shared" si="9"/>
        <v>1</v>
      </c>
      <c r="U5">
        <f t="shared" si="10"/>
        <v>1</v>
      </c>
      <c r="V5">
        <f t="shared" si="11"/>
        <v>1</v>
      </c>
      <c r="W5">
        <f t="shared" si="12"/>
        <v>1</v>
      </c>
      <c r="X5">
        <f t="shared" si="13"/>
        <v>1</v>
      </c>
      <c r="Y5">
        <f t="shared" si="14"/>
        <v>1</v>
      </c>
    </row>
    <row r="6" spans="1:25" x14ac:dyDescent="0.35">
      <c r="A6">
        <v>3</v>
      </c>
      <c r="B6">
        <f>'[11]GABM_R03_NavidAPI_sf_fb-data'!$G5</f>
        <v>998</v>
      </c>
      <c r="C6">
        <f>'[12]GABM_R03_savannah_sf_fb-data'!$G5</f>
        <v>998</v>
      </c>
      <c r="D6">
        <f>'[13]GABM_R03_MitchellAPI_sf_fb-data'!$G5</f>
        <v>998</v>
      </c>
      <c r="E6">
        <f>'[14]GABM_R03_RandiAPI_sf_fb-data'!$G5</f>
        <v>998</v>
      </c>
      <c r="F6">
        <f>'[15]GABM_R03_Terry_sf_fb-data'!$G5</f>
        <v>998</v>
      </c>
      <c r="G6">
        <f>'[16]R03_GABM_NiyoushaAPI_sf_fb-data'!$G5</f>
        <v>998</v>
      </c>
      <c r="H6">
        <f>'[17]GABM_R03_SudipaAPI_sf_fb-data'!$G5</f>
        <v>998</v>
      </c>
      <c r="I6">
        <f>'[18]GABM_R03_Terry_sf_fb_2-data'!$G5</f>
        <v>998</v>
      </c>
      <c r="J6">
        <f>'[19]GABM_R03_NavidAPI_sf_fb_2-data'!$G5</f>
        <v>998</v>
      </c>
      <c r="K6">
        <f>'[20]R03_GABM_NiyoushaAPI_sf_fb_2-da'!$G5</f>
        <v>998</v>
      </c>
      <c r="L6">
        <f t="shared" si="3"/>
        <v>998</v>
      </c>
      <c r="N6">
        <f t="shared" si="1"/>
        <v>3</v>
      </c>
      <c r="O6">
        <f t="shared" si="4"/>
        <v>0.998</v>
      </c>
      <c r="P6">
        <f t="shared" si="5"/>
        <v>0.998</v>
      </c>
      <c r="Q6">
        <f t="shared" si="6"/>
        <v>0.998</v>
      </c>
      <c r="R6">
        <f t="shared" si="7"/>
        <v>0.998</v>
      </c>
      <c r="S6">
        <f t="shared" si="8"/>
        <v>0.998</v>
      </c>
      <c r="T6">
        <f t="shared" si="9"/>
        <v>0.998</v>
      </c>
      <c r="U6">
        <f t="shared" si="10"/>
        <v>0.998</v>
      </c>
      <c r="V6">
        <f t="shared" si="11"/>
        <v>0.998</v>
      </c>
      <c r="W6">
        <f t="shared" si="12"/>
        <v>0.998</v>
      </c>
      <c r="X6">
        <f t="shared" si="13"/>
        <v>0.998</v>
      </c>
      <c r="Y6">
        <f t="shared" si="14"/>
        <v>0.998</v>
      </c>
    </row>
    <row r="7" spans="1:25" x14ac:dyDescent="0.35">
      <c r="A7">
        <v>4</v>
      </c>
      <c r="B7">
        <f>'[11]GABM_R03_NavidAPI_sf_fb-data'!$G6</f>
        <v>994</v>
      </c>
      <c r="C7">
        <f>'[12]GABM_R03_savannah_sf_fb-data'!$G6</f>
        <v>996</v>
      </c>
      <c r="D7">
        <f>'[13]GABM_R03_MitchellAPI_sf_fb-data'!$G6</f>
        <v>996</v>
      </c>
      <c r="E7">
        <f>'[14]GABM_R03_RandiAPI_sf_fb-data'!$G6</f>
        <v>998</v>
      </c>
      <c r="F7">
        <f>'[15]GABM_R03_Terry_sf_fb-data'!$G6</f>
        <v>995</v>
      </c>
      <c r="G7">
        <f>'[16]R03_GABM_NiyoushaAPI_sf_fb-data'!$G6</f>
        <v>996</v>
      </c>
      <c r="H7">
        <f>'[17]GABM_R03_SudipaAPI_sf_fb-data'!$G6</f>
        <v>997</v>
      </c>
      <c r="I7">
        <f>'[18]GABM_R03_Terry_sf_fb_2-data'!$G6</f>
        <v>994</v>
      </c>
      <c r="J7">
        <f>'[19]GABM_R03_NavidAPI_sf_fb_2-data'!$G6</f>
        <v>996</v>
      </c>
      <c r="K7">
        <f>'[20]R03_GABM_NiyoushaAPI_sf_fb_2-da'!$G6</f>
        <v>998</v>
      </c>
      <c r="L7">
        <f t="shared" si="3"/>
        <v>996</v>
      </c>
      <c r="N7">
        <f t="shared" si="1"/>
        <v>4</v>
      </c>
      <c r="O7">
        <f t="shared" si="4"/>
        <v>0.99399999999999999</v>
      </c>
      <c r="P7">
        <f t="shared" si="5"/>
        <v>0.996</v>
      </c>
      <c r="Q7">
        <f t="shared" si="6"/>
        <v>0.996</v>
      </c>
      <c r="R7">
        <f t="shared" si="7"/>
        <v>0.998</v>
      </c>
      <c r="S7">
        <f t="shared" si="8"/>
        <v>0.995</v>
      </c>
      <c r="T7">
        <f t="shared" si="9"/>
        <v>0.996</v>
      </c>
      <c r="U7">
        <f t="shared" si="10"/>
        <v>0.997</v>
      </c>
      <c r="V7">
        <f t="shared" si="11"/>
        <v>0.99399999999999999</v>
      </c>
      <c r="W7">
        <f t="shared" si="12"/>
        <v>0.996</v>
      </c>
      <c r="X7">
        <f t="shared" si="13"/>
        <v>0.998</v>
      </c>
      <c r="Y7">
        <f t="shared" si="14"/>
        <v>0.996</v>
      </c>
    </row>
    <row r="8" spans="1:25" x14ac:dyDescent="0.35">
      <c r="A8">
        <v>5</v>
      </c>
      <c r="B8">
        <f>'[11]GABM_R03_NavidAPI_sf_fb-data'!$G7</f>
        <v>990</v>
      </c>
      <c r="C8">
        <f>'[12]GABM_R03_savannah_sf_fb-data'!$G7</f>
        <v>988</v>
      </c>
      <c r="D8">
        <f>'[13]GABM_R03_MitchellAPI_sf_fb-data'!$G7</f>
        <v>993</v>
      </c>
      <c r="E8">
        <f>'[14]GABM_R03_RandiAPI_sf_fb-data'!$G7</f>
        <v>998</v>
      </c>
      <c r="F8">
        <f>'[15]GABM_R03_Terry_sf_fb-data'!$G7</f>
        <v>989</v>
      </c>
      <c r="G8">
        <f>'[16]R03_GABM_NiyoushaAPI_sf_fb-data'!$G7</f>
        <v>991</v>
      </c>
      <c r="H8">
        <f>'[17]GABM_R03_SudipaAPI_sf_fb-data'!$G7</f>
        <v>994</v>
      </c>
      <c r="I8">
        <f>'[18]GABM_R03_Terry_sf_fb_2-data'!$G7</f>
        <v>989</v>
      </c>
      <c r="J8">
        <f>'[19]GABM_R03_NavidAPI_sf_fb_2-data'!$G7</f>
        <v>989</v>
      </c>
      <c r="K8">
        <f>'[20]R03_GABM_NiyoushaAPI_sf_fb_2-da'!$G7</f>
        <v>994</v>
      </c>
      <c r="L8">
        <f t="shared" si="3"/>
        <v>991.5</v>
      </c>
      <c r="N8">
        <f t="shared" si="1"/>
        <v>5</v>
      </c>
      <c r="O8">
        <f t="shared" si="4"/>
        <v>0.99</v>
      </c>
      <c r="P8">
        <f t="shared" si="5"/>
        <v>0.98799999999999999</v>
      </c>
      <c r="Q8">
        <f t="shared" si="6"/>
        <v>0.99299999999999999</v>
      </c>
      <c r="R8">
        <f t="shared" si="7"/>
        <v>0.998</v>
      </c>
      <c r="S8">
        <f t="shared" si="8"/>
        <v>0.98899999999999999</v>
      </c>
      <c r="T8">
        <f t="shared" si="9"/>
        <v>0.99099999999999999</v>
      </c>
      <c r="U8">
        <f t="shared" si="10"/>
        <v>0.99399999999999999</v>
      </c>
      <c r="V8">
        <f t="shared" si="11"/>
        <v>0.98899999999999999</v>
      </c>
      <c r="W8">
        <f t="shared" si="12"/>
        <v>0.98899999999999999</v>
      </c>
      <c r="X8">
        <f t="shared" si="13"/>
        <v>0.99399999999999999</v>
      </c>
      <c r="Y8">
        <f t="shared" si="14"/>
        <v>0.99150000000000005</v>
      </c>
    </row>
    <row r="9" spans="1:25" x14ac:dyDescent="0.35">
      <c r="A9">
        <v>6</v>
      </c>
      <c r="B9">
        <f>'[11]GABM_R03_NavidAPI_sf_fb-data'!$G8</f>
        <v>979</v>
      </c>
      <c r="C9">
        <f>'[12]GABM_R03_savannah_sf_fb-data'!$G8</f>
        <v>983</v>
      </c>
      <c r="D9">
        <f>'[13]GABM_R03_MitchellAPI_sf_fb-data'!$G8</f>
        <v>989</v>
      </c>
      <c r="E9">
        <f>'[14]GABM_R03_RandiAPI_sf_fb-data'!$G8</f>
        <v>998</v>
      </c>
      <c r="F9">
        <f>'[15]GABM_R03_Terry_sf_fb-data'!$G8</f>
        <v>982</v>
      </c>
      <c r="G9">
        <f>'[16]R03_GABM_NiyoushaAPI_sf_fb-data'!$G8</f>
        <v>980</v>
      </c>
      <c r="H9">
        <f>'[17]GABM_R03_SudipaAPI_sf_fb-data'!$G8</f>
        <v>987</v>
      </c>
      <c r="I9">
        <f>'[18]GABM_R03_Terry_sf_fb_2-data'!$G8</f>
        <v>978</v>
      </c>
      <c r="J9">
        <f>'[19]GABM_R03_NavidAPI_sf_fb_2-data'!$G8</f>
        <v>983</v>
      </c>
      <c r="K9">
        <f>'[20]R03_GABM_NiyoushaAPI_sf_fb_2-da'!$G8</f>
        <v>991</v>
      </c>
      <c r="L9">
        <f t="shared" si="3"/>
        <v>985</v>
      </c>
      <c r="N9">
        <f t="shared" si="1"/>
        <v>6</v>
      </c>
      <c r="O9">
        <f t="shared" si="4"/>
        <v>0.97899999999999998</v>
      </c>
      <c r="P9">
        <f t="shared" si="5"/>
        <v>0.98299999999999998</v>
      </c>
      <c r="Q9">
        <f t="shared" si="6"/>
        <v>0.98899999999999999</v>
      </c>
      <c r="R9">
        <f t="shared" si="7"/>
        <v>0.998</v>
      </c>
      <c r="S9">
        <f t="shared" si="8"/>
        <v>0.98199999999999998</v>
      </c>
      <c r="T9">
        <f t="shared" si="9"/>
        <v>0.98</v>
      </c>
      <c r="U9">
        <f t="shared" si="10"/>
        <v>0.98699999999999999</v>
      </c>
      <c r="V9">
        <f t="shared" si="11"/>
        <v>0.97799999999999998</v>
      </c>
      <c r="W9">
        <f t="shared" si="12"/>
        <v>0.98299999999999998</v>
      </c>
      <c r="X9">
        <f t="shared" si="13"/>
        <v>0.99099999999999999</v>
      </c>
      <c r="Y9">
        <f t="shared" si="14"/>
        <v>0.98499999999999999</v>
      </c>
    </row>
    <row r="10" spans="1:25" x14ac:dyDescent="0.35">
      <c r="A10">
        <v>7</v>
      </c>
      <c r="B10">
        <f>'[11]GABM_R03_NavidAPI_sf_fb-data'!$G9</f>
        <v>965</v>
      </c>
      <c r="C10">
        <f>'[12]GABM_R03_savannah_sf_fb-data'!$G9</f>
        <v>976</v>
      </c>
      <c r="D10">
        <f>'[13]GABM_R03_MitchellAPI_sf_fb-data'!$G9</f>
        <v>983</v>
      </c>
      <c r="E10" s="4">
        <v>1000</v>
      </c>
      <c r="F10">
        <f>'[15]GABM_R03_Terry_sf_fb-data'!$G9</f>
        <v>977</v>
      </c>
      <c r="G10">
        <f>'[16]R03_GABM_NiyoushaAPI_sf_fb-data'!$G9</f>
        <v>972</v>
      </c>
      <c r="H10">
        <f>'[17]GABM_R03_SudipaAPI_sf_fb-data'!$G9</f>
        <v>982</v>
      </c>
      <c r="I10">
        <f>'[18]GABM_R03_Terry_sf_fb_2-data'!$G9</f>
        <v>964</v>
      </c>
      <c r="J10">
        <f>'[19]GABM_R03_NavidAPI_sf_fb_2-data'!$G9</f>
        <v>975</v>
      </c>
      <c r="K10">
        <f>'[20]R03_GABM_NiyoushaAPI_sf_fb_2-da'!$G9</f>
        <v>988</v>
      </c>
      <c r="L10">
        <f t="shared" si="3"/>
        <v>978.2</v>
      </c>
      <c r="N10">
        <f t="shared" si="1"/>
        <v>7</v>
      </c>
      <c r="O10">
        <f t="shared" si="4"/>
        <v>0.96499999999999997</v>
      </c>
      <c r="P10">
        <f t="shared" si="5"/>
        <v>0.97599999999999998</v>
      </c>
      <c r="Q10">
        <f t="shared" si="6"/>
        <v>0.98299999999999998</v>
      </c>
      <c r="R10">
        <f t="shared" si="7"/>
        <v>1</v>
      </c>
      <c r="S10">
        <f t="shared" si="8"/>
        <v>0.97699999999999998</v>
      </c>
      <c r="T10">
        <f t="shared" si="9"/>
        <v>0.97199999999999998</v>
      </c>
      <c r="U10">
        <f t="shared" si="10"/>
        <v>0.98199999999999998</v>
      </c>
      <c r="V10">
        <f t="shared" si="11"/>
        <v>0.96399999999999997</v>
      </c>
      <c r="W10">
        <f t="shared" si="12"/>
        <v>0.97499999999999998</v>
      </c>
      <c r="X10">
        <f t="shared" si="13"/>
        <v>0.98799999999999999</v>
      </c>
      <c r="Y10">
        <f t="shared" si="14"/>
        <v>0.97820000000000007</v>
      </c>
    </row>
    <row r="11" spans="1:25" x14ac:dyDescent="0.35">
      <c r="A11">
        <v>8</v>
      </c>
      <c r="B11">
        <f>'[11]GABM_R03_NavidAPI_sf_fb-data'!$G10</f>
        <v>940</v>
      </c>
      <c r="C11">
        <f>'[12]GABM_R03_savannah_sf_fb-data'!$G10</f>
        <v>964</v>
      </c>
      <c r="D11">
        <f>'[13]GABM_R03_MitchellAPI_sf_fb-data'!$G10</f>
        <v>975</v>
      </c>
      <c r="E11" s="4">
        <v>1000</v>
      </c>
      <c r="F11">
        <f>'[15]GABM_R03_Terry_sf_fb-data'!$G10</f>
        <v>964</v>
      </c>
      <c r="G11">
        <f>'[16]R03_GABM_NiyoushaAPI_sf_fb-data'!$G10</f>
        <v>957</v>
      </c>
      <c r="H11">
        <f>'[17]GABM_R03_SudipaAPI_sf_fb-data'!$G10</f>
        <v>969</v>
      </c>
      <c r="I11">
        <f>'[18]GABM_R03_Terry_sf_fb_2-data'!$G10</f>
        <v>943</v>
      </c>
      <c r="J11">
        <f>'[19]GABM_R03_NavidAPI_sf_fb_2-data'!$G10</f>
        <v>963</v>
      </c>
      <c r="K11">
        <f>'[20]R03_GABM_NiyoushaAPI_sf_fb_2-da'!$G10</f>
        <v>980</v>
      </c>
      <c r="L11">
        <f t="shared" si="3"/>
        <v>965.5</v>
      </c>
      <c r="N11">
        <f t="shared" si="1"/>
        <v>8</v>
      </c>
      <c r="O11">
        <f t="shared" si="4"/>
        <v>0.94</v>
      </c>
      <c r="P11">
        <f t="shared" si="5"/>
        <v>0.96399999999999997</v>
      </c>
      <c r="Q11">
        <f t="shared" si="6"/>
        <v>0.97499999999999998</v>
      </c>
      <c r="R11">
        <f t="shared" si="7"/>
        <v>1</v>
      </c>
      <c r="S11">
        <f t="shared" si="8"/>
        <v>0.96399999999999997</v>
      </c>
      <c r="T11">
        <f t="shared" si="9"/>
        <v>0.95699999999999996</v>
      </c>
      <c r="U11">
        <f t="shared" si="10"/>
        <v>0.96899999999999997</v>
      </c>
      <c r="V11">
        <f t="shared" si="11"/>
        <v>0.94299999999999995</v>
      </c>
      <c r="W11">
        <f t="shared" si="12"/>
        <v>0.96299999999999997</v>
      </c>
      <c r="X11">
        <f t="shared" si="13"/>
        <v>0.98</v>
      </c>
      <c r="Y11">
        <f t="shared" si="14"/>
        <v>0.96550000000000002</v>
      </c>
    </row>
    <row r="12" spans="1:25" x14ac:dyDescent="0.35">
      <c r="A12">
        <v>9</v>
      </c>
      <c r="B12">
        <f>'[11]GABM_R03_NavidAPI_sf_fb-data'!$G11</f>
        <v>907</v>
      </c>
      <c r="C12">
        <f>'[12]GABM_R03_savannah_sf_fb-data'!$G11</f>
        <v>957</v>
      </c>
      <c r="D12">
        <f>'[13]GABM_R03_MitchellAPI_sf_fb-data'!$G11</f>
        <v>958</v>
      </c>
      <c r="E12" s="4">
        <v>1000</v>
      </c>
      <c r="F12">
        <f>'[15]GABM_R03_Terry_sf_fb-data'!$G11</f>
        <v>945</v>
      </c>
      <c r="G12">
        <f>'[16]R03_GABM_NiyoushaAPI_sf_fb-data'!$G11</f>
        <v>936</v>
      </c>
      <c r="H12">
        <f>'[17]GABM_R03_SudipaAPI_sf_fb-data'!$G11</f>
        <v>949</v>
      </c>
      <c r="I12">
        <f>'[18]GABM_R03_Terry_sf_fb_2-data'!$G11</f>
        <v>907</v>
      </c>
      <c r="J12">
        <f>'[19]GABM_R03_NavidAPI_sf_fb_2-data'!$G11</f>
        <v>954</v>
      </c>
      <c r="K12">
        <f>'[20]R03_GABM_NiyoushaAPI_sf_fb_2-da'!$G11</f>
        <v>972</v>
      </c>
      <c r="L12">
        <f t="shared" si="3"/>
        <v>948.5</v>
      </c>
      <c r="N12">
        <f t="shared" si="1"/>
        <v>9</v>
      </c>
      <c r="O12">
        <f t="shared" si="4"/>
        <v>0.90700000000000003</v>
      </c>
      <c r="P12">
        <f t="shared" si="5"/>
        <v>0.95699999999999996</v>
      </c>
      <c r="Q12">
        <f t="shared" si="6"/>
        <v>0.95799999999999996</v>
      </c>
      <c r="R12">
        <f t="shared" si="7"/>
        <v>1</v>
      </c>
      <c r="S12">
        <f t="shared" si="8"/>
        <v>0.94499999999999995</v>
      </c>
      <c r="T12">
        <f t="shared" si="9"/>
        <v>0.93600000000000005</v>
      </c>
      <c r="U12">
        <f t="shared" si="10"/>
        <v>0.94899999999999995</v>
      </c>
      <c r="V12">
        <f t="shared" si="11"/>
        <v>0.90700000000000003</v>
      </c>
      <c r="W12">
        <f t="shared" si="12"/>
        <v>0.95399999999999996</v>
      </c>
      <c r="X12">
        <f t="shared" si="13"/>
        <v>0.97199999999999998</v>
      </c>
      <c r="Y12">
        <f t="shared" si="14"/>
        <v>0.94850000000000001</v>
      </c>
    </row>
    <row r="13" spans="1:25" x14ac:dyDescent="0.35">
      <c r="A13">
        <v>10</v>
      </c>
      <c r="B13">
        <f>'[11]GABM_R03_NavidAPI_sf_fb-data'!$G12</f>
        <v>861</v>
      </c>
      <c r="C13">
        <f>'[12]GABM_R03_savannah_sf_fb-data'!$G12</f>
        <v>934</v>
      </c>
      <c r="D13">
        <f>'[13]GABM_R03_MitchellAPI_sf_fb-data'!$G12</f>
        <v>943</v>
      </c>
      <c r="E13" s="4">
        <v>1000</v>
      </c>
      <c r="F13">
        <f>'[15]GABM_R03_Terry_sf_fb-data'!$G12</f>
        <v>912</v>
      </c>
      <c r="G13">
        <f>'[16]R03_GABM_NiyoushaAPI_sf_fb-data'!$G12</f>
        <v>898</v>
      </c>
      <c r="H13">
        <f>'[17]GABM_R03_SudipaAPI_sf_fb-data'!$G12</f>
        <v>917</v>
      </c>
      <c r="I13">
        <f>'[18]GABM_R03_Terry_sf_fb_2-data'!$G12</f>
        <v>857</v>
      </c>
      <c r="J13">
        <f>'[19]GABM_R03_NavidAPI_sf_fb_2-data'!$G12</f>
        <v>929</v>
      </c>
      <c r="K13">
        <f>'[20]R03_GABM_NiyoushaAPI_sf_fb_2-da'!$G12</f>
        <v>962</v>
      </c>
      <c r="L13">
        <f t="shared" si="3"/>
        <v>921.3</v>
      </c>
      <c r="N13">
        <f t="shared" si="1"/>
        <v>10</v>
      </c>
      <c r="O13">
        <f t="shared" si="4"/>
        <v>0.86099999999999999</v>
      </c>
      <c r="P13">
        <f t="shared" si="5"/>
        <v>0.93400000000000005</v>
      </c>
      <c r="Q13">
        <f t="shared" si="6"/>
        <v>0.94299999999999995</v>
      </c>
      <c r="R13">
        <f t="shared" si="7"/>
        <v>1</v>
      </c>
      <c r="S13">
        <f t="shared" si="8"/>
        <v>0.91200000000000003</v>
      </c>
      <c r="T13">
        <f t="shared" si="9"/>
        <v>0.89800000000000002</v>
      </c>
      <c r="U13">
        <f t="shared" si="10"/>
        <v>0.91700000000000004</v>
      </c>
      <c r="V13">
        <f t="shared" si="11"/>
        <v>0.85699999999999998</v>
      </c>
      <c r="W13">
        <f t="shared" si="12"/>
        <v>0.92900000000000005</v>
      </c>
      <c r="X13">
        <f t="shared" si="13"/>
        <v>0.96199999999999997</v>
      </c>
      <c r="Y13">
        <f t="shared" si="14"/>
        <v>0.92130000000000001</v>
      </c>
    </row>
    <row r="14" spans="1:25" x14ac:dyDescent="0.35">
      <c r="A14">
        <v>11</v>
      </c>
      <c r="B14">
        <f>'[11]GABM_R03_NavidAPI_sf_fb-data'!$G13</f>
        <v>815</v>
      </c>
      <c r="C14">
        <f>'[12]GABM_R03_savannah_sf_fb-data'!$G13</f>
        <v>907</v>
      </c>
      <c r="D14">
        <f>'[13]GABM_R03_MitchellAPI_sf_fb-data'!$G13</f>
        <v>919</v>
      </c>
      <c r="E14" s="4">
        <v>1000</v>
      </c>
      <c r="F14">
        <f>'[15]GABM_R03_Terry_sf_fb-data'!$G13</f>
        <v>860</v>
      </c>
      <c r="G14">
        <f>'[16]R03_GABM_NiyoushaAPI_sf_fb-data'!$G13</f>
        <v>853</v>
      </c>
      <c r="H14">
        <f>'[17]GABM_R03_SudipaAPI_sf_fb-data'!$G13</f>
        <v>878</v>
      </c>
      <c r="I14">
        <f>'[18]GABM_R03_Terry_sf_fb_2-data'!$G13</f>
        <v>796</v>
      </c>
      <c r="J14">
        <f>'[19]GABM_R03_NavidAPI_sf_fb_2-data'!$G13</f>
        <v>907</v>
      </c>
      <c r="K14">
        <f>'[20]R03_GABM_NiyoushaAPI_sf_fb_2-da'!$G13</f>
        <v>942</v>
      </c>
      <c r="L14">
        <f t="shared" si="3"/>
        <v>887.7</v>
      </c>
      <c r="N14">
        <f t="shared" si="1"/>
        <v>11</v>
      </c>
      <c r="O14">
        <f t="shared" si="4"/>
        <v>0.81499999999999995</v>
      </c>
      <c r="P14">
        <f t="shared" si="5"/>
        <v>0.90700000000000003</v>
      </c>
      <c r="Q14">
        <f t="shared" si="6"/>
        <v>0.91900000000000004</v>
      </c>
      <c r="R14">
        <f t="shared" si="7"/>
        <v>1</v>
      </c>
      <c r="S14">
        <f t="shared" si="8"/>
        <v>0.86</v>
      </c>
      <c r="T14">
        <f t="shared" si="9"/>
        <v>0.85299999999999998</v>
      </c>
      <c r="U14">
        <f t="shared" si="10"/>
        <v>0.878</v>
      </c>
      <c r="V14">
        <f t="shared" si="11"/>
        <v>0.79600000000000004</v>
      </c>
      <c r="W14">
        <f t="shared" si="12"/>
        <v>0.90700000000000003</v>
      </c>
      <c r="X14">
        <f t="shared" si="13"/>
        <v>0.94199999999999995</v>
      </c>
      <c r="Y14">
        <f t="shared" si="14"/>
        <v>0.88770000000000004</v>
      </c>
    </row>
    <row r="15" spans="1:25" x14ac:dyDescent="0.35">
      <c r="A15">
        <v>12</v>
      </c>
      <c r="B15">
        <f>'[11]GABM_R03_NavidAPI_sf_fb-data'!$G14</f>
        <v>772</v>
      </c>
      <c r="C15">
        <f>'[12]GABM_R03_savannah_sf_fb-data'!$G14</f>
        <v>871</v>
      </c>
      <c r="D15">
        <f>'[13]GABM_R03_MitchellAPI_sf_fb-data'!$G14</f>
        <v>887</v>
      </c>
      <c r="E15" s="4">
        <v>1000</v>
      </c>
      <c r="F15">
        <f>'[15]GABM_R03_Terry_sf_fb-data'!$G14</f>
        <v>804</v>
      </c>
      <c r="G15">
        <f>'[16]R03_GABM_NiyoushaAPI_sf_fb-data'!$G14</f>
        <v>786</v>
      </c>
      <c r="H15">
        <f>'[17]GABM_R03_SudipaAPI_sf_fb-data'!$G14</f>
        <v>822</v>
      </c>
      <c r="I15">
        <f>'[18]GABM_R03_Terry_sf_fb_2-data'!$G14</f>
        <v>727</v>
      </c>
      <c r="J15">
        <f>'[19]GABM_R03_NavidAPI_sf_fb_2-data'!$G14</f>
        <v>867</v>
      </c>
      <c r="K15">
        <f>'[20]R03_GABM_NiyoushaAPI_sf_fb_2-da'!$G14</f>
        <v>916</v>
      </c>
      <c r="L15">
        <f t="shared" si="3"/>
        <v>845.2</v>
      </c>
      <c r="N15">
        <f t="shared" si="1"/>
        <v>12</v>
      </c>
      <c r="O15">
        <f t="shared" si="4"/>
        <v>0.77200000000000002</v>
      </c>
      <c r="P15">
        <f t="shared" si="5"/>
        <v>0.871</v>
      </c>
      <c r="Q15">
        <f t="shared" si="6"/>
        <v>0.88700000000000001</v>
      </c>
      <c r="R15">
        <f t="shared" si="7"/>
        <v>1</v>
      </c>
      <c r="S15">
        <f t="shared" si="8"/>
        <v>0.80400000000000005</v>
      </c>
      <c r="T15">
        <f t="shared" si="9"/>
        <v>0.78600000000000003</v>
      </c>
      <c r="U15">
        <f t="shared" si="10"/>
        <v>0.82199999999999995</v>
      </c>
      <c r="V15">
        <f t="shared" si="11"/>
        <v>0.72699999999999998</v>
      </c>
      <c r="W15">
        <f t="shared" si="12"/>
        <v>0.86699999999999999</v>
      </c>
      <c r="X15">
        <f t="shared" si="13"/>
        <v>0.91600000000000004</v>
      </c>
      <c r="Y15">
        <f t="shared" si="14"/>
        <v>0.84520000000000006</v>
      </c>
    </row>
    <row r="16" spans="1:25" x14ac:dyDescent="0.35">
      <c r="A16">
        <v>13</v>
      </c>
      <c r="B16">
        <f>'[11]GABM_R03_NavidAPI_sf_fb-data'!$G15</f>
        <v>723</v>
      </c>
      <c r="C16">
        <f>'[12]GABM_R03_savannah_sf_fb-data'!$G15</f>
        <v>821</v>
      </c>
      <c r="D16">
        <f>'[13]GABM_R03_MitchellAPI_sf_fb-data'!$G15</f>
        <v>847</v>
      </c>
      <c r="E16" s="4">
        <v>1000</v>
      </c>
      <c r="F16">
        <f>'[15]GABM_R03_Terry_sf_fb-data'!$G15</f>
        <v>725</v>
      </c>
      <c r="G16">
        <f>'[16]R03_GABM_NiyoushaAPI_sf_fb-data'!$G15</f>
        <v>727</v>
      </c>
      <c r="H16">
        <f>'[17]GABM_R03_SudipaAPI_sf_fb-data'!$G15</f>
        <v>769</v>
      </c>
      <c r="I16">
        <f>'[18]GABM_R03_Terry_sf_fb_2-data'!$G15</f>
        <v>674</v>
      </c>
      <c r="J16">
        <f>'[19]GABM_R03_NavidAPI_sf_fb_2-data'!$G15</f>
        <v>816</v>
      </c>
      <c r="K16">
        <f>'[20]R03_GABM_NiyoushaAPI_sf_fb_2-da'!$G15</f>
        <v>889</v>
      </c>
      <c r="L16">
        <f t="shared" si="3"/>
        <v>799.1</v>
      </c>
      <c r="N16">
        <f t="shared" si="1"/>
        <v>13</v>
      </c>
      <c r="O16">
        <f t="shared" si="4"/>
        <v>0.72299999999999998</v>
      </c>
      <c r="P16">
        <f t="shared" si="5"/>
        <v>0.82099999999999995</v>
      </c>
      <c r="Q16">
        <f t="shared" si="6"/>
        <v>0.84699999999999998</v>
      </c>
      <c r="R16">
        <f t="shared" si="7"/>
        <v>1</v>
      </c>
      <c r="S16">
        <f t="shared" si="8"/>
        <v>0.72499999999999998</v>
      </c>
      <c r="T16">
        <f t="shared" si="9"/>
        <v>0.72699999999999998</v>
      </c>
      <c r="U16">
        <f t="shared" si="10"/>
        <v>0.76900000000000002</v>
      </c>
      <c r="V16">
        <f t="shared" si="11"/>
        <v>0.67400000000000004</v>
      </c>
      <c r="W16">
        <f t="shared" si="12"/>
        <v>0.81599999999999995</v>
      </c>
      <c r="X16">
        <f t="shared" si="13"/>
        <v>0.88900000000000001</v>
      </c>
      <c r="Y16">
        <f t="shared" si="14"/>
        <v>0.79910000000000003</v>
      </c>
    </row>
    <row r="17" spans="1:25" x14ac:dyDescent="0.35">
      <c r="A17">
        <v>14</v>
      </c>
      <c r="B17">
        <f>'[11]GABM_R03_NavidAPI_sf_fb-data'!$G16</f>
        <v>697</v>
      </c>
      <c r="C17">
        <f>'[12]GABM_R03_savannah_sf_fb-data'!$G16</f>
        <v>774</v>
      </c>
      <c r="D17">
        <f>'[13]GABM_R03_MitchellAPI_sf_fb-data'!$G16</f>
        <v>807</v>
      </c>
      <c r="E17" s="4">
        <v>1000</v>
      </c>
      <c r="F17">
        <f>'[15]GABM_R03_Terry_sf_fb-data'!$G16</f>
        <v>667</v>
      </c>
      <c r="G17">
        <f>'[16]R03_GABM_NiyoushaAPI_sf_fb-data'!$G16</f>
        <v>665</v>
      </c>
      <c r="H17">
        <f>'[17]GABM_R03_SudipaAPI_sf_fb-data'!$G16</f>
        <v>714</v>
      </c>
      <c r="I17">
        <f>'[18]GABM_R03_Terry_sf_fb_2-data'!$G16</f>
        <v>636</v>
      </c>
      <c r="J17">
        <f>'[19]GABM_R03_NavidAPI_sf_fb_2-data'!$G16</f>
        <v>769</v>
      </c>
      <c r="K17">
        <f>'[20]R03_GABM_NiyoushaAPI_sf_fb_2-da'!$G16</f>
        <v>843</v>
      </c>
      <c r="L17">
        <f t="shared" si="3"/>
        <v>757.2</v>
      </c>
      <c r="N17">
        <f t="shared" si="1"/>
        <v>14</v>
      </c>
      <c r="O17">
        <f t="shared" si="4"/>
        <v>0.69699999999999995</v>
      </c>
      <c r="P17">
        <f t="shared" si="5"/>
        <v>0.77400000000000002</v>
      </c>
      <c r="Q17">
        <f t="shared" si="6"/>
        <v>0.80700000000000005</v>
      </c>
      <c r="R17">
        <f t="shared" si="7"/>
        <v>1</v>
      </c>
      <c r="S17">
        <f t="shared" si="8"/>
        <v>0.66700000000000004</v>
      </c>
      <c r="T17">
        <f t="shared" si="9"/>
        <v>0.66500000000000004</v>
      </c>
      <c r="U17">
        <f t="shared" si="10"/>
        <v>0.71399999999999997</v>
      </c>
      <c r="V17">
        <f t="shared" si="11"/>
        <v>0.63600000000000001</v>
      </c>
      <c r="W17">
        <f t="shared" si="12"/>
        <v>0.76900000000000002</v>
      </c>
      <c r="X17">
        <f t="shared" si="13"/>
        <v>0.84299999999999997</v>
      </c>
      <c r="Y17">
        <f t="shared" si="14"/>
        <v>0.7572000000000001</v>
      </c>
    </row>
    <row r="18" spans="1:25" x14ac:dyDescent="0.35">
      <c r="A18">
        <v>15</v>
      </c>
      <c r="B18">
        <f>'[11]GABM_R03_NavidAPI_sf_fb-data'!$G17</f>
        <v>670</v>
      </c>
      <c r="C18">
        <f>'[12]GABM_R03_savannah_sf_fb-data'!$G17</f>
        <v>721</v>
      </c>
      <c r="D18">
        <f>'[13]GABM_R03_MitchellAPI_sf_fb-data'!$G17</f>
        <v>756</v>
      </c>
      <c r="E18" s="4">
        <v>1000</v>
      </c>
      <c r="F18">
        <f>'[15]GABM_R03_Terry_sf_fb-data'!$G17</f>
        <v>634</v>
      </c>
      <c r="G18">
        <f>'[16]R03_GABM_NiyoushaAPI_sf_fb-data'!$G17</f>
        <v>608</v>
      </c>
      <c r="H18">
        <f>'[17]GABM_R03_SudipaAPI_sf_fb-data'!$G17</f>
        <v>674</v>
      </c>
      <c r="I18">
        <f>'[18]GABM_R03_Terry_sf_fb_2-data'!$G17</f>
        <v>626</v>
      </c>
      <c r="J18">
        <f>'[19]GABM_R03_NavidAPI_sf_fb_2-data'!$G17</f>
        <v>707</v>
      </c>
      <c r="K18">
        <f>'[20]R03_GABM_NiyoushaAPI_sf_fb_2-da'!$G17</f>
        <v>785</v>
      </c>
      <c r="L18">
        <f t="shared" si="3"/>
        <v>718.1</v>
      </c>
      <c r="N18">
        <f t="shared" si="1"/>
        <v>15</v>
      </c>
      <c r="O18">
        <f t="shared" si="4"/>
        <v>0.67</v>
      </c>
      <c r="P18">
        <f t="shared" si="5"/>
        <v>0.72099999999999997</v>
      </c>
      <c r="Q18">
        <f t="shared" si="6"/>
        <v>0.75600000000000001</v>
      </c>
      <c r="R18">
        <f t="shared" si="7"/>
        <v>1</v>
      </c>
      <c r="S18">
        <f t="shared" si="8"/>
        <v>0.63400000000000001</v>
      </c>
      <c r="T18">
        <f t="shared" si="9"/>
        <v>0.60799999999999998</v>
      </c>
      <c r="U18">
        <f t="shared" si="10"/>
        <v>0.67400000000000004</v>
      </c>
      <c r="V18">
        <f t="shared" si="11"/>
        <v>0.626</v>
      </c>
      <c r="W18">
        <f t="shared" si="12"/>
        <v>0.70699999999999996</v>
      </c>
      <c r="X18">
        <f t="shared" si="13"/>
        <v>0.78500000000000003</v>
      </c>
      <c r="Y18">
        <f t="shared" si="14"/>
        <v>0.71810000000000007</v>
      </c>
    </row>
    <row r="19" spans="1:25" x14ac:dyDescent="0.35">
      <c r="A19">
        <v>16</v>
      </c>
      <c r="B19">
        <f>'[11]GABM_R03_NavidAPI_sf_fb-data'!$G18</f>
        <v>668</v>
      </c>
      <c r="C19">
        <f>'[12]GABM_R03_savannah_sf_fb-data'!$G18</f>
        <v>676</v>
      </c>
      <c r="D19">
        <f>'[13]GABM_R03_MitchellAPI_sf_fb-data'!$G18</f>
        <v>712</v>
      </c>
      <c r="E19" s="4">
        <v>1000</v>
      </c>
      <c r="F19">
        <f>'[15]GABM_R03_Terry_sf_fb-data'!$G18</f>
        <v>626</v>
      </c>
      <c r="G19">
        <f>'[16]R03_GABM_NiyoushaAPI_sf_fb-data'!$G18</f>
        <v>607</v>
      </c>
      <c r="H19">
        <f>'[17]GABM_R03_SudipaAPI_sf_fb-data'!$G18</f>
        <v>654</v>
      </c>
      <c r="I19">
        <f>'[18]GABM_R03_Terry_sf_fb_2-data'!$G18</f>
        <v>651</v>
      </c>
      <c r="J19">
        <f>'[19]GABM_R03_NavidAPI_sf_fb_2-data'!$G18</f>
        <v>687</v>
      </c>
      <c r="K19">
        <f>'[20]R03_GABM_NiyoushaAPI_sf_fb_2-da'!$G18</f>
        <v>717</v>
      </c>
      <c r="L19">
        <f t="shared" si="3"/>
        <v>699.8</v>
      </c>
      <c r="N19">
        <f t="shared" si="1"/>
        <v>16</v>
      </c>
      <c r="O19">
        <f t="shared" si="4"/>
        <v>0.66800000000000004</v>
      </c>
      <c r="P19">
        <f t="shared" si="5"/>
        <v>0.67600000000000005</v>
      </c>
      <c r="Q19">
        <f t="shared" si="6"/>
        <v>0.71199999999999997</v>
      </c>
      <c r="R19">
        <f t="shared" si="7"/>
        <v>1</v>
      </c>
      <c r="S19">
        <f t="shared" si="8"/>
        <v>0.626</v>
      </c>
      <c r="T19">
        <f t="shared" si="9"/>
        <v>0.60699999999999998</v>
      </c>
      <c r="U19">
        <f t="shared" si="10"/>
        <v>0.65400000000000003</v>
      </c>
      <c r="V19">
        <f t="shared" si="11"/>
        <v>0.65100000000000002</v>
      </c>
      <c r="W19">
        <f t="shared" si="12"/>
        <v>0.68700000000000006</v>
      </c>
      <c r="X19">
        <f t="shared" si="13"/>
        <v>0.71699999999999997</v>
      </c>
      <c r="Y19">
        <f t="shared" si="14"/>
        <v>0.69979999999999998</v>
      </c>
    </row>
    <row r="20" spans="1:25" x14ac:dyDescent="0.35">
      <c r="A20">
        <v>17</v>
      </c>
      <c r="B20">
        <f>'[11]GABM_R03_NavidAPI_sf_fb-data'!$G19</f>
        <v>703</v>
      </c>
      <c r="C20">
        <f>'[12]GABM_R03_savannah_sf_fb-data'!$G19</f>
        <v>660</v>
      </c>
      <c r="D20">
        <f>'[13]GABM_R03_MitchellAPI_sf_fb-data'!$G19</f>
        <v>684</v>
      </c>
      <c r="E20" s="4">
        <v>1000</v>
      </c>
      <c r="F20">
        <f>'[15]GABM_R03_Terry_sf_fb-data'!$G19</f>
        <v>685</v>
      </c>
      <c r="G20">
        <f>'[16]R03_GABM_NiyoushaAPI_sf_fb-data'!$G19</f>
        <v>625</v>
      </c>
      <c r="H20">
        <f>'[17]GABM_R03_SudipaAPI_sf_fb-data'!$G19</f>
        <v>659</v>
      </c>
      <c r="I20">
        <f>'[18]GABM_R03_Terry_sf_fb_2-data'!$G19</f>
        <v>692</v>
      </c>
      <c r="J20">
        <f>'[19]GABM_R03_NavidAPI_sf_fb_2-data'!$G19</f>
        <v>673</v>
      </c>
      <c r="K20">
        <f>'[20]R03_GABM_NiyoushaAPI_sf_fb_2-da'!$G19</f>
        <v>658</v>
      </c>
      <c r="L20">
        <f t="shared" si="3"/>
        <v>703.9</v>
      </c>
      <c r="N20">
        <f t="shared" si="1"/>
        <v>17</v>
      </c>
      <c r="O20">
        <f t="shared" si="4"/>
        <v>0.70299999999999996</v>
      </c>
      <c r="P20">
        <f t="shared" si="5"/>
        <v>0.66</v>
      </c>
      <c r="Q20">
        <f t="shared" si="6"/>
        <v>0.68400000000000005</v>
      </c>
      <c r="R20">
        <f t="shared" si="7"/>
        <v>1</v>
      </c>
      <c r="S20">
        <f t="shared" si="8"/>
        <v>0.68500000000000005</v>
      </c>
      <c r="T20">
        <f t="shared" si="9"/>
        <v>0.625</v>
      </c>
      <c r="U20">
        <f t="shared" si="10"/>
        <v>0.65900000000000003</v>
      </c>
      <c r="V20">
        <f t="shared" si="11"/>
        <v>0.69199999999999995</v>
      </c>
      <c r="W20">
        <f t="shared" si="12"/>
        <v>0.67300000000000004</v>
      </c>
      <c r="X20">
        <f t="shared" si="13"/>
        <v>0.65800000000000003</v>
      </c>
      <c r="Y20">
        <f t="shared" si="14"/>
        <v>0.70389999999999997</v>
      </c>
    </row>
    <row r="21" spans="1:25" x14ac:dyDescent="0.35">
      <c r="A21">
        <v>18</v>
      </c>
      <c r="B21">
        <f>'[11]GABM_R03_NavidAPI_sf_fb-data'!$G20</f>
        <v>742</v>
      </c>
      <c r="C21">
        <f>'[12]GABM_R03_savannah_sf_fb-data'!$G20</f>
        <v>668</v>
      </c>
      <c r="D21">
        <f>'[13]GABM_R03_MitchellAPI_sf_fb-data'!$G20</f>
        <v>667</v>
      </c>
      <c r="E21" s="4">
        <v>1000</v>
      </c>
      <c r="F21">
        <f>'[15]GABM_R03_Terry_sf_fb-data'!$G20</f>
        <v>745</v>
      </c>
      <c r="G21">
        <f>'[16]R03_GABM_NiyoushaAPI_sf_fb-data'!$G20</f>
        <v>699</v>
      </c>
      <c r="H21">
        <f>'[17]GABM_R03_SudipaAPI_sf_fb-data'!$G20</f>
        <v>697</v>
      </c>
      <c r="I21">
        <f>'[18]GABM_R03_Terry_sf_fb_2-data'!$G20</f>
        <v>764</v>
      </c>
      <c r="J21">
        <f>'[19]GABM_R03_NavidAPI_sf_fb_2-data'!$G20</f>
        <v>690</v>
      </c>
      <c r="K21">
        <f>'[20]R03_GABM_NiyoushaAPI_sf_fb_2-da'!$G20</f>
        <v>629</v>
      </c>
      <c r="L21">
        <f t="shared" si="3"/>
        <v>730.1</v>
      </c>
      <c r="N21">
        <f t="shared" si="1"/>
        <v>18</v>
      </c>
      <c r="O21">
        <f t="shared" si="4"/>
        <v>0.74199999999999999</v>
      </c>
      <c r="P21">
        <f t="shared" si="5"/>
        <v>0.66800000000000004</v>
      </c>
      <c r="Q21">
        <f t="shared" si="6"/>
        <v>0.66700000000000004</v>
      </c>
      <c r="R21">
        <f t="shared" si="7"/>
        <v>1</v>
      </c>
      <c r="S21">
        <f t="shared" si="8"/>
        <v>0.745</v>
      </c>
      <c r="T21">
        <f t="shared" si="9"/>
        <v>0.69899999999999995</v>
      </c>
      <c r="U21">
        <f t="shared" si="10"/>
        <v>0.69699999999999995</v>
      </c>
      <c r="V21">
        <f t="shared" si="11"/>
        <v>0.76400000000000001</v>
      </c>
      <c r="W21">
        <f t="shared" si="12"/>
        <v>0.69</v>
      </c>
      <c r="X21">
        <f t="shared" si="13"/>
        <v>0.629</v>
      </c>
      <c r="Y21">
        <f t="shared" si="14"/>
        <v>0.73009999999999997</v>
      </c>
    </row>
    <row r="22" spans="1:25" x14ac:dyDescent="0.35">
      <c r="A22">
        <v>19</v>
      </c>
      <c r="B22">
        <f>'[11]GABM_R03_NavidAPI_sf_fb-data'!$G21</f>
        <v>809</v>
      </c>
      <c r="C22">
        <f>'[12]GABM_R03_savannah_sf_fb-data'!$G21</f>
        <v>704</v>
      </c>
      <c r="D22">
        <f>'[13]GABM_R03_MitchellAPI_sf_fb-data'!$G21</f>
        <v>693</v>
      </c>
      <c r="E22" s="4">
        <v>1000</v>
      </c>
      <c r="F22">
        <f>'[15]GABM_R03_Terry_sf_fb-data'!$G21</f>
        <v>818</v>
      </c>
      <c r="G22">
        <f>'[16]R03_GABM_NiyoushaAPI_sf_fb-data'!$G21</f>
        <v>788</v>
      </c>
      <c r="H22">
        <f>'[17]GABM_R03_SudipaAPI_sf_fb-data'!$G21</f>
        <v>747</v>
      </c>
      <c r="I22">
        <f>'[18]GABM_R03_Terry_sf_fb_2-data'!$G21</f>
        <v>844</v>
      </c>
      <c r="J22">
        <f>'[19]GABM_R03_NavidAPI_sf_fb_2-data'!$G21</f>
        <v>734</v>
      </c>
      <c r="K22">
        <f>'[20]R03_GABM_NiyoushaAPI_sf_fb_2-da'!$G21</f>
        <v>642</v>
      </c>
      <c r="L22">
        <f t="shared" si="3"/>
        <v>777.9</v>
      </c>
      <c r="N22">
        <f t="shared" si="1"/>
        <v>19</v>
      </c>
      <c r="O22">
        <f t="shared" si="4"/>
        <v>0.80900000000000005</v>
      </c>
      <c r="P22">
        <f t="shared" si="5"/>
        <v>0.70399999999999996</v>
      </c>
      <c r="Q22">
        <f t="shared" si="6"/>
        <v>0.69299999999999995</v>
      </c>
      <c r="R22">
        <f t="shared" si="7"/>
        <v>1</v>
      </c>
      <c r="S22">
        <f t="shared" si="8"/>
        <v>0.81799999999999995</v>
      </c>
      <c r="T22">
        <f t="shared" si="9"/>
        <v>0.78800000000000003</v>
      </c>
      <c r="U22">
        <f t="shared" si="10"/>
        <v>0.747</v>
      </c>
      <c r="V22">
        <f t="shared" si="11"/>
        <v>0.84399999999999997</v>
      </c>
      <c r="W22">
        <f t="shared" si="12"/>
        <v>0.73399999999999999</v>
      </c>
      <c r="X22">
        <f t="shared" si="13"/>
        <v>0.64200000000000002</v>
      </c>
      <c r="Y22">
        <f t="shared" si="14"/>
        <v>0.77789999999999992</v>
      </c>
    </row>
    <row r="23" spans="1:25" x14ac:dyDescent="0.35">
      <c r="A23">
        <v>20</v>
      </c>
      <c r="B23">
        <f>'[11]GABM_R03_NavidAPI_sf_fb-data'!$G22</f>
        <v>865</v>
      </c>
      <c r="C23">
        <f>'[12]GABM_R03_savannah_sf_fb-data'!$G22</f>
        <v>765</v>
      </c>
      <c r="D23">
        <f>'[13]GABM_R03_MitchellAPI_sf_fb-data'!$G22</f>
        <v>738</v>
      </c>
      <c r="E23" s="4">
        <v>1000</v>
      </c>
      <c r="F23">
        <f>'[15]GABM_R03_Terry_sf_fb-data'!$G22</f>
        <v>882</v>
      </c>
      <c r="G23">
        <f>'[16]R03_GABM_NiyoushaAPI_sf_fb-data'!$G22</f>
        <v>853</v>
      </c>
      <c r="H23">
        <f>'[17]GABM_R03_SudipaAPI_sf_fb-data'!$G22</f>
        <v>819</v>
      </c>
      <c r="I23">
        <f>'[18]GABM_R03_Terry_sf_fb_2-data'!$G22</f>
        <v>905</v>
      </c>
      <c r="J23">
        <f>'[19]GABM_R03_NavidAPI_sf_fb_2-data'!$G22</f>
        <v>771</v>
      </c>
      <c r="K23">
        <f>'[20]R03_GABM_NiyoushaAPI_sf_fb_2-da'!$G22</f>
        <v>695</v>
      </c>
      <c r="L23">
        <f t="shared" si="3"/>
        <v>829.3</v>
      </c>
      <c r="N23">
        <f t="shared" si="1"/>
        <v>20</v>
      </c>
      <c r="O23">
        <f t="shared" si="4"/>
        <v>0.86499999999999999</v>
      </c>
      <c r="P23">
        <f t="shared" si="5"/>
        <v>0.76500000000000001</v>
      </c>
      <c r="Q23">
        <f t="shared" si="6"/>
        <v>0.73799999999999999</v>
      </c>
      <c r="R23">
        <f t="shared" si="7"/>
        <v>1</v>
      </c>
      <c r="S23">
        <f t="shared" si="8"/>
        <v>0.88200000000000001</v>
      </c>
      <c r="T23">
        <f t="shared" si="9"/>
        <v>0.85299999999999998</v>
      </c>
      <c r="U23">
        <f t="shared" si="10"/>
        <v>0.81899999999999995</v>
      </c>
      <c r="V23">
        <f t="shared" si="11"/>
        <v>0.90500000000000003</v>
      </c>
      <c r="W23">
        <f t="shared" si="12"/>
        <v>0.77100000000000002</v>
      </c>
      <c r="X23">
        <f t="shared" si="13"/>
        <v>0.69499999999999995</v>
      </c>
      <c r="Y23">
        <f t="shared" si="14"/>
        <v>0.82929999999999993</v>
      </c>
    </row>
    <row r="24" spans="1:25" x14ac:dyDescent="0.35">
      <c r="A24">
        <v>21</v>
      </c>
      <c r="B24">
        <f>'[11]GABM_R03_NavidAPI_sf_fb-data'!$G23</f>
        <v>910</v>
      </c>
      <c r="C24">
        <f>'[12]GABM_R03_savannah_sf_fb-data'!$G23</f>
        <v>822</v>
      </c>
      <c r="D24">
        <f>'[13]GABM_R03_MitchellAPI_sf_fb-data'!$G23</f>
        <v>796</v>
      </c>
      <c r="E24" s="4">
        <v>1000</v>
      </c>
      <c r="F24">
        <f>'[15]GABM_R03_Terry_sf_fb-data'!$G23</f>
        <v>913</v>
      </c>
      <c r="G24">
        <f>'[16]R03_GABM_NiyoushaAPI_sf_fb-data'!$G23</f>
        <v>913</v>
      </c>
      <c r="H24">
        <f>'[17]GABM_R03_SudipaAPI_sf_fb-data'!$G23</f>
        <v>880</v>
      </c>
      <c r="I24">
        <f>'[18]GABM_R03_Terry_sf_fb_2-data'!$G23</f>
        <v>955</v>
      </c>
      <c r="J24">
        <f>'[19]GABM_R03_NavidAPI_sf_fb_2-data'!$G23</f>
        <v>829</v>
      </c>
      <c r="K24">
        <f>'[20]R03_GABM_NiyoushaAPI_sf_fb_2-da'!$G23</f>
        <v>761</v>
      </c>
      <c r="L24">
        <f t="shared" si="3"/>
        <v>877.9</v>
      </c>
      <c r="N24">
        <f t="shared" si="1"/>
        <v>21</v>
      </c>
      <c r="O24">
        <f t="shared" si="4"/>
        <v>0.91</v>
      </c>
      <c r="P24">
        <f t="shared" si="5"/>
        <v>0.82199999999999995</v>
      </c>
      <c r="Q24">
        <f t="shared" si="6"/>
        <v>0.79600000000000004</v>
      </c>
      <c r="R24">
        <f t="shared" si="7"/>
        <v>1</v>
      </c>
      <c r="S24">
        <f t="shared" si="8"/>
        <v>0.91300000000000003</v>
      </c>
      <c r="T24">
        <f t="shared" si="9"/>
        <v>0.91300000000000003</v>
      </c>
      <c r="U24">
        <f t="shared" si="10"/>
        <v>0.88</v>
      </c>
      <c r="V24">
        <f t="shared" si="11"/>
        <v>0.95499999999999996</v>
      </c>
      <c r="W24">
        <f t="shared" si="12"/>
        <v>0.82899999999999996</v>
      </c>
      <c r="X24">
        <f t="shared" si="13"/>
        <v>0.76100000000000001</v>
      </c>
      <c r="Y24">
        <f t="shared" si="14"/>
        <v>0.87790000000000001</v>
      </c>
    </row>
    <row r="25" spans="1:25" x14ac:dyDescent="0.35">
      <c r="A25">
        <v>22</v>
      </c>
      <c r="B25">
        <f>'[11]GABM_R03_NavidAPI_sf_fb-data'!$G24</f>
        <v>947</v>
      </c>
      <c r="C25">
        <f>'[12]GABM_R03_savannah_sf_fb-data'!$G24</f>
        <v>874</v>
      </c>
      <c r="D25">
        <f>'[13]GABM_R03_MitchellAPI_sf_fb-data'!$G24</f>
        <v>852</v>
      </c>
      <c r="E25" s="4">
        <v>1000</v>
      </c>
      <c r="F25">
        <f>'[15]GABM_R03_Terry_sf_fb-data'!$G24</f>
        <v>946</v>
      </c>
      <c r="G25">
        <f>'[16]R03_GABM_NiyoushaAPI_sf_fb-data'!$G24</f>
        <v>952</v>
      </c>
      <c r="H25">
        <f>'[17]GABM_R03_SudipaAPI_sf_fb-data'!$G24</f>
        <v>925</v>
      </c>
      <c r="I25">
        <f>'[18]GABM_R03_Terry_sf_fb_2-data'!$G24</f>
        <v>978</v>
      </c>
      <c r="J25">
        <f>'[19]GABM_R03_NavidAPI_sf_fb_2-data'!$G24</f>
        <v>876</v>
      </c>
      <c r="K25">
        <f>'[20]R03_GABM_NiyoushaAPI_sf_fb_2-da'!$G24</f>
        <v>836</v>
      </c>
      <c r="L25">
        <f t="shared" si="3"/>
        <v>918.6</v>
      </c>
      <c r="N25">
        <f t="shared" si="1"/>
        <v>22</v>
      </c>
      <c r="O25">
        <f t="shared" si="4"/>
        <v>0.94699999999999995</v>
      </c>
      <c r="P25">
        <f t="shared" si="5"/>
        <v>0.874</v>
      </c>
      <c r="Q25">
        <f t="shared" si="6"/>
        <v>0.85199999999999998</v>
      </c>
      <c r="R25">
        <f t="shared" si="7"/>
        <v>1</v>
      </c>
      <c r="S25">
        <f t="shared" si="8"/>
        <v>0.94599999999999995</v>
      </c>
      <c r="T25">
        <f t="shared" si="9"/>
        <v>0.95199999999999996</v>
      </c>
      <c r="U25">
        <f t="shared" si="10"/>
        <v>0.92500000000000004</v>
      </c>
      <c r="V25">
        <f t="shared" si="11"/>
        <v>0.97799999999999998</v>
      </c>
      <c r="W25">
        <f t="shared" si="12"/>
        <v>0.876</v>
      </c>
      <c r="X25">
        <f t="shared" si="13"/>
        <v>0.83599999999999997</v>
      </c>
      <c r="Y25">
        <f t="shared" si="14"/>
        <v>0.91859999999999997</v>
      </c>
    </row>
    <row r="26" spans="1:25" x14ac:dyDescent="0.35">
      <c r="A26">
        <v>23</v>
      </c>
      <c r="B26">
        <f>'[11]GABM_R03_NavidAPI_sf_fb-data'!$G25</f>
        <v>965</v>
      </c>
      <c r="C26">
        <f>'[12]GABM_R03_savannah_sf_fb-data'!$G25</f>
        <v>922</v>
      </c>
      <c r="D26">
        <f>'[13]GABM_R03_MitchellAPI_sf_fb-data'!$G25</f>
        <v>901</v>
      </c>
      <c r="E26" s="4">
        <v>1000</v>
      </c>
      <c r="F26">
        <f>'[15]GABM_R03_Terry_sf_fb-data'!$G25</f>
        <v>959</v>
      </c>
      <c r="G26">
        <f>'[16]R03_GABM_NiyoushaAPI_sf_fb-data'!$G25</f>
        <v>972</v>
      </c>
      <c r="H26">
        <f>'[17]GABM_R03_SudipaAPI_sf_fb-data'!$G25</f>
        <v>957</v>
      </c>
      <c r="I26">
        <f>'[18]GABM_R03_Terry_sf_fb_2-data'!$G25</f>
        <v>985</v>
      </c>
      <c r="J26">
        <f>'[19]GABM_R03_NavidAPI_sf_fb_2-data'!$G25</f>
        <v>921</v>
      </c>
      <c r="K26">
        <f>'[20]R03_GABM_NiyoushaAPI_sf_fb_2-da'!$G25</f>
        <v>895</v>
      </c>
      <c r="L26">
        <f t="shared" si="3"/>
        <v>947.7</v>
      </c>
      <c r="N26">
        <f t="shared" si="1"/>
        <v>23</v>
      </c>
      <c r="O26">
        <f t="shared" si="4"/>
        <v>0.96499999999999997</v>
      </c>
      <c r="P26">
        <f t="shared" si="5"/>
        <v>0.92200000000000004</v>
      </c>
      <c r="Q26">
        <f t="shared" si="6"/>
        <v>0.90100000000000002</v>
      </c>
      <c r="R26">
        <f t="shared" si="7"/>
        <v>1</v>
      </c>
      <c r="S26">
        <f t="shared" si="8"/>
        <v>0.95899999999999996</v>
      </c>
      <c r="T26">
        <f t="shared" si="9"/>
        <v>0.97199999999999998</v>
      </c>
      <c r="U26">
        <f t="shared" si="10"/>
        <v>0.95699999999999996</v>
      </c>
      <c r="V26">
        <f t="shared" si="11"/>
        <v>0.98499999999999999</v>
      </c>
      <c r="W26">
        <f t="shared" si="12"/>
        <v>0.92100000000000004</v>
      </c>
      <c r="X26">
        <f t="shared" si="13"/>
        <v>0.89500000000000002</v>
      </c>
      <c r="Y26">
        <f t="shared" si="14"/>
        <v>0.9477000000000001</v>
      </c>
    </row>
    <row r="27" spans="1:25" x14ac:dyDescent="0.35">
      <c r="A27">
        <v>24</v>
      </c>
      <c r="B27">
        <f>'[11]GABM_R03_NavidAPI_sf_fb-data'!$G26</f>
        <v>982</v>
      </c>
      <c r="C27">
        <f>'[12]GABM_R03_savannah_sf_fb-data'!$G26</f>
        <v>952</v>
      </c>
      <c r="D27">
        <f>'[13]GABM_R03_MitchellAPI_sf_fb-data'!$G26</f>
        <v>932</v>
      </c>
      <c r="E27" s="4">
        <v>1000</v>
      </c>
      <c r="F27">
        <f>'[15]GABM_R03_Terry_sf_fb-data'!$G26</f>
        <v>971</v>
      </c>
      <c r="G27">
        <f>'[16]R03_GABM_NiyoushaAPI_sf_fb-data'!$G26</f>
        <v>989</v>
      </c>
      <c r="H27">
        <f>'[17]GABM_R03_SudipaAPI_sf_fb-data'!$G26</f>
        <v>971</v>
      </c>
      <c r="I27">
        <f>'[18]GABM_R03_Terry_sf_fb_2-data'!$G26</f>
        <v>992</v>
      </c>
      <c r="J27">
        <f>'[19]GABM_R03_NavidAPI_sf_fb_2-data'!$G26</f>
        <v>956</v>
      </c>
      <c r="K27">
        <f>'[20]R03_GABM_NiyoushaAPI_sf_fb_2-da'!$G26</f>
        <v>938</v>
      </c>
      <c r="L27">
        <f t="shared" si="3"/>
        <v>968.3</v>
      </c>
      <c r="N27">
        <f t="shared" si="1"/>
        <v>24</v>
      </c>
      <c r="O27">
        <f t="shared" si="4"/>
        <v>0.98199999999999998</v>
      </c>
      <c r="P27">
        <f t="shared" si="5"/>
        <v>0.95199999999999996</v>
      </c>
      <c r="Q27">
        <f t="shared" si="6"/>
        <v>0.93200000000000005</v>
      </c>
      <c r="R27">
        <f t="shared" si="7"/>
        <v>1</v>
      </c>
      <c r="S27">
        <f t="shared" si="8"/>
        <v>0.97099999999999997</v>
      </c>
      <c r="T27">
        <f t="shared" si="9"/>
        <v>0.98899999999999999</v>
      </c>
      <c r="U27">
        <f t="shared" si="10"/>
        <v>0.97099999999999997</v>
      </c>
      <c r="V27">
        <f t="shared" si="11"/>
        <v>0.99199999999999999</v>
      </c>
      <c r="W27">
        <f t="shared" si="12"/>
        <v>0.95599999999999996</v>
      </c>
      <c r="X27">
        <f t="shared" si="13"/>
        <v>0.93799999999999994</v>
      </c>
      <c r="Y27">
        <f t="shared" si="14"/>
        <v>0.96829999999999994</v>
      </c>
    </row>
    <row r="28" spans="1:25" x14ac:dyDescent="0.35">
      <c r="A28">
        <v>25</v>
      </c>
      <c r="B28">
        <f>'[11]GABM_R03_NavidAPI_sf_fb-data'!$G27</f>
        <v>989</v>
      </c>
      <c r="C28">
        <f>'[12]GABM_R03_savannah_sf_fb-data'!$G27</f>
        <v>972</v>
      </c>
      <c r="D28">
        <f>'[13]GABM_R03_MitchellAPI_sf_fb-data'!$G27</f>
        <v>956</v>
      </c>
      <c r="E28" s="4">
        <v>1000</v>
      </c>
      <c r="F28">
        <f>'[15]GABM_R03_Terry_sf_fb-data'!$G27</f>
        <v>983</v>
      </c>
      <c r="G28">
        <f>'[16]R03_GABM_NiyoushaAPI_sf_fb-data'!$G27</f>
        <v>996</v>
      </c>
      <c r="H28">
        <f>'[17]GABM_R03_SudipaAPI_sf_fb-data'!$G27</f>
        <v>978</v>
      </c>
      <c r="I28">
        <f>'[18]GABM_R03_Terry_sf_fb_2-data'!$G27</f>
        <v>992</v>
      </c>
      <c r="J28">
        <f>'[19]GABM_R03_NavidAPI_sf_fb_2-data'!$G27</f>
        <v>978</v>
      </c>
      <c r="K28">
        <f>'[20]R03_GABM_NiyoushaAPI_sf_fb_2-da'!$G27</f>
        <v>965</v>
      </c>
      <c r="L28">
        <f t="shared" si="3"/>
        <v>980.9</v>
      </c>
      <c r="N28">
        <f t="shared" si="1"/>
        <v>25</v>
      </c>
      <c r="O28">
        <f t="shared" si="4"/>
        <v>0.98899999999999999</v>
      </c>
      <c r="P28">
        <f t="shared" si="5"/>
        <v>0.97199999999999998</v>
      </c>
      <c r="Q28">
        <f t="shared" si="6"/>
        <v>0.95599999999999996</v>
      </c>
      <c r="R28">
        <f t="shared" si="7"/>
        <v>1</v>
      </c>
      <c r="S28">
        <f t="shared" si="8"/>
        <v>0.98299999999999998</v>
      </c>
      <c r="T28">
        <f t="shared" si="9"/>
        <v>0.996</v>
      </c>
      <c r="U28">
        <f t="shared" si="10"/>
        <v>0.97799999999999998</v>
      </c>
      <c r="V28">
        <f t="shared" si="11"/>
        <v>0.99199999999999999</v>
      </c>
      <c r="W28">
        <f t="shared" si="12"/>
        <v>0.97799999999999998</v>
      </c>
      <c r="X28">
        <f t="shared" si="13"/>
        <v>0.96499999999999997</v>
      </c>
      <c r="Y28">
        <f t="shared" si="14"/>
        <v>0.98089999999999999</v>
      </c>
    </row>
    <row r="29" spans="1:25" x14ac:dyDescent="0.35">
      <c r="A29">
        <v>26</v>
      </c>
      <c r="B29">
        <f>'[11]GABM_R03_NavidAPI_sf_fb-data'!$G28</f>
        <v>994</v>
      </c>
      <c r="C29">
        <f>'[12]GABM_R03_savannah_sf_fb-data'!$G28</f>
        <v>986</v>
      </c>
      <c r="D29">
        <f>'[13]GABM_R03_MitchellAPI_sf_fb-data'!$G28</f>
        <v>972</v>
      </c>
      <c r="E29" s="4">
        <v>1000</v>
      </c>
      <c r="F29">
        <f>'[15]GABM_R03_Terry_sf_fb-data'!$G28</f>
        <v>988</v>
      </c>
      <c r="G29">
        <f>'[16]R03_GABM_NiyoushaAPI_sf_fb-data'!$G28</f>
        <v>998</v>
      </c>
      <c r="H29">
        <f>'[17]GABM_R03_SudipaAPI_sf_fb-data'!$G28</f>
        <v>988</v>
      </c>
      <c r="I29">
        <f>'[18]GABM_R03_Terry_sf_fb_2-data'!$G28</f>
        <v>996</v>
      </c>
      <c r="J29">
        <f>'[19]GABM_R03_NavidAPI_sf_fb_2-data'!$G28</f>
        <v>992</v>
      </c>
      <c r="K29">
        <f>'[20]R03_GABM_NiyoushaAPI_sf_fb_2-da'!$G28</f>
        <v>974</v>
      </c>
      <c r="L29">
        <f t="shared" si="3"/>
        <v>988.8</v>
      </c>
      <c r="N29">
        <f t="shared" si="1"/>
        <v>26</v>
      </c>
      <c r="O29">
        <f t="shared" si="4"/>
        <v>0.99399999999999999</v>
      </c>
      <c r="P29">
        <f t="shared" si="5"/>
        <v>0.98599999999999999</v>
      </c>
      <c r="Q29">
        <f t="shared" si="6"/>
        <v>0.97199999999999998</v>
      </c>
      <c r="R29">
        <f t="shared" si="7"/>
        <v>1</v>
      </c>
      <c r="S29">
        <f t="shared" si="8"/>
        <v>0.98799999999999999</v>
      </c>
      <c r="T29">
        <f t="shared" si="9"/>
        <v>0.998</v>
      </c>
      <c r="U29">
        <f t="shared" si="10"/>
        <v>0.98799999999999999</v>
      </c>
      <c r="V29">
        <f t="shared" si="11"/>
        <v>0.996</v>
      </c>
      <c r="W29">
        <f t="shared" si="12"/>
        <v>0.99199999999999999</v>
      </c>
      <c r="X29">
        <f t="shared" si="13"/>
        <v>0.97399999999999998</v>
      </c>
      <c r="Y29">
        <f t="shared" si="14"/>
        <v>0.9887999999999999</v>
      </c>
    </row>
    <row r="30" spans="1:25" x14ac:dyDescent="0.35">
      <c r="A30">
        <v>27</v>
      </c>
      <c r="B30">
        <f>'[11]GABM_R03_NavidAPI_sf_fb-data'!$G29</f>
        <v>997</v>
      </c>
      <c r="C30">
        <f>'[12]GABM_R03_savannah_sf_fb-data'!$G29</f>
        <v>991</v>
      </c>
      <c r="D30">
        <f>'[13]GABM_R03_MitchellAPI_sf_fb-data'!$G29</f>
        <v>980</v>
      </c>
      <c r="E30" s="4">
        <v>1000</v>
      </c>
      <c r="F30">
        <f>'[15]GABM_R03_Terry_sf_fb-data'!$G29</f>
        <v>993</v>
      </c>
      <c r="G30" s="4">
        <v>1000</v>
      </c>
      <c r="H30">
        <f>'[17]GABM_R03_SudipaAPI_sf_fb-data'!$G29</f>
        <v>991</v>
      </c>
      <c r="I30">
        <f>'[18]GABM_R03_Terry_sf_fb_2-data'!$G29</f>
        <v>996</v>
      </c>
      <c r="J30">
        <f>'[19]GABM_R03_NavidAPI_sf_fb_2-data'!$G29</f>
        <v>997</v>
      </c>
      <c r="K30">
        <f>'[20]R03_GABM_NiyoushaAPI_sf_fb_2-da'!$G29</f>
        <v>983</v>
      </c>
      <c r="L30">
        <f t="shared" si="3"/>
        <v>992.8</v>
      </c>
      <c r="N30">
        <f t="shared" si="1"/>
        <v>27</v>
      </c>
      <c r="O30">
        <f t="shared" si="4"/>
        <v>0.997</v>
      </c>
      <c r="P30">
        <f t="shared" si="5"/>
        <v>0.99099999999999999</v>
      </c>
      <c r="Q30">
        <f t="shared" si="6"/>
        <v>0.98</v>
      </c>
      <c r="R30">
        <f t="shared" si="7"/>
        <v>1</v>
      </c>
      <c r="S30">
        <f t="shared" si="8"/>
        <v>0.99299999999999999</v>
      </c>
      <c r="T30">
        <f t="shared" si="9"/>
        <v>1</v>
      </c>
      <c r="U30">
        <f t="shared" si="10"/>
        <v>0.99099999999999999</v>
      </c>
      <c r="V30">
        <f t="shared" si="11"/>
        <v>0.996</v>
      </c>
      <c r="W30">
        <f t="shared" si="12"/>
        <v>0.997</v>
      </c>
      <c r="X30">
        <f t="shared" si="13"/>
        <v>0.98299999999999998</v>
      </c>
      <c r="Y30">
        <f t="shared" si="14"/>
        <v>0.9927999999999999</v>
      </c>
    </row>
    <row r="31" spans="1:25" x14ac:dyDescent="0.35">
      <c r="A31">
        <v>28</v>
      </c>
      <c r="B31">
        <f>'[11]GABM_R03_NavidAPI_sf_fb-data'!$G30</f>
        <v>997</v>
      </c>
      <c r="C31">
        <f>'[12]GABM_R03_savannah_sf_fb-data'!$G30</f>
        <v>995</v>
      </c>
      <c r="D31">
        <f>'[13]GABM_R03_MitchellAPI_sf_fb-data'!$G30</f>
        <v>990</v>
      </c>
      <c r="E31" s="4">
        <v>1000</v>
      </c>
      <c r="F31">
        <f>'[15]GABM_R03_Terry_sf_fb-data'!$G30</f>
        <v>996</v>
      </c>
      <c r="G31" s="4">
        <v>1000</v>
      </c>
      <c r="H31">
        <f>'[17]GABM_R03_SudipaAPI_sf_fb-data'!$G30</f>
        <v>993</v>
      </c>
      <c r="I31">
        <f>'[18]GABM_R03_Terry_sf_fb_2-data'!$G30</f>
        <v>997</v>
      </c>
      <c r="J31">
        <f>'[19]GABM_R03_NavidAPI_sf_fb_2-data'!$G30</f>
        <v>999</v>
      </c>
      <c r="K31">
        <f>'[20]R03_GABM_NiyoushaAPI_sf_fb_2-da'!$G30</f>
        <v>989</v>
      </c>
      <c r="L31">
        <f t="shared" si="3"/>
        <v>995.6</v>
      </c>
      <c r="N31">
        <f t="shared" si="1"/>
        <v>28</v>
      </c>
      <c r="O31">
        <f t="shared" si="4"/>
        <v>0.997</v>
      </c>
      <c r="P31">
        <f t="shared" si="5"/>
        <v>0.995</v>
      </c>
      <c r="Q31">
        <f t="shared" si="6"/>
        <v>0.99</v>
      </c>
      <c r="R31">
        <f t="shared" si="7"/>
        <v>1</v>
      </c>
      <c r="S31">
        <f t="shared" si="8"/>
        <v>0.996</v>
      </c>
      <c r="T31">
        <f t="shared" si="9"/>
        <v>1</v>
      </c>
      <c r="U31">
        <f t="shared" si="10"/>
        <v>0.99299999999999999</v>
      </c>
      <c r="V31">
        <f t="shared" si="11"/>
        <v>0.997</v>
      </c>
      <c r="W31">
        <f t="shared" si="12"/>
        <v>0.999</v>
      </c>
      <c r="X31">
        <f t="shared" si="13"/>
        <v>0.98899999999999999</v>
      </c>
      <c r="Y31">
        <f t="shared" si="14"/>
        <v>0.99560000000000004</v>
      </c>
    </row>
    <row r="32" spans="1:25" x14ac:dyDescent="0.35">
      <c r="A32">
        <v>29</v>
      </c>
      <c r="B32">
        <f>'[11]GABM_R03_NavidAPI_sf_fb-data'!$G31</f>
        <v>996</v>
      </c>
      <c r="C32">
        <f>'[12]GABM_R03_savannah_sf_fb-data'!$G31</f>
        <v>999</v>
      </c>
      <c r="D32">
        <f>'[13]GABM_R03_MitchellAPI_sf_fb-data'!$G31</f>
        <v>994</v>
      </c>
      <c r="E32" s="4">
        <v>1000</v>
      </c>
      <c r="F32">
        <f>'[15]GABM_R03_Terry_sf_fb-data'!$G31</f>
        <v>998</v>
      </c>
      <c r="G32" s="4">
        <v>1000</v>
      </c>
      <c r="H32">
        <f>'[17]GABM_R03_SudipaAPI_sf_fb-data'!$G31</f>
        <v>996</v>
      </c>
      <c r="I32">
        <f>'[18]GABM_R03_Terry_sf_fb_2-data'!$G31</f>
        <v>997</v>
      </c>
      <c r="J32" s="4">
        <v>1000</v>
      </c>
      <c r="K32">
        <f>'[20]R03_GABM_NiyoushaAPI_sf_fb_2-da'!$G31</f>
        <v>993</v>
      </c>
      <c r="L32">
        <f t="shared" si="3"/>
        <v>997.3</v>
      </c>
      <c r="N32">
        <f t="shared" si="1"/>
        <v>29</v>
      </c>
      <c r="O32">
        <f t="shared" si="4"/>
        <v>0.996</v>
      </c>
      <c r="P32">
        <f t="shared" si="5"/>
        <v>0.999</v>
      </c>
      <c r="Q32">
        <f t="shared" si="6"/>
        <v>0.99399999999999999</v>
      </c>
      <c r="R32">
        <f t="shared" si="7"/>
        <v>1</v>
      </c>
      <c r="S32">
        <f t="shared" si="8"/>
        <v>0.998</v>
      </c>
      <c r="T32">
        <f t="shared" si="9"/>
        <v>1</v>
      </c>
      <c r="U32">
        <f t="shared" si="10"/>
        <v>0.996</v>
      </c>
      <c r="V32">
        <f t="shared" si="11"/>
        <v>0.997</v>
      </c>
      <c r="W32">
        <f t="shared" si="12"/>
        <v>1</v>
      </c>
      <c r="X32">
        <f t="shared" si="13"/>
        <v>0.99299999999999999</v>
      </c>
      <c r="Y32">
        <f t="shared" si="14"/>
        <v>0.99729999999999996</v>
      </c>
    </row>
    <row r="33" spans="1:25" x14ac:dyDescent="0.35">
      <c r="A33">
        <v>30</v>
      </c>
      <c r="B33">
        <f>'[11]GABM_R03_NavidAPI_sf_fb-data'!$G32</f>
        <v>997</v>
      </c>
      <c r="C33" s="4">
        <v>1000</v>
      </c>
      <c r="D33">
        <f>'[13]GABM_R03_MitchellAPI_sf_fb-data'!$G32</f>
        <v>997</v>
      </c>
      <c r="E33" s="4">
        <v>1000</v>
      </c>
      <c r="F33">
        <f>'[15]GABM_R03_Terry_sf_fb-data'!$G32</f>
        <v>999</v>
      </c>
      <c r="G33" s="4">
        <v>1000</v>
      </c>
      <c r="H33">
        <f>'[17]GABM_R03_SudipaAPI_sf_fb-data'!$G32</f>
        <v>997</v>
      </c>
      <c r="I33">
        <f>'[18]GABM_R03_Terry_sf_fb_2-data'!$G32</f>
        <v>998</v>
      </c>
      <c r="J33" s="4">
        <v>1000</v>
      </c>
      <c r="K33">
        <f>'[20]R03_GABM_NiyoushaAPI_sf_fb_2-da'!$G32</f>
        <v>996</v>
      </c>
      <c r="L33">
        <f t="shared" si="3"/>
        <v>998.4</v>
      </c>
      <c r="N33">
        <f t="shared" si="1"/>
        <v>30</v>
      </c>
      <c r="O33">
        <f t="shared" si="4"/>
        <v>0.997</v>
      </c>
      <c r="P33">
        <f t="shared" si="5"/>
        <v>1</v>
      </c>
      <c r="Q33">
        <f t="shared" si="6"/>
        <v>0.997</v>
      </c>
      <c r="R33">
        <f t="shared" si="7"/>
        <v>1</v>
      </c>
      <c r="S33">
        <f t="shared" si="8"/>
        <v>0.999</v>
      </c>
      <c r="T33">
        <f t="shared" si="9"/>
        <v>1</v>
      </c>
      <c r="U33">
        <f t="shared" si="10"/>
        <v>0.997</v>
      </c>
      <c r="V33">
        <f t="shared" si="11"/>
        <v>0.998</v>
      </c>
      <c r="W33">
        <f t="shared" si="12"/>
        <v>1</v>
      </c>
      <c r="X33">
        <f t="shared" si="13"/>
        <v>0.996</v>
      </c>
      <c r="Y33">
        <f t="shared" si="14"/>
        <v>0.99839999999999995</v>
      </c>
    </row>
    <row r="34" spans="1:25" x14ac:dyDescent="0.35">
      <c r="A34">
        <v>31</v>
      </c>
      <c r="B34">
        <f>'[11]GABM_R03_NavidAPI_sf_fb-data'!$G33</f>
        <v>999</v>
      </c>
      <c r="C34" s="4">
        <v>1000</v>
      </c>
      <c r="D34">
        <f>'[13]GABM_R03_MitchellAPI_sf_fb-data'!$G33</f>
        <v>999</v>
      </c>
      <c r="E34" s="4">
        <v>1000</v>
      </c>
      <c r="F34" s="4">
        <v>1000</v>
      </c>
      <c r="G34" s="4">
        <v>1000</v>
      </c>
      <c r="H34">
        <f>'[17]GABM_R03_SudipaAPI_sf_fb-data'!$G33</f>
        <v>998</v>
      </c>
      <c r="I34">
        <f>'[18]GABM_R03_Terry_sf_fb_2-data'!$G33</f>
        <v>999</v>
      </c>
      <c r="J34" s="4">
        <v>1000</v>
      </c>
      <c r="K34">
        <f>'[20]R03_GABM_NiyoushaAPI_sf_fb_2-da'!$G33</f>
        <v>997</v>
      </c>
      <c r="L34">
        <f t="shared" si="3"/>
        <v>999.2</v>
      </c>
      <c r="N34">
        <f t="shared" si="1"/>
        <v>31</v>
      </c>
      <c r="O34">
        <f t="shared" si="4"/>
        <v>0.999</v>
      </c>
      <c r="P34">
        <f t="shared" si="5"/>
        <v>1</v>
      </c>
      <c r="Q34">
        <f t="shared" si="6"/>
        <v>0.999</v>
      </c>
      <c r="R34">
        <f t="shared" si="7"/>
        <v>1</v>
      </c>
      <c r="S34">
        <f t="shared" si="8"/>
        <v>1</v>
      </c>
      <c r="T34">
        <f t="shared" si="9"/>
        <v>1</v>
      </c>
      <c r="U34">
        <f t="shared" si="10"/>
        <v>0.998</v>
      </c>
      <c r="V34">
        <f t="shared" si="11"/>
        <v>0.999</v>
      </c>
      <c r="W34">
        <f t="shared" si="12"/>
        <v>1</v>
      </c>
      <c r="X34">
        <f t="shared" si="13"/>
        <v>0.997</v>
      </c>
      <c r="Y34">
        <f t="shared" si="14"/>
        <v>0.99920000000000009</v>
      </c>
    </row>
    <row r="35" spans="1:25" x14ac:dyDescent="0.35">
      <c r="A35">
        <v>32</v>
      </c>
      <c r="B35" s="4">
        <v>1000</v>
      </c>
      <c r="C35" s="4">
        <v>1000</v>
      </c>
      <c r="D35" s="4">
        <v>1000</v>
      </c>
      <c r="E35" s="4">
        <v>1000</v>
      </c>
      <c r="F35" s="4">
        <v>1000</v>
      </c>
      <c r="G35" s="4">
        <v>1000</v>
      </c>
      <c r="H35">
        <f>'[17]GABM_R03_SudipaAPI_sf_fb-data'!$G34</f>
        <v>999</v>
      </c>
      <c r="I35">
        <f>'[18]GABM_R03_Terry_sf_fb_2-data'!$G34</f>
        <v>999</v>
      </c>
      <c r="J35" s="4">
        <v>1000</v>
      </c>
      <c r="K35">
        <f>'[20]R03_GABM_NiyoushaAPI_sf_fb_2-da'!$G34</f>
        <v>998</v>
      </c>
      <c r="L35">
        <f t="shared" si="3"/>
        <v>999.6</v>
      </c>
      <c r="N35">
        <f t="shared" si="1"/>
        <v>32</v>
      </c>
      <c r="O35">
        <f t="shared" si="4"/>
        <v>1</v>
      </c>
      <c r="P35">
        <f t="shared" si="5"/>
        <v>1</v>
      </c>
      <c r="Q35">
        <f t="shared" si="6"/>
        <v>1</v>
      </c>
      <c r="R35">
        <f t="shared" si="7"/>
        <v>1</v>
      </c>
      <c r="S35">
        <f t="shared" si="8"/>
        <v>1</v>
      </c>
      <c r="T35">
        <f t="shared" si="9"/>
        <v>1</v>
      </c>
      <c r="U35">
        <f t="shared" si="10"/>
        <v>0.999</v>
      </c>
      <c r="V35">
        <f t="shared" si="11"/>
        <v>0.999</v>
      </c>
      <c r="W35">
        <f t="shared" si="12"/>
        <v>1</v>
      </c>
      <c r="X35">
        <f t="shared" si="13"/>
        <v>0.998</v>
      </c>
      <c r="Y35">
        <f t="shared" si="14"/>
        <v>0.99960000000000004</v>
      </c>
    </row>
    <row r="36" spans="1:25" x14ac:dyDescent="0.35">
      <c r="A36">
        <v>33</v>
      </c>
      <c r="B36" s="4">
        <v>1000</v>
      </c>
      <c r="C36" s="4">
        <v>1000</v>
      </c>
      <c r="D36" s="4">
        <v>1000</v>
      </c>
      <c r="E36" s="4">
        <v>1000</v>
      </c>
      <c r="F36" s="4">
        <v>1000</v>
      </c>
      <c r="G36" s="4">
        <v>1000</v>
      </c>
      <c r="H36">
        <f>'[17]GABM_R03_SudipaAPI_sf_fb-data'!$G35</f>
        <v>999</v>
      </c>
      <c r="I36" s="4">
        <v>1000</v>
      </c>
      <c r="J36" s="4">
        <v>1000</v>
      </c>
      <c r="K36">
        <f>'[20]R03_GABM_NiyoushaAPI_sf_fb_2-da'!$G35</f>
        <v>999</v>
      </c>
      <c r="L36">
        <f t="shared" si="3"/>
        <v>999.8</v>
      </c>
      <c r="N36">
        <f t="shared" si="1"/>
        <v>33</v>
      </c>
      <c r="O36">
        <f t="shared" si="4"/>
        <v>1</v>
      </c>
      <c r="P36">
        <f t="shared" si="5"/>
        <v>1</v>
      </c>
      <c r="Q36">
        <f t="shared" si="6"/>
        <v>1</v>
      </c>
      <c r="R36">
        <f t="shared" si="7"/>
        <v>1</v>
      </c>
      <c r="S36">
        <f t="shared" si="8"/>
        <v>1</v>
      </c>
      <c r="T36">
        <f t="shared" si="9"/>
        <v>1</v>
      </c>
      <c r="U36">
        <f t="shared" si="10"/>
        <v>0.999</v>
      </c>
      <c r="V36">
        <f t="shared" si="11"/>
        <v>1</v>
      </c>
      <c r="W36">
        <f t="shared" si="12"/>
        <v>1</v>
      </c>
      <c r="X36">
        <f t="shared" si="13"/>
        <v>0.999</v>
      </c>
      <c r="Y36">
        <f t="shared" si="14"/>
        <v>0.99979999999999991</v>
      </c>
    </row>
    <row r="37" spans="1:25" x14ac:dyDescent="0.35">
      <c r="A37">
        <v>34</v>
      </c>
      <c r="B37" s="4">
        <v>1000</v>
      </c>
      <c r="C37" s="4">
        <v>1000</v>
      </c>
      <c r="D37" s="4">
        <v>1000</v>
      </c>
      <c r="E37" s="4">
        <v>1000</v>
      </c>
      <c r="F37" s="4">
        <v>1000</v>
      </c>
      <c r="G37" s="4">
        <v>1000</v>
      </c>
      <c r="H37" s="4">
        <v>1000</v>
      </c>
      <c r="I37" s="4">
        <v>1000</v>
      </c>
      <c r="J37" s="4">
        <v>1000</v>
      </c>
      <c r="K37">
        <f>'[20]R03_GABM_NiyoushaAPI_sf_fb_2-da'!$G36</f>
        <v>999</v>
      </c>
      <c r="L37">
        <f t="shared" si="3"/>
        <v>999.9</v>
      </c>
      <c r="N37">
        <f t="shared" si="1"/>
        <v>34</v>
      </c>
      <c r="O37">
        <f t="shared" si="4"/>
        <v>1</v>
      </c>
      <c r="P37">
        <f t="shared" si="5"/>
        <v>1</v>
      </c>
      <c r="Q37">
        <f t="shared" si="6"/>
        <v>1</v>
      </c>
      <c r="R37">
        <f t="shared" si="7"/>
        <v>1</v>
      </c>
      <c r="S37">
        <f t="shared" si="8"/>
        <v>1</v>
      </c>
      <c r="T37">
        <f t="shared" si="9"/>
        <v>1</v>
      </c>
      <c r="U37">
        <f t="shared" si="10"/>
        <v>1</v>
      </c>
      <c r="V37">
        <f t="shared" si="11"/>
        <v>1</v>
      </c>
      <c r="W37">
        <f t="shared" si="12"/>
        <v>1</v>
      </c>
      <c r="X37">
        <f t="shared" si="13"/>
        <v>0.999</v>
      </c>
      <c r="Y37">
        <f t="shared" si="14"/>
        <v>0.99990000000000001</v>
      </c>
    </row>
    <row r="39" spans="1:25" x14ac:dyDescent="0.35">
      <c r="N39" t="s">
        <v>25</v>
      </c>
      <c r="O39">
        <f>AVERAGE(O4:O28)</f>
        <v>0.87563999999999997</v>
      </c>
      <c r="P39">
        <f>AVERAGE(P4:P28)</f>
        <v>0.87620000000000009</v>
      </c>
      <c r="Q39">
        <f t="shared" ref="Q39:X39" si="15">AVERAGE(Q4:Q28)</f>
        <v>0.87927999999999995</v>
      </c>
      <c r="R39">
        <f t="shared" si="15"/>
        <v>0.99968000000000001</v>
      </c>
      <c r="S39" s="6">
        <f t="shared" si="15"/>
        <v>0.8792000000000002</v>
      </c>
      <c r="T39">
        <f t="shared" si="15"/>
        <v>0.8704400000000001</v>
      </c>
      <c r="U39">
        <f t="shared" si="15"/>
        <v>0.87748000000000004</v>
      </c>
      <c r="V39">
        <f t="shared" si="15"/>
        <v>0.87387999999999988</v>
      </c>
      <c r="W39">
        <f t="shared" si="15"/>
        <v>0.87872000000000017</v>
      </c>
      <c r="X39">
        <f t="shared" si="15"/>
        <v>0.87975999999999988</v>
      </c>
    </row>
    <row r="41" spans="1:25" x14ac:dyDescent="0.35">
      <c r="N41" t="s">
        <v>26</v>
      </c>
      <c r="O41">
        <f>AVERAGE(O39:X39)</f>
        <v>0.88902800000000004</v>
      </c>
    </row>
    <row r="42" spans="1:25" x14ac:dyDescent="0.35">
      <c r="C42">
        <v>350</v>
      </c>
      <c r="D42">
        <f>COUNTIF(B10:K37,1000)</f>
        <v>60</v>
      </c>
      <c r="N42" t="s">
        <v>28</v>
      </c>
      <c r="O42">
        <f>MIN(O39:X39)</f>
        <v>0.8704400000000001</v>
      </c>
    </row>
    <row r="43" spans="1:25" x14ac:dyDescent="0.35">
      <c r="D43">
        <f>C42-D42</f>
        <v>290</v>
      </c>
      <c r="N43" t="s">
        <v>27</v>
      </c>
      <c r="O43">
        <f>MAX(O39:X39)</f>
        <v>0.99968000000000001</v>
      </c>
    </row>
    <row r="44" spans="1:25" x14ac:dyDescent="0.35">
      <c r="A44" t="s">
        <v>39</v>
      </c>
      <c r="D44">
        <f>D43/10</f>
        <v>29</v>
      </c>
    </row>
    <row r="46" spans="1:25" x14ac:dyDescent="0.35">
      <c r="N46" t="s">
        <v>53</v>
      </c>
      <c r="O46">
        <f>MEDIAN(O39:X39)</f>
        <v>0.8781000000000001</v>
      </c>
    </row>
    <row r="47" spans="1:25" x14ac:dyDescent="0.35">
      <c r="A47" t="s">
        <v>48</v>
      </c>
      <c r="B47">
        <f>32-1</f>
        <v>31</v>
      </c>
      <c r="C47">
        <v>29</v>
      </c>
      <c r="D47">
        <v>31</v>
      </c>
      <c r="E47">
        <v>6</v>
      </c>
      <c r="F47">
        <v>30</v>
      </c>
      <c r="G47">
        <v>26</v>
      </c>
      <c r="H47">
        <v>33</v>
      </c>
      <c r="I47">
        <v>32</v>
      </c>
      <c r="J47">
        <v>28</v>
      </c>
      <c r="K47">
        <v>34</v>
      </c>
      <c r="N47" t="s">
        <v>54</v>
      </c>
      <c r="O47">
        <f>V39</f>
        <v>0.87387999999999988</v>
      </c>
    </row>
    <row r="48" spans="1:25" x14ac:dyDescent="0.35">
      <c r="N48" t="s">
        <v>55</v>
      </c>
      <c r="O48">
        <f>X39</f>
        <v>0.87975999999999988</v>
      </c>
    </row>
    <row r="50" spans="1:2" x14ac:dyDescent="0.35">
      <c r="A50" t="s">
        <v>44</v>
      </c>
      <c r="B50">
        <f>MEDIAN(B47:K47)</f>
        <v>30.5</v>
      </c>
    </row>
    <row r="51" spans="1:2" x14ac:dyDescent="0.35">
      <c r="A51" t="s">
        <v>50</v>
      </c>
      <c r="B51">
        <v>26</v>
      </c>
    </row>
    <row r="52" spans="1:2" x14ac:dyDescent="0.35">
      <c r="A52" t="s">
        <v>51</v>
      </c>
      <c r="B52">
        <v>33</v>
      </c>
    </row>
  </sheetData>
  <mergeCells count="2">
    <mergeCell ref="A1:L1"/>
    <mergeCell ref="N1:Y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666C-0FC9-4C44-A509-6FF33C7094BE}">
  <dimension ref="A1:Y211"/>
  <sheetViews>
    <sheetView topLeftCell="C176" workbookViewId="0">
      <selection activeCell="O211" sqref="N209:O211"/>
    </sheetView>
  </sheetViews>
  <sheetFormatPr defaultRowHeight="14.5" x14ac:dyDescent="0.35"/>
  <sheetData>
    <row r="1" spans="1:25" x14ac:dyDescent="0.35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N1" s="7" t="s">
        <v>14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x14ac:dyDescent="0.35">
      <c r="A2" t="s">
        <v>10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12</v>
      </c>
      <c r="N2" t="str">
        <f>A2</f>
        <v>Time Step</v>
      </c>
      <c r="O2" t="str">
        <f t="shared" ref="O2:Y2" si="0">B2</f>
        <v>Run 1</v>
      </c>
      <c r="P2" t="str">
        <f t="shared" si="0"/>
        <v>Run 2</v>
      </c>
      <c r="Q2" t="str">
        <f t="shared" si="0"/>
        <v>Run 3</v>
      </c>
      <c r="R2" t="str">
        <f t="shared" si="0"/>
        <v>Run 4</v>
      </c>
      <c r="S2" t="str">
        <f t="shared" si="0"/>
        <v>Run 5</v>
      </c>
      <c r="T2" t="str">
        <f t="shared" si="0"/>
        <v>Run 6</v>
      </c>
      <c r="U2" t="str">
        <f t="shared" si="0"/>
        <v>Run 7</v>
      </c>
      <c r="V2" t="str">
        <f t="shared" si="0"/>
        <v>Run 8</v>
      </c>
      <c r="W2" t="str">
        <f t="shared" si="0"/>
        <v>Run 9</v>
      </c>
      <c r="X2" t="str">
        <f t="shared" si="0"/>
        <v>Run 10</v>
      </c>
      <c r="Y2" t="str">
        <f t="shared" si="0"/>
        <v>Average</v>
      </c>
    </row>
    <row r="3" spans="1:25" x14ac:dyDescent="0.35">
      <c r="A3">
        <v>0</v>
      </c>
      <c r="B3">
        <f>'[21]R03_GABM-data'!$G2</f>
        <v>1000</v>
      </c>
      <c r="C3">
        <f>'[22]GABM_R03_RossAPI-data'!$G2</f>
        <v>1000</v>
      </c>
      <c r="D3">
        <f>'[23]GABM_R03_RandiAPI-data'!$G2</f>
        <v>1000</v>
      </c>
      <c r="E3">
        <f>'[24]GABM_R03_NavidAPI-data'!$G2</f>
        <v>1000</v>
      </c>
      <c r="F3">
        <f>'[25]GABM_R03_Terry-data'!$G2</f>
        <v>1000</v>
      </c>
      <c r="G3">
        <f>'[26]GABM_R03_SarahAPI-data'!$G2</f>
        <v>1000</v>
      </c>
      <c r="H3">
        <f>'[27]GABM_R03_savannah-data'!$G2</f>
        <v>1000</v>
      </c>
      <c r="I3">
        <f>'[28]GABM_R03_MitchellAPI-data'!$G2</f>
        <v>1000</v>
      </c>
      <c r="J3">
        <f>'[29]GABM_R03_SudipaAPI-data'!$G2</f>
        <v>1000</v>
      </c>
      <c r="K3">
        <f>'[30]R03_GABM_run2-data'!$G2</f>
        <v>1000</v>
      </c>
      <c r="L3">
        <f>AVERAGE(B3:K3)</f>
        <v>1000</v>
      </c>
      <c r="N3">
        <f t="shared" ref="N3:N66" si="1">A3</f>
        <v>0</v>
      </c>
      <c r="O3">
        <f>B3/1000</f>
        <v>1</v>
      </c>
      <c r="P3">
        <f t="shared" ref="P3:X3" si="2">C3/1000</f>
        <v>1</v>
      </c>
      <c r="Q3">
        <f t="shared" si="2"/>
        <v>1</v>
      </c>
      <c r="R3">
        <f t="shared" si="2"/>
        <v>1</v>
      </c>
      <c r="S3">
        <f t="shared" si="2"/>
        <v>1</v>
      </c>
      <c r="T3">
        <f t="shared" si="2"/>
        <v>1</v>
      </c>
      <c r="U3">
        <f t="shared" si="2"/>
        <v>1</v>
      </c>
      <c r="V3">
        <f t="shared" si="2"/>
        <v>1</v>
      </c>
      <c r="W3">
        <f t="shared" si="2"/>
        <v>1</v>
      </c>
      <c r="X3">
        <f t="shared" si="2"/>
        <v>1</v>
      </c>
      <c r="Y3">
        <f>L3/1000</f>
        <v>1</v>
      </c>
    </row>
    <row r="4" spans="1:25" x14ac:dyDescent="0.35">
      <c r="A4">
        <v>1</v>
      </c>
      <c r="B4">
        <f>'[21]R03_GABM-data'!$G3</f>
        <v>998</v>
      </c>
      <c r="C4">
        <f>'[22]GABM_R03_RossAPI-data'!$G3</f>
        <v>996</v>
      </c>
      <c r="D4">
        <f>'[23]GABM_R03_RandiAPI-data'!$G3</f>
        <v>995</v>
      </c>
      <c r="E4">
        <f>'[24]GABM_R03_NavidAPI-data'!$G3</f>
        <v>998</v>
      </c>
      <c r="F4">
        <f>'[25]GABM_R03_Terry-data'!$G3</f>
        <v>997</v>
      </c>
      <c r="G4">
        <f>'[26]GABM_R03_SarahAPI-data'!$G3</f>
        <v>997</v>
      </c>
      <c r="H4">
        <f>'[27]GABM_R03_savannah-data'!$G3</f>
        <v>995</v>
      </c>
      <c r="I4">
        <f>'[28]GABM_R03_MitchellAPI-data'!$G3</f>
        <v>999</v>
      </c>
      <c r="J4">
        <f>'[29]GABM_R03_SudipaAPI-data'!$G3</f>
        <v>996</v>
      </c>
      <c r="K4">
        <f>'[30]R03_GABM_run2-data'!$G3</f>
        <v>998</v>
      </c>
      <c r="L4">
        <f t="shared" ref="L4:L56" si="3">AVERAGE(B4:K4)</f>
        <v>996.9</v>
      </c>
      <c r="N4">
        <f t="shared" si="1"/>
        <v>1</v>
      </c>
      <c r="O4">
        <f t="shared" ref="O4:O67" si="4">B4/1000</f>
        <v>0.998</v>
      </c>
      <c r="P4">
        <f t="shared" ref="P4:P67" si="5">C4/1000</f>
        <v>0.996</v>
      </c>
      <c r="Q4">
        <f t="shared" ref="Q4:Q67" si="6">D4/1000</f>
        <v>0.995</v>
      </c>
      <c r="R4">
        <f t="shared" ref="R4:R67" si="7">E4/1000</f>
        <v>0.998</v>
      </c>
      <c r="S4">
        <f t="shared" ref="S4:S67" si="8">F4/1000</f>
        <v>0.997</v>
      </c>
      <c r="T4">
        <f t="shared" ref="T4:T67" si="9">G4/1000</f>
        <v>0.997</v>
      </c>
      <c r="U4">
        <f t="shared" ref="U4:U67" si="10">H4/1000</f>
        <v>0.995</v>
      </c>
      <c r="V4">
        <f t="shared" ref="V4:V67" si="11">I4/1000</f>
        <v>0.999</v>
      </c>
      <c r="W4">
        <f t="shared" ref="W4:W67" si="12">J4/1000</f>
        <v>0.996</v>
      </c>
      <c r="X4">
        <f t="shared" ref="X4:X67" si="13">K4/1000</f>
        <v>0.998</v>
      </c>
      <c r="Y4">
        <f t="shared" ref="Y4:Y67" si="14">L4/1000</f>
        <v>0.99690000000000001</v>
      </c>
    </row>
    <row r="5" spans="1:25" x14ac:dyDescent="0.35">
      <c r="A5">
        <v>2</v>
      </c>
      <c r="B5">
        <f>'[21]R03_GABM-data'!$G4</f>
        <v>997</v>
      </c>
      <c r="C5">
        <f>'[22]GABM_R03_RossAPI-data'!$G4</f>
        <v>996</v>
      </c>
      <c r="D5">
        <f>'[23]GABM_R03_RandiAPI-data'!$G4</f>
        <v>994</v>
      </c>
      <c r="E5">
        <f>'[24]GABM_R03_NavidAPI-data'!$G4</f>
        <v>999</v>
      </c>
      <c r="F5">
        <f>'[25]GABM_R03_Terry-data'!$G4</f>
        <v>998</v>
      </c>
      <c r="G5">
        <f>'[26]GABM_R03_SarahAPI-data'!$G4</f>
        <v>997</v>
      </c>
      <c r="H5">
        <f>'[27]GABM_R03_savannah-data'!$G4</f>
        <v>997</v>
      </c>
      <c r="I5">
        <f>'[28]GABM_R03_MitchellAPI-data'!$G4</f>
        <v>998</v>
      </c>
      <c r="J5">
        <f>'[29]GABM_R03_SudipaAPI-data'!$G4</f>
        <v>997</v>
      </c>
      <c r="K5">
        <f>'[30]R03_GABM_run2-data'!$G4</f>
        <v>999</v>
      </c>
      <c r="L5">
        <f t="shared" si="3"/>
        <v>997.2</v>
      </c>
      <c r="N5">
        <f t="shared" si="1"/>
        <v>2</v>
      </c>
      <c r="O5">
        <f t="shared" si="4"/>
        <v>0.997</v>
      </c>
      <c r="P5">
        <f t="shared" si="5"/>
        <v>0.996</v>
      </c>
      <c r="Q5">
        <f t="shared" si="6"/>
        <v>0.99399999999999999</v>
      </c>
      <c r="R5">
        <f t="shared" si="7"/>
        <v>0.999</v>
      </c>
      <c r="S5">
        <f t="shared" si="8"/>
        <v>0.998</v>
      </c>
      <c r="T5">
        <f t="shared" si="9"/>
        <v>0.997</v>
      </c>
      <c r="U5">
        <f t="shared" si="10"/>
        <v>0.997</v>
      </c>
      <c r="V5">
        <f t="shared" si="11"/>
        <v>0.998</v>
      </c>
      <c r="W5">
        <f t="shared" si="12"/>
        <v>0.997</v>
      </c>
      <c r="X5">
        <f t="shared" si="13"/>
        <v>0.999</v>
      </c>
      <c r="Y5">
        <f t="shared" si="14"/>
        <v>0.99720000000000009</v>
      </c>
    </row>
    <row r="6" spans="1:25" x14ac:dyDescent="0.35">
      <c r="A6">
        <v>3</v>
      </c>
      <c r="B6">
        <f>'[21]R03_GABM-data'!$G5</f>
        <v>999</v>
      </c>
      <c r="C6">
        <f>'[22]GABM_R03_RossAPI-data'!$G5</f>
        <v>998</v>
      </c>
      <c r="D6">
        <f>'[23]GABM_R03_RandiAPI-data'!$G5</f>
        <v>994</v>
      </c>
      <c r="E6">
        <f>'[24]GABM_R03_NavidAPI-data'!$G5</f>
        <v>999</v>
      </c>
      <c r="F6">
        <f>'[25]GABM_R03_Terry-data'!$G5</f>
        <v>996</v>
      </c>
      <c r="G6">
        <f>'[26]GABM_R03_SarahAPI-data'!$G5</f>
        <v>997</v>
      </c>
      <c r="H6">
        <f>'[27]GABM_R03_savannah-data'!$G5</f>
        <v>997</v>
      </c>
      <c r="I6">
        <f>'[28]GABM_R03_MitchellAPI-data'!$G5</f>
        <v>999</v>
      </c>
      <c r="J6">
        <f>'[29]GABM_R03_SudipaAPI-data'!$G5</f>
        <v>995</v>
      </c>
      <c r="K6">
        <f>'[30]R03_GABM_run2-data'!$G5</f>
        <v>999</v>
      </c>
      <c r="L6">
        <f t="shared" si="3"/>
        <v>997.3</v>
      </c>
      <c r="N6">
        <f t="shared" si="1"/>
        <v>3</v>
      </c>
      <c r="O6">
        <f t="shared" si="4"/>
        <v>0.999</v>
      </c>
      <c r="P6">
        <f t="shared" si="5"/>
        <v>0.998</v>
      </c>
      <c r="Q6">
        <f t="shared" si="6"/>
        <v>0.99399999999999999</v>
      </c>
      <c r="R6">
        <f t="shared" si="7"/>
        <v>0.999</v>
      </c>
      <c r="S6">
        <f t="shared" si="8"/>
        <v>0.996</v>
      </c>
      <c r="T6">
        <f t="shared" si="9"/>
        <v>0.997</v>
      </c>
      <c r="U6">
        <f t="shared" si="10"/>
        <v>0.997</v>
      </c>
      <c r="V6">
        <f t="shared" si="11"/>
        <v>0.999</v>
      </c>
      <c r="W6">
        <f t="shared" si="12"/>
        <v>0.995</v>
      </c>
      <c r="X6">
        <f t="shared" si="13"/>
        <v>0.999</v>
      </c>
      <c r="Y6">
        <f t="shared" si="14"/>
        <v>0.99729999999999996</v>
      </c>
    </row>
    <row r="7" spans="1:25" x14ac:dyDescent="0.35">
      <c r="A7">
        <v>4</v>
      </c>
      <c r="B7">
        <f>'[21]R03_GABM-data'!$G6</f>
        <v>782</v>
      </c>
      <c r="C7">
        <f>'[22]GABM_R03_RossAPI-data'!$G6</f>
        <v>796</v>
      </c>
      <c r="D7">
        <f>'[23]GABM_R03_RandiAPI-data'!$G6</f>
        <v>775</v>
      </c>
      <c r="E7">
        <f>'[24]GABM_R03_NavidAPI-data'!$G6</f>
        <v>791</v>
      </c>
      <c r="F7">
        <f>'[25]GABM_R03_Terry-data'!$G6</f>
        <v>787</v>
      </c>
      <c r="G7">
        <f>'[26]GABM_R03_SarahAPI-data'!$G6</f>
        <v>793</v>
      </c>
      <c r="H7">
        <f>'[27]GABM_R03_savannah-data'!$G6</f>
        <v>775</v>
      </c>
      <c r="I7">
        <f>'[28]GABM_R03_MitchellAPI-data'!$G6</f>
        <v>784</v>
      </c>
      <c r="J7">
        <f>'[29]GABM_R03_SudipaAPI-data'!$G6</f>
        <v>783</v>
      </c>
      <c r="K7">
        <f>'[30]R03_GABM_run2-data'!$G6</f>
        <v>788</v>
      </c>
      <c r="L7">
        <f t="shared" si="3"/>
        <v>785.4</v>
      </c>
      <c r="N7">
        <f t="shared" si="1"/>
        <v>4</v>
      </c>
      <c r="O7">
        <f t="shared" si="4"/>
        <v>0.78200000000000003</v>
      </c>
      <c r="P7">
        <f t="shared" si="5"/>
        <v>0.79600000000000004</v>
      </c>
      <c r="Q7">
        <f t="shared" si="6"/>
        <v>0.77500000000000002</v>
      </c>
      <c r="R7">
        <f t="shared" si="7"/>
        <v>0.79100000000000004</v>
      </c>
      <c r="S7">
        <f t="shared" si="8"/>
        <v>0.78700000000000003</v>
      </c>
      <c r="T7">
        <f t="shared" si="9"/>
        <v>0.79300000000000004</v>
      </c>
      <c r="U7">
        <f t="shared" si="10"/>
        <v>0.77500000000000002</v>
      </c>
      <c r="V7">
        <f t="shared" si="11"/>
        <v>0.78400000000000003</v>
      </c>
      <c r="W7">
        <f t="shared" si="12"/>
        <v>0.78300000000000003</v>
      </c>
      <c r="X7">
        <f t="shared" si="13"/>
        <v>0.78800000000000003</v>
      </c>
      <c r="Y7">
        <f t="shared" si="14"/>
        <v>0.78539999999999999</v>
      </c>
    </row>
    <row r="8" spans="1:25" x14ac:dyDescent="0.35">
      <c r="A8">
        <v>5</v>
      </c>
      <c r="B8">
        <f>'[21]R03_GABM-data'!$G7</f>
        <v>771</v>
      </c>
      <c r="C8">
        <f>'[22]GABM_R03_RossAPI-data'!$G7</f>
        <v>807</v>
      </c>
      <c r="D8">
        <f>'[23]GABM_R03_RandiAPI-data'!$G7</f>
        <v>786</v>
      </c>
      <c r="E8">
        <f>'[24]GABM_R03_NavidAPI-data'!$G7</f>
        <v>995</v>
      </c>
      <c r="F8">
        <f>'[25]GABM_R03_Terry-data'!$G7</f>
        <v>794</v>
      </c>
      <c r="G8">
        <f>'[26]GABM_R03_SarahAPI-data'!$G7</f>
        <v>995</v>
      </c>
      <c r="H8">
        <f>'[27]GABM_R03_savannah-data'!$G7</f>
        <v>803</v>
      </c>
      <c r="I8">
        <f>'[28]GABM_R03_MitchellAPI-data'!$G7</f>
        <v>762</v>
      </c>
      <c r="J8">
        <f>'[29]GABM_R03_SudipaAPI-data'!$G7</f>
        <v>772</v>
      </c>
      <c r="K8">
        <f>'[30]R03_GABM_run2-data'!$G7</f>
        <v>570</v>
      </c>
      <c r="L8">
        <f t="shared" si="3"/>
        <v>805.5</v>
      </c>
      <c r="N8">
        <f t="shared" si="1"/>
        <v>5</v>
      </c>
      <c r="O8">
        <f t="shared" si="4"/>
        <v>0.77100000000000002</v>
      </c>
      <c r="P8">
        <f t="shared" si="5"/>
        <v>0.80700000000000005</v>
      </c>
      <c r="Q8">
        <f t="shared" si="6"/>
        <v>0.78600000000000003</v>
      </c>
      <c r="R8">
        <f t="shared" si="7"/>
        <v>0.995</v>
      </c>
      <c r="S8">
        <f t="shared" si="8"/>
        <v>0.79400000000000004</v>
      </c>
      <c r="T8">
        <f t="shared" si="9"/>
        <v>0.995</v>
      </c>
      <c r="U8">
        <f t="shared" si="10"/>
        <v>0.80300000000000005</v>
      </c>
      <c r="V8">
        <f t="shared" si="11"/>
        <v>0.76200000000000001</v>
      </c>
      <c r="W8">
        <f t="shared" si="12"/>
        <v>0.77200000000000002</v>
      </c>
      <c r="X8">
        <f t="shared" si="13"/>
        <v>0.56999999999999995</v>
      </c>
      <c r="Y8">
        <f t="shared" si="14"/>
        <v>0.80549999999999999</v>
      </c>
    </row>
    <row r="9" spans="1:25" x14ac:dyDescent="0.35">
      <c r="A9">
        <v>6</v>
      </c>
      <c r="B9">
        <f>'[21]R03_GABM-data'!$G8</f>
        <v>710</v>
      </c>
      <c r="C9">
        <f>'[22]GABM_R03_RossAPI-data'!$G8</f>
        <v>795</v>
      </c>
      <c r="D9">
        <f>'[23]GABM_R03_RandiAPI-data'!$G8</f>
        <v>532</v>
      </c>
      <c r="E9">
        <f>'[24]GABM_R03_NavidAPI-data'!$G8</f>
        <v>766</v>
      </c>
      <c r="F9">
        <f>'[25]GABM_R03_Terry-data'!$G8</f>
        <v>533</v>
      </c>
      <c r="G9">
        <f>'[26]GABM_R03_SarahAPI-data'!$G8</f>
        <v>802</v>
      </c>
      <c r="H9">
        <f>'[27]GABM_R03_savannah-data'!$G8</f>
        <v>772</v>
      </c>
      <c r="I9">
        <f>'[28]GABM_R03_MitchellAPI-data'!$G8</f>
        <v>769</v>
      </c>
      <c r="J9">
        <f>'[29]GABM_R03_SudipaAPI-data'!$G8</f>
        <v>778</v>
      </c>
      <c r="K9">
        <f>'[30]R03_GABM_run2-data'!$G8</f>
        <v>752</v>
      </c>
      <c r="L9">
        <f t="shared" si="3"/>
        <v>720.9</v>
      </c>
      <c r="N9">
        <f t="shared" si="1"/>
        <v>6</v>
      </c>
      <c r="O9">
        <f t="shared" si="4"/>
        <v>0.71</v>
      </c>
      <c r="P9">
        <f t="shared" si="5"/>
        <v>0.79500000000000004</v>
      </c>
      <c r="Q9">
        <f t="shared" si="6"/>
        <v>0.53200000000000003</v>
      </c>
      <c r="R9">
        <f t="shared" si="7"/>
        <v>0.76600000000000001</v>
      </c>
      <c r="S9">
        <f t="shared" si="8"/>
        <v>0.53300000000000003</v>
      </c>
      <c r="T9">
        <f t="shared" si="9"/>
        <v>0.80200000000000005</v>
      </c>
      <c r="U9">
        <f t="shared" si="10"/>
        <v>0.77200000000000002</v>
      </c>
      <c r="V9">
        <f t="shared" si="11"/>
        <v>0.76900000000000002</v>
      </c>
      <c r="W9">
        <f t="shared" si="12"/>
        <v>0.77800000000000002</v>
      </c>
      <c r="X9">
        <f t="shared" si="13"/>
        <v>0.752</v>
      </c>
      <c r="Y9">
        <f t="shared" si="14"/>
        <v>0.72089999999999999</v>
      </c>
    </row>
    <row r="10" spans="1:25" x14ac:dyDescent="0.35">
      <c r="A10">
        <v>7</v>
      </c>
      <c r="B10">
        <f>'[21]R03_GABM-data'!$G9</f>
        <v>658</v>
      </c>
      <c r="C10">
        <f>'[22]GABM_R03_RossAPI-data'!$G9</f>
        <v>842</v>
      </c>
      <c r="D10">
        <f>'[23]GABM_R03_RandiAPI-data'!$G9</f>
        <v>713</v>
      </c>
      <c r="E10">
        <f>'[24]GABM_R03_NavidAPI-data'!$G9</f>
        <v>687</v>
      </c>
      <c r="F10">
        <f>'[25]GABM_R03_Terry-data'!$G9</f>
        <v>748</v>
      </c>
      <c r="G10">
        <f>'[26]GABM_R03_SarahAPI-data'!$G9</f>
        <v>794</v>
      </c>
      <c r="H10">
        <f>'[27]GABM_R03_savannah-data'!$G9</f>
        <v>550</v>
      </c>
      <c r="I10">
        <f>'[28]GABM_R03_MitchellAPI-data'!$G9</f>
        <v>672</v>
      </c>
      <c r="J10">
        <f>'[29]GABM_R03_SudipaAPI-data'!$G9</f>
        <v>571</v>
      </c>
      <c r="K10">
        <f>'[30]R03_GABM_run2-data'!$G9</f>
        <v>551</v>
      </c>
      <c r="L10">
        <f t="shared" si="3"/>
        <v>678.6</v>
      </c>
      <c r="N10">
        <f t="shared" si="1"/>
        <v>7</v>
      </c>
      <c r="O10">
        <f t="shared" si="4"/>
        <v>0.65800000000000003</v>
      </c>
      <c r="P10">
        <f t="shared" si="5"/>
        <v>0.84199999999999997</v>
      </c>
      <c r="Q10">
        <f t="shared" si="6"/>
        <v>0.71299999999999997</v>
      </c>
      <c r="R10">
        <f t="shared" si="7"/>
        <v>0.68700000000000006</v>
      </c>
      <c r="S10">
        <f t="shared" si="8"/>
        <v>0.748</v>
      </c>
      <c r="T10">
        <f t="shared" si="9"/>
        <v>0.79400000000000004</v>
      </c>
      <c r="U10">
        <f t="shared" si="10"/>
        <v>0.55000000000000004</v>
      </c>
      <c r="V10">
        <f t="shared" si="11"/>
        <v>0.67200000000000004</v>
      </c>
      <c r="W10">
        <f t="shared" si="12"/>
        <v>0.57099999999999995</v>
      </c>
      <c r="X10">
        <f t="shared" si="13"/>
        <v>0.55100000000000005</v>
      </c>
      <c r="Y10">
        <f t="shared" si="14"/>
        <v>0.67859999999999998</v>
      </c>
    </row>
    <row r="11" spans="1:25" x14ac:dyDescent="0.35">
      <c r="A11">
        <v>8</v>
      </c>
      <c r="B11">
        <f>'[21]R03_GABM-data'!$G10</f>
        <v>453</v>
      </c>
      <c r="C11">
        <f>'[22]GABM_R03_RossAPI-data'!$G10</f>
        <v>458</v>
      </c>
      <c r="D11">
        <f>'[23]GABM_R03_RandiAPI-data'!$G10</f>
        <v>759</v>
      </c>
      <c r="E11">
        <f>'[24]GABM_R03_NavidAPI-data'!$G10</f>
        <v>745</v>
      </c>
      <c r="F11">
        <f>'[25]GABM_R03_Terry-data'!$G10</f>
        <v>685</v>
      </c>
      <c r="G11">
        <f>'[26]GABM_R03_SarahAPI-data'!$G10</f>
        <v>782</v>
      </c>
      <c r="H11">
        <f>'[27]GABM_R03_savannah-data'!$G10</f>
        <v>767</v>
      </c>
      <c r="I11">
        <f>'[28]GABM_R03_MitchellAPI-data'!$G10</f>
        <v>691</v>
      </c>
      <c r="J11">
        <f>'[29]GABM_R03_SudipaAPI-data'!$G10</f>
        <v>788</v>
      </c>
      <c r="K11">
        <f>'[30]R03_GABM_run2-data'!$G10</f>
        <v>556</v>
      </c>
      <c r="L11">
        <f t="shared" si="3"/>
        <v>668.4</v>
      </c>
      <c r="N11">
        <f t="shared" si="1"/>
        <v>8</v>
      </c>
      <c r="O11">
        <f t="shared" si="4"/>
        <v>0.45300000000000001</v>
      </c>
      <c r="P11">
        <f t="shared" si="5"/>
        <v>0.45800000000000002</v>
      </c>
      <c r="Q11">
        <f t="shared" si="6"/>
        <v>0.75900000000000001</v>
      </c>
      <c r="R11">
        <f t="shared" si="7"/>
        <v>0.745</v>
      </c>
      <c r="S11">
        <f t="shared" si="8"/>
        <v>0.68500000000000005</v>
      </c>
      <c r="T11">
        <f t="shared" si="9"/>
        <v>0.78200000000000003</v>
      </c>
      <c r="U11">
        <f t="shared" si="10"/>
        <v>0.76700000000000002</v>
      </c>
      <c r="V11">
        <f t="shared" si="11"/>
        <v>0.69099999999999995</v>
      </c>
      <c r="W11">
        <f t="shared" si="12"/>
        <v>0.78800000000000003</v>
      </c>
      <c r="X11">
        <f t="shared" si="13"/>
        <v>0.55600000000000005</v>
      </c>
      <c r="Y11">
        <f t="shared" si="14"/>
        <v>0.66839999999999999</v>
      </c>
    </row>
    <row r="12" spans="1:25" x14ac:dyDescent="0.35">
      <c r="A12">
        <v>9</v>
      </c>
      <c r="B12">
        <f>'[21]R03_GABM-data'!$G11</f>
        <v>346</v>
      </c>
      <c r="C12">
        <f>'[22]GABM_R03_RossAPI-data'!$G11</f>
        <v>382</v>
      </c>
      <c r="D12">
        <f>'[23]GABM_R03_RandiAPI-data'!$G11</f>
        <v>755</v>
      </c>
      <c r="E12">
        <f>'[24]GABM_R03_NavidAPI-data'!$G11</f>
        <v>484</v>
      </c>
      <c r="F12">
        <f>'[25]GABM_R03_Terry-data'!$G11</f>
        <v>841</v>
      </c>
      <c r="G12">
        <f>'[26]GABM_R03_SarahAPI-data'!$G11</f>
        <v>702</v>
      </c>
      <c r="H12">
        <f>'[27]GABM_R03_savannah-data'!$G11</f>
        <v>766</v>
      </c>
      <c r="I12">
        <f>'[28]GABM_R03_MitchellAPI-data'!$G11</f>
        <v>460</v>
      </c>
      <c r="J12">
        <f>'[29]GABM_R03_SudipaAPI-data'!$G11</f>
        <v>804</v>
      </c>
      <c r="K12">
        <f>'[30]R03_GABM_run2-data'!$G11</f>
        <v>777</v>
      </c>
      <c r="L12">
        <f t="shared" si="3"/>
        <v>631.70000000000005</v>
      </c>
      <c r="N12">
        <f t="shared" si="1"/>
        <v>9</v>
      </c>
      <c r="O12">
        <f t="shared" si="4"/>
        <v>0.34599999999999997</v>
      </c>
      <c r="P12">
        <f t="shared" si="5"/>
        <v>0.38200000000000001</v>
      </c>
      <c r="Q12">
        <f t="shared" si="6"/>
        <v>0.755</v>
      </c>
      <c r="R12">
        <f t="shared" si="7"/>
        <v>0.48399999999999999</v>
      </c>
      <c r="S12">
        <f t="shared" si="8"/>
        <v>0.84099999999999997</v>
      </c>
      <c r="T12">
        <f t="shared" si="9"/>
        <v>0.70199999999999996</v>
      </c>
      <c r="U12">
        <f t="shared" si="10"/>
        <v>0.76600000000000001</v>
      </c>
      <c r="V12">
        <f t="shared" si="11"/>
        <v>0.46</v>
      </c>
      <c r="W12">
        <f t="shared" si="12"/>
        <v>0.80400000000000005</v>
      </c>
      <c r="X12">
        <f t="shared" si="13"/>
        <v>0.77700000000000002</v>
      </c>
      <c r="Y12">
        <f t="shared" si="14"/>
        <v>0.63170000000000004</v>
      </c>
    </row>
    <row r="13" spans="1:25" x14ac:dyDescent="0.35">
      <c r="A13">
        <v>10</v>
      </c>
      <c r="B13">
        <f>'[21]R03_GABM-data'!$G12</f>
        <v>511</v>
      </c>
      <c r="C13">
        <f>'[22]GABM_R03_RossAPI-data'!$G12</f>
        <v>530</v>
      </c>
      <c r="D13">
        <f>'[23]GABM_R03_RandiAPI-data'!$G12</f>
        <v>722</v>
      </c>
      <c r="E13">
        <f>'[24]GABM_R03_NavidAPI-data'!$G12</f>
        <v>345</v>
      </c>
      <c r="F13">
        <f>'[25]GABM_R03_Terry-data'!$G12</f>
        <v>847</v>
      </c>
      <c r="G13">
        <f>'[26]GABM_R03_SarahAPI-data'!$G12</f>
        <v>787</v>
      </c>
      <c r="H13">
        <f>'[27]GABM_R03_savannah-data'!$G12</f>
        <v>551</v>
      </c>
      <c r="I13">
        <f>'[28]GABM_R03_MitchellAPI-data'!$G12</f>
        <v>458</v>
      </c>
      <c r="J13">
        <f>'[29]GABM_R03_SudipaAPI-data'!$G12</f>
        <v>757</v>
      </c>
      <c r="K13">
        <f>'[30]R03_GABM_run2-data'!$G12</f>
        <v>795</v>
      </c>
      <c r="L13">
        <f t="shared" si="3"/>
        <v>630.29999999999995</v>
      </c>
      <c r="N13">
        <f t="shared" si="1"/>
        <v>10</v>
      </c>
      <c r="O13">
        <f t="shared" si="4"/>
        <v>0.51100000000000001</v>
      </c>
      <c r="P13">
        <f t="shared" si="5"/>
        <v>0.53</v>
      </c>
      <c r="Q13">
        <f t="shared" si="6"/>
        <v>0.72199999999999998</v>
      </c>
      <c r="R13">
        <f t="shared" si="7"/>
        <v>0.34499999999999997</v>
      </c>
      <c r="S13">
        <f t="shared" si="8"/>
        <v>0.84699999999999998</v>
      </c>
      <c r="T13">
        <f t="shared" si="9"/>
        <v>0.78700000000000003</v>
      </c>
      <c r="U13">
        <f t="shared" si="10"/>
        <v>0.55100000000000005</v>
      </c>
      <c r="V13">
        <f t="shared" si="11"/>
        <v>0.45800000000000002</v>
      </c>
      <c r="W13">
        <f t="shared" si="12"/>
        <v>0.75700000000000001</v>
      </c>
      <c r="X13">
        <f t="shared" si="13"/>
        <v>0.79500000000000004</v>
      </c>
      <c r="Y13">
        <f t="shared" si="14"/>
        <v>0.63029999999999997</v>
      </c>
    </row>
    <row r="14" spans="1:25" x14ac:dyDescent="0.35">
      <c r="A14">
        <v>11</v>
      </c>
      <c r="B14">
        <f>'[21]R03_GABM-data'!$G13</f>
        <v>447</v>
      </c>
      <c r="C14">
        <f>'[22]GABM_R03_RossAPI-data'!$G13</f>
        <v>284</v>
      </c>
      <c r="D14">
        <f>'[23]GABM_R03_RandiAPI-data'!$G13</f>
        <v>536</v>
      </c>
      <c r="E14">
        <f>'[24]GABM_R03_NavidAPI-data'!$G13</f>
        <v>335</v>
      </c>
      <c r="F14">
        <f>'[25]GABM_R03_Terry-data'!$G13</f>
        <v>686</v>
      </c>
      <c r="G14">
        <f>'[26]GABM_R03_SarahAPI-data'!$G13</f>
        <v>829</v>
      </c>
      <c r="H14">
        <f>'[27]GABM_R03_savannah-data'!$G13</f>
        <v>759</v>
      </c>
      <c r="I14">
        <f>'[28]GABM_R03_MitchellAPI-data'!$G13</f>
        <v>460</v>
      </c>
      <c r="J14">
        <f>'[29]GABM_R03_SudipaAPI-data'!$G13</f>
        <v>756</v>
      </c>
      <c r="K14">
        <f>'[30]R03_GABM_run2-data'!$G13</f>
        <v>786</v>
      </c>
      <c r="L14">
        <f t="shared" si="3"/>
        <v>587.79999999999995</v>
      </c>
      <c r="N14">
        <f t="shared" si="1"/>
        <v>11</v>
      </c>
      <c r="O14">
        <f t="shared" si="4"/>
        <v>0.44700000000000001</v>
      </c>
      <c r="P14">
        <f t="shared" si="5"/>
        <v>0.28399999999999997</v>
      </c>
      <c r="Q14">
        <f t="shared" si="6"/>
        <v>0.53600000000000003</v>
      </c>
      <c r="R14">
        <f t="shared" si="7"/>
        <v>0.33500000000000002</v>
      </c>
      <c r="S14">
        <f t="shared" si="8"/>
        <v>0.68600000000000005</v>
      </c>
      <c r="T14">
        <f t="shared" si="9"/>
        <v>0.82899999999999996</v>
      </c>
      <c r="U14">
        <f t="shared" si="10"/>
        <v>0.75900000000000001</v>
      </c>
      <c r="V14">
        <f t="shared" si="11"/>
        <v>0.46</v>
      </c>
      <c r="W14">
        <f t="shared" si="12"/>
        <v>0.75600000000000001</v>
      </c>
      <c r="X14">
        <f t="shared" si="13"/>
        <v>0.78600000000000003</v>
      </c>
      <c r="Y14">
        <f t="shared" si="14"/>
        <v>0.58779999999999999</v>
      </c>
    </row>
    <row r="15" spans="1:25" x14ac:dyDescent="0.35">
      <c r="A15">
        <v>12</v>
      </c>
      <c r="B15">
        <f>'[21]R03_GABM-data'!$G14</f>
        <v>439</v>
      </c>
      <c r="C15">
        <f>'[22]GABM_R03_RossAPI-data'!$G14</f>
        <v>741</v>
      </c>
      <c r="D15">
        <f>'[23]GABM_R03_RandiAPI-data'!$G14</f>
        <v>652</v>
      </c>
      <c r="E15">
        <f>'[24]GABM_R03_NavidAPI-data'!$G14</f>
        <v>504</v>
      </c>
      <c r="F15">
        <f>'[25]GABM_R03_Terry-data'!$G14</f>
        <v>366</v>
      </c>
      <c r="G15">
        <f>'[26]GABM_R03_SarahAPI-data'!$G14</f>
        <v>580</v>
      </c>
      <c r="H15">
        <f>'[27]GABM_R03_savannah-data'!$G14</f>
        <v>763</v>
      </c>
      <c r="I15">
        <f>'[28]GABM_R03_MitchellAPI-data'!$G14</f>
        <v>741</v>
      </c>
      <c r="J15">
        <f>'[29]GABM_R03_SudipaAPI-data'!$G14</f>
        <v>763</v>
      </c>
      <c r="K15">
        <f>'[30]R03_GABM_run2-data'!$G14</f>
        <v>799</v>
      </c>
      <c r="L15">
        <f t="shared" si="3"/>
        <v>634.79999999999995</v>
      </c>
      <c r="N15">
        <f t="shared" si="1"/>
        <v>12</v>
      </c>
      <c r="O15">
        <f t="shared" si="4"/>
        <v>0.439</v>
      </c>
      <c r="P15">
        <f t="shared" si="5"/>
        <v>0.74099999999999999</v>
      </c>
      <c r="Q15">
        <f t="shared" si="6"/>
        <v>0.65200000000000002</v>
      </c>
      <c r="R15">
        <f t="shared" si="7"/>
        <v>0.504</v>
      </c>
      <c r="S15">
        <f t="shared" si="8"/>
        <v>0.36599999999999999</v>
      </c>
      <c r="T15">
        <f t="shared" si="9"/>
        <v>0.57999999999999996</v>
      </c>
      <c r="U15">
        <f t="shared" si="10"/>
        <v>0.76300000000000001</v>
      </c>
      <c r="V15">
        <f t="shared" si="11"/>
        <v>0.74099999999999999</v>
      </c>
      <c r="W15">
        <f t="shared" si="12"/>
        <v>0.76300000000000001</v>
      </c>
      <c r="X15">
        <f t="shared" si="13"/>
        <v>0.79900000000000004</v>
      </c>
      <c r="Y15">
        <f t="shared" si="14"/>
        <v>0.63479999999999992</v>
      </c>
    </row>
    <row r="16" spans="1:25" x14ac:dyDescent="0.35">
      <c r="A16">
        <v>13</v>
      </c>
      <c r="B16">
        <f>'[21]R03_GABM-data'!$G15</f>
        <v>535</v>
      </c>
      <c r="C16">
        <f>'[22]GABM_R03_RossAPI-data'!$G15</f>
        <v>776</v>
      </c>
      <c r="D16">
        <f>'[23]GABM_R03_RandiAPI-data'!$G15</f>
        <v>527</v>
      </c>
      <c r="E16">
        <f>'[24]GABM_R03_NavidAPI-data'!$G15</f>
        <v>440</v>
      </c>
      <c r="F16">
        <f>'[25]GABM_R03_Terry-data'!$G15</f>
        <v>446</v>
      </c>
      <c r="G16">
        <f>'[26]GABM_R03_SarahAPI-data'!$G15</f>
        <v>473</v>
      </c>
      <c r="H16">
        <f>'[27]GABM_R03_savannah-data'!$G15</f>
        <v>712</v>
      </c>
      <c r="I16">
        <f>'[28]GABM_R03_MitchellAPI-data'!$G15</f>
        <v>677</v>
      </c>
      <c r="J16">
        <f>'[29]GABM_R03_SudipaAPI-data'!$G15</f>
        <v>775</v>
      </c>
      <c r="K16">
        <f>'[30]R03_GABM_run2-data'!$G15</f>
        <v>797</v>
      </c>
      <c r="L16">
        <f t="shared" si="3"/>
        <v>615.79999999999995</v>
      </c>
      <c r="N16">
        <f t="shared" si="1"/>
        <v>13</v>
      </c>
      <c r="O16">
        <f t="shared" si="4"/>
        <v>0.53500000000000003</v>
      </c>
      <c r="P16">
        <f t="shared" si="5"/>
        <v>0.77600000000000002</v>
      </c>
      <c r="Q16">
        <f t="shared" si="6"/>
        <v>0.52700000000000002</v>
      </c>
      <c r="R16">
        <f t="shared" si="7"/>
        <v>0.44</v>
      </c>
      <c r="S16">
        <f t="shared" si="8"/>
        <v>0.44600000000000001</v>
      </c>
      <c r="T16">
        <f t="shared" si="9"/>
        <v>0.47299999999999998</v>
      </c>
      <c r="U16">
        <f t="shared" si="10"/>
        <v>0.71199999999999997</v>
      </c>
      <c r="V16">
        <f t="shared" si="11"/>
        <v>0.67700000000000005</v>
      </c>
      <c r="W16">
        <f t="shared" si="12"/>
        <v>0.77500000000000002</v>
      </c>
      <c r="X16">
        <f t="shared" si="13"/>
        <v>0.79700000000000004</v>
      </c>
      <c r="Y16">
        <f t="shared" si="14"/>
        <v>0.6157999999999999</v>
      </c>
    </row>
    <row r="17" spans="1:25" x14ac:dyDescent="0.35">
      <c r="A17">
        <v>14</v>
      </c>
      <c r="B17">
        <f>'[21]R03_GABM-data'!$G16</f>
        <v>547</v>
      </c>
      <c r="C17">
        <f>'[22]GABM_R03_RossAPI-data'!$G16</f>
        <v>798</v>
      </c>
      <c r="D17">
        <f>'[23]GABM_R03_RandiAPI-data'!$G16</f>
        <v>424</v>
      </c>
      <c r="E17">
        <f>'[24]GABM_R03_NavidAPI-data'!$G16</f>
        <v>699</v>
      </c>
      <c r="F17">
        <f>'[25]GABM_R03_Terry-data'!$G16</f>
        <v>197</v>
      </c>
      <c r="G17">
        <f>'[26]GABM_R03_SarahAPI-data'!$G16</f>
        <v>554</v>
      </c>
      <c r="H17">
        <f>'[27]GABM_R03_savannah-data'!$G16</f>
        <v>757</v>
      </c>
      <c r="I17">
        <f>'[28]GABM_R03_MitchellAPI-data'!$G16</f>
        <v>518</v>
      </c>
      <c r="J17">
        <f>'[29]GABM_R03_SudipaAPI-data'!$G16</f>
        <v>749</v>
      </c>
      <c r="K17">
        <f>'[30]R03_GABM_run2-data'!$G16</f>
        <v>559</v>
      </c>
      <c r="L17">
        <f t="shared" si="3"/>
        <v>580.20000000000005</v>
      </c>
      <c r="N17">
        <f t="shared" si="1"/>
        <v>14</v>
      </c>
      <c r="O17">
        <f t="shared" si="4"/>
        <v>0.54700000000000004</v>
      </c>
      <c r="P17">
        <f t="shared" si="5"/>
        <v>0.79800000000000004</v>
      </c>
      <c r="Q17">
        <f t="shared" si="6"/>
        <v>0.42399999999999999</v>
      </c>
      <c r="R17">
        <f t="shared" si="7"/>
        <v>0.69899999999999995</v>
      </c>
      <c r="S17">
        <f t="shared" si="8"/>
        <v>0.19700000000000001</v>
      </c>
      <c r="T17">
        <f t="shared" si="9"/>
        <v>0.55400000000000005</v>
      </c>
      <c r="U17">
        <f t="shared" si="10"/>
        <v>0.75700000000000001</v>
      </c>
      <c r="V17">
        <f t="shared" si="11"/>
        <v>0.51800000000000002</v>
      </c>
      <c r="W17">
        <f t="shared" si="12"/>
        <v>0.749</v>
      </c>
      <c r="X17">
        <f t="shared" si="13"/>
        <v>0.55900000000000005</v>
      </c>
      <c r="Y17">
        <f t="shared" si="14"/>
        <v>0.58020000000000005</v>
      </c>
    </row>
    <row r="18" spans="1:25" x14ac:dyDescent="0.35">
      <c r="A18">
        <v>15</v>
      </c>
      <c r="B18">
        <f>'[21]R03_GABM-data'!$G17</f>
        <v>766</v>
      </c>
      <c r="C18">
        <f>'[22]GABM_R03_RossAPI-data'!$G17</f>
        <v>783</v>
      </c>
      <c r="D18">
        <f>'[23]GABM_R03_RandiAPI-data'!$G17</f>
        <v>698</v>
      </c>
      <c r="E18">
        <f>'[24]GABM_R03_NavidAPI-data'!$G17</f>
        <v>744</v>
      </c>
      <c r="F18">
        <f>'[25]GABM_R03_Terry-data'!$G17</f>
        <v>279</v>
      </c>
      <c r="G18">
        <f>'[26]GABM_R03_SarahAPI-data'!$G17</f>
        <v>392</v>
      </c>
      <c r="H18">
        <f>'[27]GABM_R03_savannah-data'!$G17</f>
        <v>755</v>
      </c>
      <c r="I18">
        <f>'[28]GABM_R03_MitchellAPI-data'!$G17</f>
        <v>725</v>
      </c>
      <c r="J18">
        <f>'[29]GABM_R03_SudipaAPI-data'!$G17</f>
        <v>553</v>
      </c>
      <c r="K18">
        <f>'[30]R03_GABM_run2-data'!$G17</f>
        <v>766</v>
      </c>
      <c r="L18">
        <f t="shared" si="3"/>
        <v>646.1</v>
      </c>
      <c r="N18">
        <f t="shared" si="1"/>
        <v>15</v>
      </c>
      <c r="O18">
        <f t="shared" si="4"/>
        <v>0.76600000000000001</v>
      </c>
      <c r="P18">
        <f t="shared" si="5"/>
        <v>0.78300000000000003</v>
      </c>
      <c r="Q18">
        <f t="shared" si="6"/>
        <v>0.69799999999999995</v>
      </c>
      <c r="R18">
        <f t="shared" si="7"/>
        <v>0.74399999999999999</v>
      </c>
      <c r="S18">
        <f t="shared" si="8"/>
        <v>0.27900000000000003</v>
      </c>
      <c r="T18">
        <f t="shared" si="9"/>
        <v>0.39200000000000002</v>
      </c>
      <c r="U18">
        <f t="shared" si="10"/>
        <v>0.755</v>
      </c>
      <c r="V18">
        <f t="shared" si="11"/>
        <v>0.72499999999999998</v>
      </c>
      <c r="W18">
        <f t="shared" si="12"/>
        <v>0.55300000000000005</v>
      </c>
      <c r="X18">
        <f t="shared" si="13"/>
        <v>0.76600000000000001</v>
      </c>
      <c r="Y18">
        <f t="shared" si="14"/>
        <v>0.64610000000000001</v>
      </c>
    </row>
    <row r="19" spans="1:25" x14ac:dyDescent="0.35">
      <c r="A19">
        <v>16</v>
      </c>
      <c r="B19">
        <f>'[21]R03_GABM-data'!$G18</f>
        <v>718</v>
      </c>
      <c r="C19">
        <f>'[22]GABM_R03_RossAPI-data'!$G18</f>
        <v>797</v>
      </c>
      <c r="D19">
        <f>'[23]GABM_R03_RandiAPI-data'!$G18</f>
        <v>831</v>
      </c>
      <c r="E19">
        <f>'[24]GABM_R03_NavidAPI-data'!$G18</f>
        <v>784</v>
      </c>
      <c r="F19">
        <f>'[25]GABM_R03_Terry-data'!$G18</f>
        <v>722</v>
      </c>
      <c r="G19">
        <f>'[26]GABM_R03_SarahAPI-data'!$G18</f>
        <v>545</v>
      </c>
      <c r="H19">
        <f>'[27]GABM_R03_savannah-data'!$G18</f>
        <v>751</v>
      </c>
      <c r="I19">
        <f>'[28]GABM_R03_MitchellAPI-data'!$G18</f>
        <v>774</v>
      </c>
      <c r="J19">
        <f>'[29]GABM_R03_SudipaAPI-data'!$G18</f>
        <v>357</v>
      </c>
      <c r="K19">
        <f>'[30]R03_GABM_run2-data'!$G18</f>
        <v>560</v>
      </c>
      <c r="L19">
        <f t="shared" si="3"/>
        <v>683.9</v>
      </c>
      <c r="N19">
        <f t="shared" si="1"/>
        <v>16</v>
      </c>
      <c r="O19">
        <f t="shared" si="4"/>
        <v>0.71799999999999997</v>
      </c>
      <c r="P19">
        <f t="shared" si="5"/>
        <v>0.79700000000000004</v>
      </c>
      <c r="Q19">
        <f t="shared" si="6"/>
        <v>0.83099999999999996</v>
      </c>
      <c r="R19">
        <f t="shared" si="7"/>
        <v>0.78400000000000003</v>
      </c>
      <c r="S19">
        <f t="shared" si="8"/>
        <v>0.72199999999999998</v>
      </c>
      <c r="T19">
        <f t="shared" si="9"/>
        <v>0.54500000000000004</v>
      </c>
      <c r="U19">
        <f t="shared" si="10"/>
        <v>0.751</v>
      </c>
      <c r="V19">
        <f t="shared" si="11"/>
        <v>0.77400000000000002</v>
      </c>
      <c r="W19">
        <f t="shared" si="12"/>
        <v>0.35699999999999998</v>
      </c>
      <c r="X19">
        <f t="shared" si="13"/>
        <v>0.56000000000000005</v>
      </c>
      <c r="Y19">
        <f t="shared" si="14"/>
        <v>0.68389999999999995</v>
      </c>
    </row>
    <row r="20" spans="1:25" x14ac:dyDescent="0.35">
      <c r="A20">
        <v>17</v>
      </c>
      <c r="B20">
        <f>'[21]R03_GABM-data'!$G19</f>
        <v>738</v>
      </c>
      <c r="C20">
        <f>'[22]GABM_R03_RossAPI-data'!$G19</f>
        <v>758</v>
      </c>
      <c r="D20">
        <f>'[23]GABM_R03_RandiAPI-data'!$G19</f>
        <v>703</v>
      </c>
      <c r="E20">
        <f>'[24]GABM_R03_NavidAPI-data'!$G19</f>
        <v>804</v>
      </c>
      <c r="F20">
        <f>'[25]GABM_R03_Terry-data'!$G19</f>
        <v>670</v>
      </c>
      <c r="G20">
        <f>'[26]GABM_R03_SarahAPI-data'!$G19</f>
        <v>687</v>
      </c>
      <c r="H20">
        <f>'[27]GABM_R03_savannah-data'!$G19</f>
        <v>735</v>
      </c>
      <c r="I20">
        <f>'[28]GABM_R03_MitchellAPI-data'!$G19</f>
        <v>530</v>
      </c>
      <c r="J20">
        <f>'[29]GABM_R03_SudipaAPI-data'!$G19</f>
        <v>436</v>
      </c>
      <c r="K20">
        <f>'[30]R03_GABM_run2-data'!$G19</f>
        <v>843</v>
      </c>
      <c r="L20">
        <f t="shared" si="3"/>
        <v>690.4</v>
      </c>
      <c r="N20">
        <f t="shared" si="1"/>
        <v>17</v>
      </c>
      <c r="O20">
        <f t="shared" si="4"/>
        <v>0.73799999999999999</v>
      </c>
      <c r="P20">
        <f t="shared" si="5"/>
        <v>0.75800000000000001</v>
      </c>
      <c r="Q20">
        <f t="shared" si="6"/>
        <v>0.70299999999999996</v>
      </c>
      <c r="R20">
        <f t="shared" si="7"/>
        <v>0.80400000000000005</v>
      </c>
      <c r="S20">
        <f t="shared" si="8"/>
        <v>0.67</v>
      </c>
      <c r="T20">
        <f t="shared" si="9"/>
        <v>0.68700000000000006</v>
      </c>
      <c r="U20">
        <f t="shared" si="10"/>
        <v>0.73499999999999999</v>
      </c>
      <c r="V20">
        <f t="shared" si="11"/>
        <v>0.53</v>
      </c>
      <c r="W20">
        <f t="shared" si="12"/>
        <v>0.436</v>
      </c>
      <c r="X20">
        <f t="shared" si="13"/>
        <v>0.84299999999999997</v>
      </c>
      <c r="Y20">
        <f t="shared" si="14"/>
        <v>0.69040000000000001</v>
      </c>
    </row>
    <row r="21" spans="1:25" x14ac:dyDescent="0.35">
      <c r="A21">
        <v>18</v>
      </c>
      <c r="B21">
        <f>'[21]R03_GABM-data'!$G20</f>
        <v>665</v>
      </c>
      <c r="C21">
        <f>'[22]GABM_R03_RossAPI-data'!$G20</f>
        <v>568</v>
      </c>
      <c r="D21">
        <f>'[23]GABM_R03_RandiAPI-data'!$G20</f>
        <v>743</v>
      </c>
      <c r="E21">
        <f>'[24]GABM_R03_NavidAPI-data'!$G20</f>
        <v>780</v>
      </c>
      <c r="F21">
        <f>'[25]GABM_R03_Terry-data'!$G20</f>
        <v>770</v>
      </c>
      <c r="G21">
        <f>'[26]GABM_R03_SarahAPI-data'!$G20</f>
        <v>701</v>
      </c>
      <c r="H21">
        <f>'[27]GABM_R03_savannah-data'!$G20</f>
        <v>723</v>
      </c>
      <c r="I21">
        <f>'[28]GABM_R03_MitchellAPI-data'!$G20</f>
        <v>782</v>
      </c>
      <c r="J21">
        <f>'[29]GABM_R03_SudipaAPI-data'!$G20</f>
        <v>213</v>
      </c>
      <c r="K21">
        <f>'[30]R03_GABM_run2-data'!$G20</f>
        <v>743</v>
      </c>
      <c r="L21">
        <f t="shared" si="3"/>
        <v>668.8</v>
      </c>
      <c r="N21">
        <f t="shared" si="1"/>
        <v>18</v>
      </c>
      <c r="O21">
        <f t="shared" si="4"/>
        <v>0.66500000000000004</v>
      </c>
      <c r="P21">
        <f t="shared" si="5"/>
        <v>0.56799999999999995</v>
      </c>
      <c r="Q21">
        <f t="shared" si="6"/>
        <v>0.74299999999999999</v>
      </c>
      <c r="R21">
        <f t="shared" si="7"/>
        <v>0.78</v>
      </c>
      <c r="S21">
        <f t="shared" si="8"/>
        <v>0.77</v>
      </c>
      <c r="T21">
        <f t="shared" si="9"/>
        <v>0.70099999999999996</v>
      </c>
      <c r="U21">
        <f t="shared" si="10"/>
        <v>0.72299999999999998</v>
      </c>
      <c r="V21">
        <f t="shared" si="11"/>
        <v>0.78200000000000003</v>
      </c>
      <c r="W21">
        <f t="shared" si="12"/>
        <v>0.21299999999999999</v>
      </c>
      <c r="X21">
        <f t="shared" si="13"/>
        <v>0.74299999999999999</v>
      </c>
      <c r="Y21">
        <f t="shared" si="14"/>
        <v>0.66879999999999995</v>
      </c>
    </row>
    <row r="22" spans="1:25" x14ac:dyDescent="0.35">
      <c r="A22">
        <v>19</v>
      </c>
      <c r="B22">
        <f>'[21]R03_GABM-data'!$G21</f>
        <v>713</v>
      </c>
      <c r="C22">
        <f>'[22]GABM_R03_RossAPI-data'!$G21</f>
        <v>570</v>
      </c>
      <c r="D22">
        <f>'[23]GABM_R03_RandiAPI-data'!$G21</f>
        <v>757</v>
      </c>
      <c r="E22">
        <f>'[24]GABM_R03_NavidAPI-data'!$G21</f>
        <v>758</v>
      </c>
      <c r="F22">
        <f>'[25]GABM_R03_Terry-data'!$G21</f>
        <v>779</v>
      </c>
      <c r="G22">
        <f>'[26]GABM_R03_SarahAPI-data'!$G21</f>
        <v>772</v>
      </c>
      <c r="H22">
        <f>'[27]GABM_R03_savannah-data'!$G21</f>
        <v>554</v>
      </c>
      <c r="I22">
        <f>'[28]GABM_R03_MitchellAPI-data'!$G21</f>
        <v>765</v>
      </c>
      <c r="J22">
        <f>'[29]GABM_R03_SudipaAPI-data'!$G21</f>
        <v>565</v>
      </c>
      <c r="K22">
        <f>'[30]R03_GABM_run2-data'!$G21</f>
        <v>679</v>
      </c>
      <c r="L22">
        <f t="shared" si="3"/>
        <v>691.2</v>
      </c>
      <c r="N22">
        <f t="shared" si="1"/>
        <v>19</v>
      </c>
      <c r="O22">
        <f t="shared" si="4"/>
        <v>0.71299999999999997</v>
      </c>
      <c r="P22">
        <f t="shared" si="5"/>
        <v>0.56999999999999995</v>
      </c>
      <c r="Q22">
        <f t="shared" si="6"/>
        <v>0.75700000000000001</v>
      </c>
      <c r="R22">
        <f t="shared" si="7"/>
        <v>0.75800000000000001</v>
      </c>
      <c r="S22">
        <f t="shared" si="8"/>
        <v>0.77900000000000003</v>
      </c>
      <c r="T22">
        <f t="shared" si="9"/>
        <v>0.77200000000000002</v>
      </c>
      <c r="U22">
        <f t="shared" si="10"/>
        <v>0.55400000000000005</v>
      </c>
      <c r="V22">
        <f t="shared" si="11"/>
        <v>0.76500000000000001</v>
      </c>
      <c r="W22">
        <f t="shared" si="12"/>
        <v>0.56499999999999995</v>
      </c>
      <c r="X22">
        <f t="shared" si="13"/>
        <v>0.67900000000000005</v>
      </c>
      <c r="Y22">
        <f t="shared" si="14"/>
        <v>0.69120000000000004</v>
      </c>
    </row>
    <row r="23" spans="1:25" x14ac:dyDescent="0.35">
      <c r="A23">
        <v>20</v>
      </c>
      <c r="B23">
        <f>'[21]R03_GABM-data'!$G22</f>
        <v>848</v>
      </c>
      <c r="C23">
        <f>'[22]GABM_R03_RossAPI-data'!$G22</f>
        <v>709</v>
      </c>
      <c r="D23">
        <f>'[23]GABM_R03_RandiAPI-data'!$G22</f>
        <v>537</v>
      </c>
      <c r="E23">
        <f>'[24]GABM_R03_NavidAPI-data'!$G22</f>
        <v>722</v>
      </c>
      <c r="F23">
        <f>'[25]GABM_R03_Terry-data'!$G22</f>
        <v>777</v>
      </c>
      <c r="G23">
        <f>'[26]GABM_R03_SarahAPI-data'!$G22</f>
        <v>783</v>
      </c>
      <c r="H23">
        <f>'[27]GABM_R03_savannah-data'!$G22</f>
        <v>741</v>
      </c>
      <c r="I23">
        <f>'[28]GABM_R03_MitchellAPI-data'!$G22</f>
        <v>533</v>
      </c>
      <c r="J23">
        <f>'[29]GABM_R03_SudipaAPI-data'!$G22</f>
        <v>767</v>
      </c>
      <c r="K23">
        <f>'[30]R03_GABM_run2-data'!$G22</f>
        <v>663</v>
      </c>
      <c r="L23">
        <f t="shared" si="3"/>
        <v>708</v>
      </c>
      <c r="N23">
        <f t="shared" si="1"/>
        <v>20</v>
      </c>
      <c r="O23">
        <f t="shared" si="4"/>
        <v>0.84799999999999998</v>
      </c>
      <c r="P23">
        <f t="shared" si="5"/>
        <v>0.70899999999999996</v>
      </c>
      <c r="Q23">
        <f t="shared" si="6"/>
        <v>0.53700000000000003</v>
      </c>
      <c r="R23">
        <f t="shared" si="7"/>
        <v>0.72199999999999998</v>
      </c>
      <c r="S23">
        <f t="shared" si="8"/>
        <v>0.77700000000000002</v>
      </c>
      <c r="T23">
        <f t="shared" si="9"/>
        <v>0.78300000000000003</v>
      </c>
      <c r="U23">
        <f t="shared" si="10"/>
        <v>0.74099999999999999</v>
      </c>
      <c r="V23">
        <f t="shared" si="11"/>
        <v>0.53300000000000003</v>
      </c>
      <c r="W23">
        <f t="shared" si="12"/>
        <v>0.76700000000000002</v>
      </c>
      <c r="X23">
        <f t="shared" si="13"/>
        <v>0.66300000000000003</v>
      </c>
      <c r="Y23">
        <f t="shared" si="14"/>
        <v>0.70799999999999996</v>
      </c>
    </row>
    <row r="24" spans="1:25" x14ac:dyDescent="0.35">
      <c r="A24">
        <v>21</v>
      </c>
      <c r="B24">
        <f>'[21]R03_GABM-data'!$G23</f>
        <v>558</v>
      </c>
      <c r="C24">
        <f>'[22]GABM_R03_RossAPI-data'!$G23</f>
        <v>706</v>
      </c>
      <c r="D24">
        <f>'[23]GABM_R03_RandiAPI-data'!$G23</f>
        <v>720</v>
      </c>
      <c r="E24">
        <f>'[24]GABM_R03_NavidAPI-data'!$G23</f>
        <v>751</v>
      </c>
      <c r="F24">
        <f>'[25]GABM_R03_Terry-data'!$G23</f>
        <v>781</v>
      </c>
      <c r="G24">
        <f>'[26]GABM_R03_SarahAPI-data'!$G23</f>
        <v>797</v>
      </c>
      <c r="H24">
        <f>'[27]GABM_R03_savannah-data'!$G23</f>
        <v>773</v>
      </c>
      <c r="I24">
        <f>'[28]GABM_R03_MitchellAPI-data'!$G23</f>
        <v>784</v>
      </c>
      <c r="J24">
        <f>'[29]GABM_R03_SudipaAPI-data'!$G23</f>
        <v>740</v>
      </c>
      <c r="K24">
        <f>'[30]R03_GABM_run2-data'!$G23</f>
        <v>474</v>
      </c>
      <c r="L24">
        <f t="shared" si="3"/>
        <v>708.4</v>
      </c>
      <c r="N24">
        <f t="shared" si="1"/>
        <v>21</v>
      </c>
      <c r="O24">
        <f t="shared" si="4"/>
        <v>0.55800000000000005</v>
      </c>
      <c r="P24">
        <f t="shared" si="5"/>
        <v>0.70599999999999996</v>
      </c>
      <c r="Q24">
        <f t="shared" si="6"/>
        <v>0.72</v>
      </c>
      <c r="R24">
        <f t="shared" si="7"/>
        <v>0.751</v>
      </c>
      <c r="S24">
        <f t="shared" si="8"/>
        <v>0.78100000000000003</v>
      </c>
      <c r="T24">
        <f t="shared" si="9"/>
        <v>0.79700000000000004</v>
      </c>
      <c r="U24">
        <f t="shared" si="10"/>
        <v>0.77300000000000002</v>
      </c>
      <c r="V24">
        <f t="shared" si="11"/>
        <v>0.78400000000000003</v>
      </c>
      <c r="W24">
        <f t="shared" si="12"/>
        <v>0.74</v>
      </c>
      <c r="X24">
        <f t="shared" si="13"/>
        <v>0.47399999999999998</v>
      </c>
      <c r="Y24">
        <f t="shared" si="14"/>
        <v>0.70840000000000003</v>
      </c>
    </row>
    <row r="25" spans="1:25" x14ac:dyDescent="0.35">
      <c r="A25">
        <v>22</v>
      </c>
      <c r="B25">
        <f>'[21]R03_GABM-data'!$G24</f>
        <v>719</v>
      </c>
      <c r="C25">
        <f>'[22]GABM_R03_RossAPI-data'!$G24</f>
        <v>705</v>
      </c>
      <c r="D25">
        <f>'[23]GABM_R03_RandiAPI-data'!$G24</f>
        <v>699</v>
      </c>
      <c r="E25">
        <f>'[24]GABM_R03_NavidAPI-data'!$G24</f>
        <v>709</v>
      </c>
      <c r="F25">
        <f>'[25]GABM_R03_Terry-data'!$G24</f>
        <v>537</v>
      </c>
      <c r="G25">
        <f>'[26]GABM_R03_SarahAPI-data'!$G24</f>
        <v>800</v>
      </c>
      <c r="H25">
        <f>'[27]GABM_R03_savannah-data'!$G24</f>
        <v>720</v>
      </c>
      <c r="I25">
        <f>'[28]GABM_R03_MitchellAPI-data'!$G24</f>
        <v>767</v>
      </c>
      <c r="J25">
        <f>'[29]GABM_R03_SudipaAPI-data'!$G24</f>
        <v>990</v>
      </c>
      <c r="K25">
        <f>'[30]R03_GABM_run2-data'!$G24</f>
        <v>464</v>
      </c>
      <c r="L25">
        <f t="shared" si="3"/>
        <v>711</v>
      </c>
      <c r="N25">
        <f t="shared" si="1"/>
        <v>22</v>
      </c>
      <c r="O25">
        <f t="shared" si="4"/>
        <v>0.71899999999999997</v>
      </c>
      <c r="P25">
        <f t="shared" si="5"/>
        <v>0.70499999999999996</v>
      </c>
      <c r="Q25">
        <f t="shared" si="6"/>
        <v>0.69899999999999995</v>
      </c>
      <c r="R25">
        <f t="shared" si="7"/>
        <v>0.70899999999999996</v>
      </c>
      <c r="S25">
        <f t="shared" si="8"/>
        <v>0.53700000000000003</v>
      </c>
      <c r="T25">
        <f t="shared" si="9"/>
        <v>0.8</v>
      </c>
      <c r="U25">
        <f t="shared" si="10"/>
        <v>0.72</v>
      </c>
      <c r="V25">
        <f t="shared" si="11"/>
        <v>0.76700000000000002</v>
      </c>
      <c r="W25">
        <f t="shared" si="12"/>
        <v>0.99</v>
      </c>
      <c r="X25">
        <f t="shared" si="13"/>
        <v>0.46400000000000002</v>
      </c>
      <c r="Y25">
        <f t="shared" si="14"/>
        <v>0.71099999999999997</v>
      </c>
    </row>
    <row r="26" spans="1:25" x14ac:dyDescent="0.35">
      <c r="A26">
        <v>23</v>
      </c>
      <c r="B26">
        <f>'[21]R03_GABM-data'!$G25</f>
        <v>357</v>
      </c>
      <c r="C26">
        <f>'[22]GABM_R03_RossAPI-data'!$G25</f>
        <v>565</v>
      </c>
      <c r="D26">
        <f>'[23]GABM_R03_RandiAPI-data'!$G25</f>
        <v>722</v>
      </c>
      <c r="E26">
        <f>'[24]GABM_R03_NavidAPI-data'!$G25</f>
        <v>702</v>
      </c>
      <c r="F26">
        <f>'[25]GABM_R03_Terry-data'!$G25</f>
        <v>700</v>
      </c>
      <c r="G26">
        <f>'[26]GABM_R03_SarahAPI-data'!$G25</f>
        <v>795</v>
      </c>
      <c r="H26">
        <f>'[27]GABM_R03_savannah-data'!$G25</f>
        <v>540</v>
      </c>
      <c r="I26">
        <f>'[28]GABM_R03_MitchellAPI-data'!$G25</f>
        <v>779</v>
      </c>
      <c r="J26">
        <f>'[29]GABM_R03_SudipaAPI-data'!$G25</f>
        <v>781</v>
      </c>
      <c r="K26">
        <f>'[30]R03_GABM_run2-data'!$G25</f>
        <v>469</v>
      </c>
      <c r="L26">
        <f t="shared" si="3"/>
        <v>641</v>
      </c>
      <c r="N26">
        <f t="shared" si="1"/>
        <v>23</v>
      </c>
      <c r="O26">
        <f t="shared" si="4"/>
        <v>0.35699999999999998</v>
      </c>
      <c r="P26">
        <f t="shared" si="5"/>
        <v>0.56499999999999995</v>
      </c>
      <c r="Q26">
        <f t="shared" si="6"/>
        <v>0.72199999999999998</v>
      </c>
      <c r="R26">
        <f t="shared" si="7"/>
        <v>0.70199999999999996</v>
      </c>
      <c r="S26">
        <f t="shared" si="8"/>
        <v>0.7</v>
      </c>
      <c r="T26">
        <f t="shared" si="9"/>
        <v>0.79500000000000004</v>
      </c>
      <c r="U26">
        <f t="shared" si="10"/>
        <v>0.54</v>
      </c>
      <c r="V26">
        <f t="shared" si="11"/>
        <v>0.77900000000000003</v>
      </c>
      <c r="W26">
        <f t="shared" si="12"/>
        <v>0.78100000000000003</v>
      </c>
      <c r="X26">
        <f t="shared" si="13"/>
        <v>0.46899999999999997</v>
      </c>
      <c r="Y26">
        <f t="shared" si="14"/>
        <v>0.64100000000000001</v>
      </c>
    </row>
    <row r="27" spans="1:25" x14ac:dyDescent="0.35">
      <c r="A27">
        <v>24</v>
      </c>
      <c r="B27">
        <f>'[21]R03_GABM-data'!$G26</f>
        <v>359</v>
      </c>
      <c r="C27">
        <f>'[22]GABM_R03_RossAPI-data'!$G26</f>
        <v>741</v>
      </c>
      <c r="D27">
        <f>'[23]GABM_R03_RandiAPI-data'!$G26</f>
        <v>532</v>
      </c>
      <c r="E27">
        <f>'[24]GABM_R03_NavidAPI-data'!$G26</f>
        <v>702</v>
      </c>
      <c r="F27">
        <f>'[25]GABM_R03_Terry-data'!$G26</f>
        <v>692</v>
      </c>
      <c r="G27">
        <f>'[26]GABM_R03_SarahAPI-data'!$G26</f>
        <v>551</v>
      </c>
      <c r="H27">
        <f>'[27]GABM_R03_savannah-data'!$G26</f>
        <v>681</v>
      </c>
      <c r="I27">
        <f>'[28]GABM_R03_MitchellAPI-data'!$G26</f>
        <v>794</v>
      </c>
      <c r="J27">
        <f>'[29]GABM_R03_SudipaAPI-data'!$G26</f>
        <v>791</v>
      </c>
      <c r="K27">
        <f>'[30]R03_GABM_run2-data'!$G26</f>
        <v>831</v>
      </c>
      <c r="L27">
        <f t="shared" si="3"/>
        <v>667.4</v>
      </c>
      <c r="N27">
        <f t="shared" si="1"/>
        <v>24</v>
      </c>
      <c r="O27">
        <f t="shared" si="4"/>
        <v>0.35899999999999999</v>
      </c>
      <c r="P27">
        <f t="shared" si="5"/>
        <v>0.74099999999999999</v>
      </c>
      <c r="Q27">
        <f t="shared" si="6"/>
        <v>0.53200000000000003</v>
      </c>
      <c r="R27">
        <f t="shared" si="7"/>
        <v>0.70199999999999996</v>
      </c>
      <c r="S27">
        <f t="shared" si="8"/>
        <v>0.69199999999999995</v>
      </c>
      <c r="T27">
        <f t="shared" si="9"/>
        <v>0.55100000000000005</v>
      </c>
      <c r="U27">
        <f t="shared" si="10"/>
        <v>0.68100000000000005</v>
      </c>
      <c r="V27">
        <f t="shared" si="11"/>
        <v>0.79400000000000004</v>
      </c>
      <c r="W27">
        <f t="shared" si="12"/>
        <v>0.79100000000000004</v>
      </c>
      <c r="X27">
        <f t="shared" si="13"/>
        <v>0.83099999999999996</v>
      </c>
      <c r="Y27">
        <f t="shared" si="14"/>
        <v>0.66739999999999999</v>
      </c>
    </row>
    <row r="28" spans="1:25" x14ac:dyDescent="0.35">
      <c r="A28">
        <v>25</v>
      </c>
      <c r="B28">
        <f>'[21]R03_GABM-data'!$G27</f>
        <v>656</v>
      </c>
      <c r="C28">
        <f>'[22]GABM_R03_RossAPI-data'!$G27</f>
        <v>807</v>
      </c>
      <c r="D28">
        <f>'[23]GABM_R03_RandiAPI-data'!$G27</f>
        <v>774</v>
      </c>
      <c r="E28">
        <f>'[24]GABM_R03_NavidAPI-data'!$G27</f>
        <v>702</v>
      </c>
      <c r="F28">
        <f>'[25]GABM_R03_Terry-data'!$G27</f>
        <v>855</v>
      </c>
      <c r="G28">
        <f>'[26]GABM_R03_SarahAPI-data'!$G27</f>
        <v>550</v>
      </c>
      <c r="H28">
        <f>'[27]GABM_R03_savannah-data'!$G27</f>
        <v>836</v>
      </c>
      <c r="I28">
        <f>'[28]GABM_R03_MitchellAPI-data'!$G27</f>
        <v>775</v>
      </c>
      <c r="J28">
        <f>'[29]GABM_R03_SudipaAPI-data'!$G27</f>
        <v>994</v>
      </c>
      <c r="K28">
        <f>'[30]R03_GABM_run2-data'!$G27</f>
        <v>745</v>
      </c>
      <c r="L28">
        <f t="shared" si="3"/>
        <v>769.4</v>
      </c>
      <c r="N28">
        <f t="shared" si="1"/>
        <v>25</v>
      </c>
      <c r="O28">
        <f t="shared" si="4"/>
        <v>0.65600000000000003</v>
      </c>
      <c r="P28">
        <f t="shared" si="5"/>
        <v>0.80700000000000005</v>
      </c>
      <c r="Q28">
        <f t="shared" si="6"/>
        <v>0.77400000000000002</v>
      </c>
      <c r="R28">
        <f t="shared" si="7"/>
        <v>0.70199999999999996</v>
      </c>
      <c r="S28">
        <f t="shared" si="8"/>
        <v>0.85499999999999998</v>
      </c>
      <c r="T28">
        <f t="shared" si="9"/>
        <v>0.55000000000000004</v>
      </c>
      <c r="U28">
        <f t="shared" si="10"/>
        <v>0.83599999999999997</v>
      </c>
      <c r="V28">
        <f t="shared" si="11"/>
        <v>0.77500000000000002</v>
      </c>
      <c r="W28">
        <f t="shared" si="12"/>
        <v>0.99399999999999999</v>
      </c>
      <c r="X28">
        <f t="shared" si="13"/>
        <v>0.745</v>
      </c>
      <c r="Y28">
        <f t="shared" si="14"/>
        <v>0.76939999999999997</v>
      </c>
    </row>
    <row r="29" spans="1:25" x14ac:dyDescent="0.35">
      <c r="A29">
        <v>26</v>
      </c>
      <c r="B29">
        <f>'[21]R03_GABM-data'!$G28</f>
        <v>700</v>
      </c>
      <c r="C29">
        <f>'[22]GABM_R03_RossAPI-data'!$G28</f>
        <v>774</v>
      </c>
      <c r="D29">
        <f>'[23]GABM_R03_RandiAPI-data'!$G28</f>
        <v>786</v>
      </c>
      <c r="E29">
        <f>'[24]GABM_R03_NavidAPI-data'!$G28</f>
        <v>845</v>
      </c>
      <c r="F29">
        <f>'[25]GABM_R03_Terry-data'!$G28</f>
        <v>514</v>
      </c>
      <c r="G29">
        <f>'[26]GABM_R03_SarahAPI-data'!$G28</f>
        <v>546</v>
      </c>
      <c r="H29">
        <f>'[27]GABM_R03_savannah-data'!$G28</f>
        <v>831</v>
      </c>
      <c r="I29">
        <f>'[28]GABM_R03_MitchellAPI-data'!$G28</f>
        <v>782</v>
      </c>
      <c r="J29">
        <f>'[29]GABM_R03_SudipaAPI-data'!$G28</f>
        <v>717</v>
      </c>
      <c r="K29">
        <f>'[30]R03_GABM_run2-data'!$G28</f>
        <v>761</v>
      </c>
      <c r="L29">
        <f t="shared" si="3"/>
        <v>725.6</v>
      </c>
      <c r="N29">
        <f t="shared" si="1"/>
        <v>26</v>
      </c>
      <c r="O29">
        <f t="shared" si="4"/>
        <v>0.7</v>
      </c>
      <c r="P29">
        <f t="shared" si="5"/>
        <v>0.77400000000000002</v>
      </c>
      <c r="Q29">
        <f t="shared" si="6"/>
        <v>0.78600000000000003</v>
      </c>
      <c r="R29">
        <f t="shared" si="7"/>
        <v>0.84499999999999997</v>
      </c>
      <c r="S29">
        <f t="shared" si="8"/>
        <v>0.51400000000000001</v>
      </c>
      <c r="T29">
        <f t="shared" si="9"/>
        <v>0.54600000000000004</v>
      </c>
      <c r="U29">
        <f t="shared" si="10"/>
        <v>0.83099999999999996</v>
      </c>
      <c r="V29">
        <f t="shared" si="11"/>
        <v>0.78200000000000003</v>
      </c>
      <c r="W29">
        <f t="shared" si="12"/>
        <v>0.71699999999999997</v>
      </c>
      <c r="X29">
        <f t="shared" si="13"/>
        <v>0.76100000000000001</v>
      </c>
      <c r="Y29">
        <f t="shared" si="14"/>
        <v>0.72560000000000002</v>
      </c>
    </row>
    <row r="30" spans="1:25" x14ac:dyDescent="0.35">
      <c r="A30">
        <v>27</v>
      </c>
      <c r="B30">
        <f>'[21]R03_GABM-data'!$G29</f>
        <v>794</v>
      </c>
      <c r="C30">
        <f>'[22]GABM_R03_RossAPI-data'!$G29</f>
        <v>786</v>
      </c>
      <c r="D30">
        <f>'[23]GABM_R03_RandiAPI-data'!$G29</f>
        <v>790</v>
      </c>
      <c r="E30">
        <f>'[24]GABM_R03_NavidAPI-data'!$G29</f>
        <v>751</v>
      </c>
      <c r="F30">
        <f>'[25]GABM_R03_Terry-data'!$G29</f>
        <v>703</v>
      </c>
      <c r="G30">
        <f>'[26]GABM_R03_SarahAPI-data'!$G29</f>
        <v>548</v>
      </c>
      <c r="H30">
        <f>'[27]GABM_R03_savannah-data'!$G29</f>
        <v>745</v>
      </c>
      <c r="I30">
        <f>'[28]GABM_R03_MitchellAPI-data'!$G29</f>
        <v>772</v>
      </c>
      <c r="J30">
        <f>'[29]GABM_R03_SudipaAPI-data'!$G29</f>
        <v>729</v>
      </c>
      <c r="K30">
        <f>'[30]R03_GABM_run2-data'!$G29</f>
        <v>546</v>
      </c>
      <c r="L30">
        <f t="shared" si="3"/>
        <v>716.4</v>
      </c>
      <c r="N30">
        <f t="shared" si="1"/>
        <v>27</v>
      </c>
      <c r="O30">
        <f t="shared" si="4"/>
        <v>0.79400000000000004</v>
      </c>
      <c r="P30">
        <f t="shared" si="5"/>
        <v>0.78600000000000003</v>
      </c>
      <c r="Q30">
        <f t="shared" si="6"/>
        <v>0.79</v>
      </c>
      <c r="R30">
        <f t="shared" si="7"/>
        <v>0.751</v>
      </c>
      <c r="S30">
        <f t="shared" si="8"/>
        <v>0.70299999999999996</v>
      </c>
      <c r="T30">
        <f t="shared" si="9"/>
        <v>0.54800000000000004</v>
      </c>
      <c r="U30">
        <f t="shared" si="10"/>
        <v>0.745</v>
      </c>
      <c r="V30">
        <f t="shared" si="11"/>
        <v>0.77200000000000002</v>
      </c>
      <c r="W30">
        <f t="shared" si="12"/>
        <v>0.72899999999999998</v>
      </c>
      <c r="X30">
        <f t="shared" si="13"/>
        <v>0.54600000000000004</v>
      </c>
      <c r="Y30">
        <f t="shared" si="14"/>
        <v>0.71639999999999993</v>
      </c>
    </row>
    <row r="31" spans="1:25" x14ac:dyDescent="0.35">
      <c r="A31">
        <v>28</v>
      </c>
      <c r="B31">
        <f>'[21]R03_GABM-data'!$G30</f>
        <v>995</v>
      </c>
      <c r="C31">
        <f>'[22]GABM_R03_RossAPI-data'!$G30</f>
        <v>801</v>
      </c>
      <c r="D31">
        <f>'[23]GABM_R03_RandiAPI-data'!$G30</f>
        <v>758</v>
      </c>
      <c r="E31">
        <f>'[24]GABM_R03_NavidAPI-data'!$G30</f>
        <v>665</v>
      </c>
      <c r="F31">
        <f>'[25]GABM_R03_Terry-data'!$G30</f>
        <v>771</v>
      </c>
      <c r="G31">
        <f>'[26]GABM_R03_SarahAPI-data'!$G30</f>
        <v>792</v>
      </c>
      <c r="H31">
        <f>'[27]GABM_R03_savannah-data'!$G30</f>
        <v>742</v>
      </c>
      <c r="I31">
        <f>'[28]GABM_R03_MitchellAPI-data'!$G30</f>
        <v>771</v>
      </c>
      <c r="J31">
        <f>'[29]GABM_R03_SudipaAPI-data'!$G30</f>
        <v>698</v>
      </c>
      <c r="K31">
        <f>'[30]R03_GABM_run2-data'!$G30</f>
        <v>690</v>
      </c>
      <c r="L31">
        <f t="shared" si="3"/>
        <v>768.3</v>
      </c>
      <c r="N31">
        <f t="shared" si="1"/>
        <v>28</v>
      </c>
      <c r="O31">
        <f t="shared" si="4"/>
        <v>0.995</v>
      </c>
      <c r="P31">
        <f t="shared" si="5"/>
        <v>0.80100000000000005</v>
      </c>
      <c r="Q31">
        <f t="shared" si="6"/>
        <v>0.75800000000000001</v>
      </c>
      <c r="R31">
        <f t="shared" si="7"/>
        <v>0.66500000000000004</v>
      </c>
      <c r="S31">
        <f t="shared" si="8"/>
        <v>0.77100000000000002</v>
      </c>
      <c r="T31">
        <f t="shared" si="9"/>
        <v>0.79200000000000004</v>
      </c>
      <c r="U31">
        <f t="shared" si="10"/>
        <v>0.74199999999999999</v>
      </c>
      <c r="V31">
        <f t="shared" si="11"/>
        <v>0.77100000000000002</v>
      </c>
      <c r="W31">
        <f t="shared" si="12"/>
        <v>0.69799999999999995</v>
      </c>
      <c r="X31">
        <f t="shared" si="13"/>
        <v>0.69</v>
      </c>
      <c r="Y31">
        <f t="shared" si="14"/>
        <v>0.76829999999999998</v>
      </c>
    </row>
    <row r="32" spans="1:25" x14ac:dyDescent="0.35">
      <c r="A32">
        <v>29</v>
      </c>
      <c r="B32">
        <f>'[21]R03_GABM-data'!$G31</f>
        <v>782</v>
      </c>
      <c r="C32">
        <f>'[22]GABM_R03_RossAPI-data'!$G31</f>
        <v>738</v>
      </c>
      <c r="D32">
        <f>'[23]GABM_R03_RandiAPI-data'!$G31</f>
        <v>535</v>
      </c>
      <c r="E32">
        <f>'[24]GABM_R03_NavidAPI-data'!$G31</f>
        <v>748</v>
      </c>
      <c r="F32">
        <f>'[25]GABM_R03_Terry-data'!$G31</f>
        <v>477</v>
      </c>
      <c r="G32">
        <f>'[26]GABM_R03_SarahAPI-data'!$G31</f>
        <v>805</v>
      </c>
      <c r="H32">
        <f>'[27]GABM_R03_savannah-data'!$G31</f>
        <v>540</v>
      </c>
      <c r="I32">
        <f>'[28]GABM_R03_MitchellAPI-data'!$G31</f>
        <v>996</v>
      </c>
      <c r="J32">
        <f>'[29]GABM_R03_SudipaAPI-data'!$G31</f>
        <v>415</v>
      </c>
      <c r="K32">
        <f>'[30]R03_GABM_run2-data'!$G31</f>
        <v>746</v>
      </c>
      <c r="L32">
        <f t="shared" si="3"/>
        <v>678.2</v>
      </c>
      <c r="N32">
        <f t="shared" si="1"/>
        <v>29</v>
      </c>
      <c r="O32">
        <f t="shared" si="4"/>
        <v>0.78200000000000003</v>
      </c>
      <c r="P32">
        <f t="shared" si="5"/>
        <v>0.73799999999999999</v>
      </c>
      <c r="Q32">
        <f t="shared" si="6"/>
        <v>0.53500000000000003</v>
      </c>
      <c r="R32">
        <f t="shared" si="7"/>
        <v>0.748</v>
      </c>
      <c r="S32">
        <f t="shared" si="8"/>
        <v>0.47699999999999998</v>
      </c>
      <c r="T32">
        <f t="shared" si="9"/>
        <v>0.80500000000000005</v>
      </c>
      <c r="U32">
        <f t="shared" si="10"/>
        <v>0.54</v>
      </c>
      <c r="V32">
        <f t="shared" si="11"/>
        <v>0.996</v>
      </c>
      <c r="W32">
        <f t="shared" si="12"/>
        <v>0.41499999999999998</v>
      </c>
      <c r="X32">
        <f t="shared" si="13"/>
        <v>0.746</v>
      </c>
      <c r="Y32">
        <f t="shared" si="14"/>
        <v>0.67820000000000003</v>
      </c>
    </row>
    <row r="33" spans="1:25" x14ac:dyDescent="0.35">
      <c r="A33">
        <v>30</v>
      </c>
      <c r="B33">
        <f>'[21]R03_GABM-data'!$G32</f>
        <v>998</v>
      </c>
      <c r="C33">
        <f>'[22]GABM_R03_RossAPI-data'!$G32</f>
        <v>691</v>
      </c>
      <c r="D33">
        <f>'[23]GABM_R03_RandiAPI-data'!$G32</f>
        <v>781</v>
      </c>
      <c r="E33">
        <f>'[24]GABM_R03_NavidAPI-data'!$G32</f>
        <v>534</v>
      </c>
      <c r="F33">
        <f>'[25]GABM_R03_Terry-data'!$G32</f>
        <v>780</v>
      </c>
      <c r="G33">
        <f>'[26]GABM_R03_SarahAPI-data'!$G32</f>
        <v>797</v>
      </c>
      <c r="H33">
        <f>'[27]GABM_R03_savannah-data'!$G32</f>
        <v>546</v>
      </c>
      <c r="I33">
        <f>'[28]GABM_R03_MitchellAPI-data'!$G32</f>
        <v>792</v>
      </c>
      <c r="J33">
        <f>'[29]GABM_R03_SudipaAPI-data'!$G32</f>
        <v>698</v>
      </c>
      <c r="K33">
        <f>'[30]R03_GABM_run2-data'!$G32</f>
        <v>571</v>
      </c>
      <c r="L33">
        <f t="shared" si="3"/>
        <v>718.8</v>
      </c>
      <c r="N33">
        <f t="shared" si="1"/>
        <v>30</v>
      </c>
      <c r="O33">
        <f t="shared" si="4"/>
        <v>0.998</v>
      </c>
      <c r="P33">
        <f t="shared" si="5"/>
        <v>0.69099999999999995</v>
      </c>
      <c r="Q33">
        <f t="shared" si="6"/>
        <v>0.78100000000000003</v>
      </c>
      <c r="R33">
        <f t="shared" si="7"/>
        <v>0.53400000000000003</v>
      </c>
      <c r="S33">
        <f t="shared" si="8"/>
        <v>0.78</v>
      </c>
      <c r="T33">
        <f t="shared" si="9"/>
        <v>0.79700000000000004</v>
      </c>
      <c r="U33">
        <f t="shared" si="10"/>
        <v>0.54600000000000004</v>
      </c>
      <c r="V33">
        <f t="shared" si="11"/>
        <v>0.79200000000000004</v>
      </c>
      <c r="W33">
        <f t="shared" si="12"/>
        <v>0.69799999999999995</v>
      </c>
      <c r="X33">
        <f t="shared" si="13"/>
        <v>0.57099999999999995</v>
      </c>
      <c r="Y33">
        <f t="shared" si="14"/>
        <v>0.71879999999999999</v>
      </c>
    </row>
    <row r="34" spans="1:25" x14ac:dyDescent="0.35">
      <c r="A34">
        <v>31</v>
      </c>
      <c r="B34">
        <f>'[21]R03_GABM-data'!$G33</f>
        <v>800</v>
      </c>
      <c r="C34">
        <f>'[22]GABM_R03_RossAPI-data'!$G33</f>
        <v>661</v>
      </c>
      <c r="D34">
        <f>'[23]GABM_R03_RandiAPI-data'!$G33</f>
        <v>760</v>
      </c>
      <c r="E34">
        <f>'[24]GABM_R03_NavidAPI-data'!$G33</f>
        <v>540</v>
      </c>
      <c r="F34">
        <f>'[25]GABM_R03_Terry-data'!$G33</f>
        <v>679</v>
      </c>
      <c r="G34">
        <f>'[26]GABM_R03_SarahAPI-data'!$G33</f>
        <v>794</v>
      </c>
      <c r="H34">
        <f>'[27]GABM_R03_savannah-data'!$G33</f>
        <v>452</v>
      </c>
      <c r="I34">
        <f>'[28]GABM_R03_MitchellAPI-data'!$G33</f>
        <v>808</v>
      </c>
      <c r="J34">
        <f>'[29]GABM_R03_SudipaAPI-data'!$G33</f>
        <v>353</v>
      </c>
      <c r="K34">
        <f>'[30]R03_GABM_run2-data'!$G33</f>
        <v>554</v>
      </c>
      <c r="L34">
        <f t="shared" si="3"/>
        <v>640.1</v>
      </c>
      <c r="N34">
        <f t="shared" si="1"/>
        <v>31</v>
      </c>
      <c r="O34">
        <f t="shared" si="4"/>
        <v>0.8</v>
      </c>
      <c r="P34">
        <f t="shared" si="5"/>
        <v>0.66100000000000003</v>
      </c>
      <c r="Q34">
        <f t="shared" si="6"/>
        <v>0.76</v>
      </c>
      <c r="R34">
        <f t="shared" si="7"/>
        <v>0.54</v>
      </c>
      <c r="S34">
        <f t="shared" si="8"/>
        <v>0.67900000000000005</v>
      </c>
      <c r="T34">
        <f t="shared" si="9"/>
        <v>0.79400000000000004</v>
      </c>
      <c r="U34">
        <f t="shared" si="10"/>
        <v>0.45200000000000001</v>
      </c>
      <c r="V34">
        <f t="shared" si="11"/>
        <v>0.80800000000000005</v>
      </c>
      <c r="W34">
        <f t="shared" si="12"/>
        <v>0.35299999999999998</v>
      </c>
      <c r="X34">
        <f t="shared" si="13"/>
        <v>0.55400000000000005</v>
      </c>
      <c r="Y34">
        <f t="shared" si="14"/>
        <v>0.6401</v>
      </c>
    </row>
    <row r="35" spans="1:25" x14ac:dyDescent="0.35">
      <c r="A35">
        <v>32</v>
      </c>
      <c r="B35">
        <f>'[21]R03_GABM-data'!$G34</f>
        <v>559</v>
      </c>
      <c r="C35">
        <f>'[22]GABM_R03_RossAPI-data'!$G34</f>
        <v>464</v>
      </c>
      <c r="D35">
        <f>'[23]GABM_R03_RandiAPI-data'!$G34</f>
        <v>534</v>
      </c>
      <c r="E35">
        <f>'[24]GABM_R03_NavidAPI-data'!$G34</f>
        <v>684</v>
      </c>
      <c r="F35">
        <f>'[25]GABM_R03_Terry-data'!$G34</f>
        <v>763</v>
      </c>
      <c r="G35">
        <f>'[26]GABM_R03_SarahAPI-data'!$G34</f>
        <v>794</v>
      </c>
      <c r="H35">
        <f>'[27]GABM_R03_savannah-data'!$G34</f>
        <v>472</v>
      </c>
      <c r="I35">
        <f>'[28]GABM_R03_MitchellAPI-data'!$G34</f>
        <v>995</v>
      </c>
      <c r="J35">
        <f>'[29]GABM_R03_SudipaAPI-data'!$G34</f>
        <v>354</v>
      </c>
      <c r="K35">
        <f>'[30]R03_GABM_run2-data'!$G34</f>
        <v>680</v>
      </c>
      <c r="L35">
        <f t="shared" si="3"/>
        <v>629.9</v>
      </c>
      <c r="N35">
        <f t="shared" si="1"/>
        <v>32</v>
      </c>
      <c r="O35">
        <f t="shared" si="4"/>
        <v>0.55900000000000005</v>
      </c>
      <c r="P35">
        <f t="shared" si="5"/>
        <v>0.46400000000000002</v>
      </c>
      <c r="Q35">
        <f t="shared" si="6"/>
        <v>0.53400000000000003</v>
      </c>
      <c r="R35">
        <f t="shared" si="7"/>
        <v>0.68400000000000005</v>
      </c>
      <c r="S35">
        <f t="shared" si="8"/>
        <v>0.76300000000000001</v>
      </c>
      <c r="T35">
        <f t="shared" si="9"/>
        <v>0.79400000000000004</v>
      </c>
      <c r="U35">
        <f t="shared" si="10"/>
        <v>0.47199999999999998</v>
      </c>
      <c r="V35">
        <f t="shared" si="11"/>
        <v>0.995</v>
      </c>
      <c r="W35">
        <f t="shared" si="12"/>
        <v>0.35399999999999998</v>
      </c>
      <c r="X35">
        <f t="shared" si="13"/>
        <v>0.68</v>
      </c>
      <c r="Y35">
        <f t="shared" si="14"/>
        <v>0.62990000000000002</v>
      </c>
    </row>
    <row r="36" spans="1:25" x14ac:dyDescent="0.35">
      <c r="A36">
        <v>33</v>
      </c>
      <c r="B36">
        <f>'[21]R03_GABM-data'!$G35</f>
        <v>723</v>
      </c>
      <c r="C36">
        <f>'[22]GABM_R03_RossAPI-data'!$G35</f>
        <v>555</v>
      </c>
      <c r="D36">
        <f>'[23]GABM_R03_RandiAPI-data'!$G35</f>
        <v>761</v>
      </c>
      <c r="E36">
        <f>'[24]GABM_R03_NavidAPI-data'!$G35</f>
        <v>427</v>
      </c>
      <c r="F36">
        <f>'[25]GABM_R03_Terry-data'!$G35</f>
        <v>995</v>
      </c>
      <c r="G36">
        <f>'[26]GABM_R03_SarahAPI-data'!$G35</f>
        <v>794</v>
      </c>
      <c r="H36">
        <f>'[27]GABM_R03_savannah-data'!$G35</f>
        <v>430</v>
      </c>
      <c r="I36">
        <f>'[28]GABM_R03_MitchellAPI-data'!$G35</f>
        <v>543</v>
      </c>
      <c r="J36">
        <f>'[29]GABM_R03_SudipaAPI-data'!$G35</f>
        <v>546</v>
      </c>
      <c r="K36">
        <f>'[30]R03_GABM_run2-data'!$G35</f>
        <v>692</v>
      </c>
      <c r="L36">
        <f t="shared" si="3"/>
        <v>646.6</v>
      </c>
      <c r="N36">
        <f t="shared" si="1"/>
        <v>33</v>
      </c>
      <c r="O36">
        <f t="shared" si="4"/>
        <v>0.72299999999999998</v>
      </c>
      <c r="P36">
        <f t="shared" si="5"/>
        <v>0.55500000000000005</v>
      </c>
      <c r="Q36">
        <f t="shared" si="6"/>
        <v>0.76100000000000001</v>
      </c>
      <c r="R36">
        <f t="shared" si="7"/>
        <v>0.42699999999999999</v>
      </c>
      <c r="S36">
        <f t="shared" si="8"/>
        <v>0.995</v>
      </c>
      <c r="T36">
        <f t="shared" si="9"/>
        <v>0.79400000000000004</v>
      </c>
      <c r="U36">
        <f t="shared" si="10"/>
        <v>0.43</v>
      </c>
      <c r="V36">
        <f t="shared" si="11"/>
        <v>0.54300000000000004</v>
      </c>
      <c r="W36">
        <f t="shared" si="12"/>
        <v>0.54600000000000004</v>
      </c>
      <c r="X36">
        <f t="shared" si="13"/>
        <v>0.69199999999999995</v>
      </c>
      <c r="Y36">
        <f t="shared" si="14"/>
        <v>0.64660000000000006</v>
      </c>
    </row>
    <row r="37" spans="1:25" x14ac:dyDescent="0.35">
      <c r="A37">
        <v>34</v>
      </c>
      <c r="B37">
        <f>'[21]R03_GABM-data'!$G36</f>
        <v>746</v>
      </c>
      <c r="C37">
        <f>'[22]GABM_R03_RossAPI-data'!$G36</f>
        <v>725</v>
      </c>
      <c r="D37">
        <f>'[23]GABM_R03_RandiAPI-data'!$G36</f>
        <v>763</v>
      </c>
      <c r="E37">
        <f>'[24]GABM_R03_NavidAPI-data'!$G36</f>
        <v>831</v>
      </c>
      <c r="F37">
        <f>'[25]GABM_R03_Terry-data'!$G36</f>
        <v>792</v>
      </c>
      <c r="G37">
        <f>'[26]GABM_R03_SarahAPI-data'!$G36</f>
        <v>795</v>
      </c>
      <c r="H37">
        <f>'[27]GABM_R03_savannah-data'!$G36</f>
        <v>817</v>
      </c>
      <c r="I37">
        <f>'[28]GABM_R03_MitchellAPI-data'!$G36</f>
        <v>536</v>
      </c>
      <c r="J37">
        <f>'[29]GABM_R03_SudipaAPI-data'!$G36</f>
        <v>722</v>
      </c>
      <c r="K37">
        <f>'[30]R03_GABM_run2-data'!$G36</f>
        <v>760</v>
      </c>
      <c r="L37">
        <f t="shared" si="3"/>
        <v>748.7</v>
      </c>
      <c r="N37">
        <f t="shared" si="1"/>
        <v>34</v>
      </c>
      <c r="O37">
        <f t="shared" si="4"/>
        <v>0.746</v>
      </c>
      <c r="P37">
        <f t="shared" si="5"/>
        <v>0.72499999999999998</v>
      </c>
      <c r="Q37">
        <f t="shared" si="6"/>
        <v>0.76300000000000001</v>
      </c>
      <c r="R37">
        <f t="shared" si="7"/>
        <v>0.83099999999999996</v>
      </c>
      <c r="S37">
        <f t="shared" si="8"/>
        <v>0.79200000000000004</v>
      </c>
      <c r="T37">
        <f t="shared" si="9"/>
        <v>0.79500000000000004</v>
      </c>
      <c r="U37">
        <f t="shared" si="10"/>
        <v>0.81699999999999995</v>
      </c>
      <c r="V37">
        <f t="shared" si="11"/>
        <v>0.53600000000000003</v>
      </c>
      <c r="W37">
        <f t="shared" si="12"/>
        <v>0.72199999999999998</v>
      </c>
      <c r="X37">
        <f t="shared" si="13"/>
        <v>0.76</v>
      </c>
      <c r="Y37">
        <f t="shared" si="14"/>
        <v>0.74870000000000003</v>
      </c>
    </row>
    <row r="38" spans="1:25" x14ac:dyDescent="0.35">
      <c r="A38">
        <v>35</v>
      </c>
      <c r="B38">
        <f>'[21]R03_GABM-data'!$G37</f>
        <v>763</v>
      </c>
      <c r="C38">
        <f>'[22]GABM_R03_RossAPI-data'!$G37</f>
        <v>788</v>
      </c>
      <c r="D38">
        <f>'[23]GABM_R03_RandiAPI-data'!$G37</f>
        <v>771</v>
      </c>
      <c r="E38">
        <f>'[24]GABM_R03_NavidAPI-data'!$G37</f>
        <v>662</v>
      </c>
      <c r="F38">
        <f>'[25]GABM_R03_Terry-data'!$G37</f>
        <v>791</v>
      </c>
      <c r="G38">
        <f>'[26]GABM_R03_SarahAPI-data'!$G37</f>
        <v>798</v>
      </c>
      <c r="H38">
        <f>'[27]GABM_R03_savannah-data'!$G37</f>
        <v>699</v>
      </c>
      <c r="I38">
        <f>'[28]GABM_R03_MitchellAPI-data'!$G37</f>
        <v>725</v>
      </c>
      <c r="J38">
        <f>'[29]GABM_R03_SudipaAPI-data'!$G37</f>
        <v>766</v>
      </c>
      <c r="K38">
        <f>'[30]R03_GABM_run2-data'!$G37</f>
        <v>776</v>
      </c>
      <c r="L38">
        <f t="shared" si="3"/>
        <v>753.9</v>
      </c>
      <c r="N38">
        <f t="shared" si="1"/>
        <v>35</v>
      </c>
      <c r="O38">
        <f t="shared" si="4"/>
        <v>0.76300000000000001</v>
      </c>
      <c r="P38">
        <f t="shared" si="5"/>
        <v>0.78800000000000003</v>
      </c>
      <c r="Q38">
        <f t="shared" si="6"/>
        <v>0.77100000000000002</v>
      </c>
      <c r="R38">
        <f t="shared" si="7"/>
        <v>0.66200000000000003</v>
      </c>
      <c r="S38">
        <f t="shared" si="8"/>
        <v>0.79100000000000004</v>
      </c>
      <c r="T38">
        <f t="shared" si="9"/>
        <v>0.79800000000000004</v>
      </c>
      <c r="U38">
        <f t="shared" si="10"/>
        <v>0.69899999999999995</v>
      </c>
      <c r="V38">
        <f t="shared" si="11"/>
        <v>0.72499999999999998</v>
      </c>
      <c r="W38">
        <f t="shared" si="12"/>
        <v>0.76600000000000001</v>
      </c>
      <c r="X38">
        <f t="shared" si="13"/>
        <v>0.77600000000000002</v>
      </c>
      <c r="Y38">
        <f t="shared" si="14"/>
        <v>0.75390000000000001</v>
      </c>
    </row>
    <row r="39" spans="1:25" x14ac:dyDescent="0.35">
      <c r="A39">
        <v>36</v>
      </c>
      <c r="B39">
        <f>'[21]R03_GABM-data'!$G38</f>
        <v>787</v>
      </c>
      <c r="C39">
        <f>'[22]GABM_R03_RossAPI-data'!$G38</f>
        <v>786</v>
      </c>
      <c r="D39">
        <f>'[23]GABM_R03_RandiAPI-data'!$G38</f>
        <v>993</v>
      </c>
      <c r="E39">
        <f>'[24]GABM_R03_NavidAPI-data'!$G38</f>
        <v>749</v>
      </c>
      <c r="F39">
        <f>'[25]GABM_R03_Terry-data'!$G38</f>
        <v>778</v>
      </c>
      <c r="G39">
        <f>'[26]GABM_R03_SarahAPI-data'!$G38</f>
        <v>814</v>
      </c>
      <c r="H39">
        <f>'[27]GABM_R03_savannah-data'!$G38</f>
        <v>751</v>
      </c>
      <c r="I39">
        <f>'[28]GABM_R03_MitchellAPI-data'!$G38</f>
        <v>475</v>
      </c>
      <c r="J39">
        <f>'[29]GABM_R03_SudipaAPI-data'!$G38</f>
        <v>994</v>
      </c>
      <c r="K39">
        <f>'[30]R03_GABM_run2-data'!$G38</f>
        <v>756</v>
      </c>
      <c r="L39">
        <f t="shared" si="3"/>
        <v>788.3</v>
      </c>
      <c r="N39">
        <f t="shared" si="1"/>
        <v>36</v>
      </c>
      <c r="O39">
        <f t="shared" si="4"/>
        <v>0.78700000000000003</v>
      </c>
      <c r="P39">
        <f t="shared" si="5"/>
        <v>0.78600000000000003</v>
      </c>
      <c r="Q39">
        <f t="shared" si="6"/>
        <v>0.99299999999999999</v>
      </c>
      <c r="R39">
        <f t="shared" si="7"/>
        <v>0.749</v>
      </c>
      <c r="S39">
        <f t="shared" si="8"/>
        <v>0.77800000000000002</v>
      </c>
      <c r="T39">
        <f t="shared" si="9"/>
        <v>0.81399999999999995</v>
      </c>
      <c r="U39">
        <f t="shared" si="10"/>
        <v>0.751</v>
      </c>
      <c r="V39">
        <f t="shared" si="11"/>
        <v>0.47499999999999998</v>
      </c>
      <c r="W39">
        <f t="shared" si="12"/>
        <v>0.99399999999999999</v>
      </c>
      <c r="X39">
        <f t="shared" si="13"/>
        <v>0.75600000000000001</v>
      </c>
      <c r="Y39">
        <f t="shared" si="14"/>
        <v>0.7883</v>
      </c>
    </row>
    <row r="40" spans="1:25" x14ac:dyDescent="0.35">
      <c r="A40">
        <v>37</v>
      </c>
      <c r="B40">
        <f>'[21]R03_GABM-data'!$G39</f>
        <v>788</v>
      </c>
      <c r="C40">
        <f>'[22]GABM_R03_RossAPI-data'!$G39</f>
        <v>805</v>
      </c>
      <c r="D40">
        <f>'[23]GABM_R03_RandiAPI-data'!$G39</f>
        <v>775</v>
      </c>
      <c r="E40">
        <f>'[24]GABM_R03_NavidAPI-data'!$G39</f>
        <v>518</v>
      </c>
      <c r="F40">
        <f>'[25]GABM_R03_Terry-data'!$G39</f>
        <v>864</v>
      </c>
      <c r="G40">
        <f>'[26]GABM_R03_SarahAPI-data'!$G39</f>
        <v>780</v>
      </c>
      <c r="H40">
        <f>'[27]GABM_R03_savannah-data'!$G39</f>
        <v>547</v>
      </c>
      <c r="I40">
        <f>'[28]GABM_R03_MitchellAPI-data'!$G39</f>
        <v>771</v>
      </c>
      <c r="J40">
        <f>'[29]GABM_R03_SudipaAPI-data'!$G39</f>
        <v>996</v>
      </c>
      <c r="K40">
        <f>'[30]R03_GABM_run2-data'!$G39</f>
        <v>760</v>
      </c>
      <c r="L40">
        <f t="shared" si="3"/>
        <v>760.4</v>
      </c>
      <c r="N40">
        <f t="shared" si="1"/>
        <v>37</v>
      </c>
      <c r="O40">
        <f t="shared" si="4"/>
        <v>0.78800000000000003</v>
      </c>
      <c r="P40">
        <f t="shared" si="5"/>
        <v>0.80500000000000005</v>
      </c>
      <c r="Q40">
        <f t="shared" si="6"/>
        <v>0.77500000000000002</v>
      </c>
      <c r="R40">
        <f t="shared" si="7"/>
        <v>0.51800000000000002</v>
      </c>
      <c r="S40">
        <f t="shared" si="8"/>
        <v>0.86399999999999999</v>
      </c>
      <c r="T40">
        <f t="shared" si="9"/>
        <v>0.78</v>
      </c>
      <c r="U40">
        <f t="shared" si="10"/>
        <v>0.54700000000000004</v>
      </c>
      <c r="V40">
        <f t="shared" si="11"/>
        <v>0.77100000000000002</v>
      </c>
      <c r="W40">
        <f t="shared" si="12"/>
        <v>0.996</v>
      </c>
      <c r="X40">
        <f t="shared" si="13"/>
        <v>0.76</v>
      </c>
      <c r="Y40">
        <f t="shared" si="14"/>
        <v>0.76039999999999996</v>
      </c>
    </row>
    <row r="41" spans="1:25" x14ac:dyDescent="0.35">
      <c r="A41">
        <v>38</v>
      </c>
      <c r="B41">
        <f>'[21]R03_GABM-data'!$G40</f>
        <v>780</v>
      </c>
      <c r="C41">
        <f>'[22]GABM_R03_RossAPI-data'!$G40</f>
        <v>777</v>
      </c>
      <c r="D41">
        <f>'[23]GABM_R03_RandiAPI-data'!$G40</f>
        <v>992</v>
      </c>
      <c r="E41">
        <f>'[24]GABM_R03_NavidAPI-data'!$G40</f>
        <v>713</v>
      </c>
      <c r="F41">
        <f>'[25]GABM_R03_Terry-data'!$G40</f>
        <v>783</v>
      </c>
      <c r="G41">
        <f>'[26]GABM_R03_SarahAPI-data'!$G40</f>
        <v>793</v>
      </c>
      <c r="H41">
        <f>'[27]GABM_R03_savannah-data'!$G40</f>
        <v>755</v>
      </c>
      <c r="I41">
        <f>'[28]GABM_R03_MitchellAPI-data'!$G40</f>
        <v>666</v>
      </c>
      <c r="J41">
        <f>'[29]GABM_R03_SudipaAPI-data'!$G40</f>
        <v>997</v>
      </c>
      <c r="K41">
        <f>'[30]R03_GABM_run2-data'!$G40</f>
        <v>766</v>
      </c>
      <c r="L41">
        <f t="shared" si="3"/>
        <v>802.2</v>
      </c>
      <c r="N41">
        <f t="shared" si="1"/>
        <v>38</v>
      </c>
      <c r="O41">
        <f t="shared" si="4"/>
        <v>0.78</v>
      </c>
      <c r="P41">
        <f t="shared" si="5"/>
        <v>0.77700000000000002</v>
      </c>
      <c r="Q41">
        <f t="shared" si="6"/>
        <v>0.99199999999999999</v>
      </c>
      <c r="R41">
        <f t="shared" si="7"/>
        <v>0.71299999999999997</v>
      </c>
      <c r="S41">
        <f t="shared" si="8"/>
        <v>0.78300000000000003</v>
      </c>
      <c r="T41">
        <f t="shared" si="9"/>
        <v>0.79300000000000004</v>
      </c>
      <c r="U41">
        <f t="shared" si="10"/>
        <v>0.755</v>
      </c>
      <c r="V41">
        <f t="shared" si="11"/>
        <v>0.66600000000000004</v>
      </c>
      <c r="W41">
        <f t="shared" si="12"/>
        <v>0.997</v>
      </c>
      <c r="X41">
        <f t="shared" si="13"/>
        <v>0.76600000000000001</v>
      </c>
      <c r="Y41">
        <f t="shared" si="14"/>
        <v>0.80220000000000002</v>
      </c>
    </row>
    <row r="42" spans="1:25" x14ac:dyDescent="0.35">
      <c r="A42">
        <v>39</v>
      </c>
      <c r="B42">
        <f>'[21]R03_GABM-data'!$G41</f>
        <v>777</v>
      </c>
      <c r="C42">
        <f>'[22]GABM_R03_RossAPI-data'!$G41</f>
        <v>749</v>
      </c>
      <c r="D42">
        <f>'[23]GABM_R03_RandiAPI-data'!$G41</f>
        <v>767</v>
      </c>
      <c r="E42">
        <f>'[24]GABM_R03_NavidAPI-data'!$G41</f>
        <v>521</v>
      </c>
      <c r="F42">
        <f>'[25]GABM_R03_Terry-data'!$G41</f>
        <v>681</v>
      </c>
      <c r="G42">
        <f>'[26]GABM_R03_SarahAPI-data'!$G41</f>
        <v>805</v>
      </c>
      <c r="H42">
        <f>'[27]GABM_R03_savannah-data'!$G41</f>
        <v>755</v>
      </c>
      <c r="I42">
        <f>'[28]GABM_R03_MitchellAPI-data'!$G41</f>
        <v>673</v>
      </c>
      <c r="J42">
        <f>'[29]GABM_R03_SudipaAPI-data'!$G41</f>
        <v>995</v>
      </c>
      <c r="K42">
        <f>'[30]R03_GABM_run2-data'!$G41</f>
        <v>683</v>
      </c>
      <c r="L42">
        <f t="shared" si="3"/>
        <v>740.6</v>
      </c>
      <c r="N42">
        <f t="shared" si="1"/>
        <v>39</v>
      </c>
      <c r="O42">
        <f t="shared" si="4"/>
        <v>0.77700000000000002</v>
      </c>
      <c r="P42">
        <f t="shared" si="5"/>
        <v>0.749</v>
      </c>
      <c r="Q42">
        <f t="shared" si="6"/>
        <v>0.76700000000000002</v>
      </c>
      <c r="R42">
        <f t="shared" si="7"/>
        <v>0.52100000000000002</v>
      </c>
      <c r="S42">
        <f t="shared" si="8"/>
        <v>0.68100000000000005</v>
      </c>
      <c r="T42">
        <f t="shared" si="9"/>
        <v>0.80500000000000005</v>
      </c>
      <c r="U42">
        <f t="shared" si="10"/>
        <v>0.755</v>
      </c>
      <c r="V42">
        <f t="shared" si="11"/>
        <v>0.67300000000000004</v>
      </c>
      <c r="W42">
        <f t="shared" si="12"/>
        <v>0.995</v>
      </c>
      <c r="X42">
        <f t="shared" si="13"/>
        <v>0.68300000000000005</v>
      </c>
      <c r="Y42">
        <f t="shared" si="14"/>
        <v>0.74060000000000004</v>
      </c>
    </row>
    <row r="43" spans="1:25" x14ac:dyDescent="0.35">
      <c r="A43">
        <v>40</v>
      </c>
      <c r="B43">
        <f>'[21]R03_GABM-data'!$G42</f>
        <v>787</v>
      </c>
      <c r="C43">
        <f>'[22]GABM_R03_RossAPI-data'!$G42</f>
        <v>804</v>
      </c>
      <c r="D43">
        <f>'[23]GABM_R03_RandiAPI-data'!$G42</f>
        <v>771</v>
      </c>
      <c r="E43">
        <f>'[24]GABM_R03_NavidAPI-data'!$G42</f>
        <v>786</v>
      </c>
      <c r="F43">
        <f>'[25]GABM_R03_Terry-data'!$G42</f>
        <v>761</v>
      </c>
      <c r="G43">
        <f>'[26]GABM_R03_SarahAPI-data'!$G42</f>
        <v>791</v>
      </c>
      <c r="H43">
        <f>'[27]GABM_R03_savannah-data'!$G42</f>
        <v>694</v>
      </c>
      <c r="I43">
        <f>'[28]GABM_R03_MitchellAPI-data'!$G42</f>
        <v>776</v>
      </c>
      <c r="J43">
        <f>'[29]GABM_R03_SudipaAPI-data'!$G42</f>
        <v>788</v>
      </c>
      <c r="K43">
        <f>'[30]R03_GABM_run2-data'!$G42</f>
        <v>548</v>
      </c>
      <c r="L43">
        <f t="shared" si="3"/>
        <v>750.6</v>
      </c>
      <c r="N43">
        <f t="shared" si="1"/>
        <v>40</v>
      </c>
      <c r="O43">
        <f t="shared" si="4"/>
        <v>0.78700000000000003</v>
      </c>
      <c r="P43">
        <f t="shared" si="5"/>
        <v>0.80400000000000005</v>
      </c>
      <c r="Q43">
        <f t="shared" si="6"/>
        <v>0.77100000000000002</v>
      </c>
      <c r="R43">
        <f t="shared" si="7"/>
        <v>0.78600000000000003</v>
      </c>
      <c r="S43">
        <f t="shared" si="8"/>
        <v>0.76100000000000001</v>
      </c>
      <c r="T43">
        <f t="shared" si="9"/>
        <v>0.79100000000000004</v>
      </c>
      <c r="U43">
        <f t="shared" si="10"/>
        <v>0.69399999999999995</v>
      </c>
      <c r="V43">
        <f t="shared" si="11"/>
        <v>0.77600000000000002</v>
      </c>
      <c r="W43">
        <f t="shared" si="12"/>
        <v>0.78800000000000003</v>
      </c>
      <c r="X43">
        <f t="shared" si="13"/>
        <v>0.54800000000000004</v>
      </c>
      <c r="Y43">
        <f t="shared" si="14"/>
        <v>0.75060000000000004</v>
      </c>
    </row>
    <row r="44" spans="1:25" x14ac:dyDescent="0.35">
      <c r="A44">
        <v>41</v>
      </c>
      <c r="B44">
        <f>'[21]R03_GABM-data'!$G43</f>
        <v>804</v>
      </c>
      <c r="C44">
        <f>'[22]GABM_R03_RossAPI-data'!$G43</f>
        <v>786</v>
      </c>
      <c r="D44">
        <f>'[23]GABM_R03_RandiAPI-data'!$G43</f>
        <v>785</v>
      </c>
      <c r="E44">
        <f>'[24]GABM_R03_NavidAPI-data'!$G43</f>
        <v>993</v>
      </c>
      <c r="F44">
        <f>'[25]GABM_R03_Terry-data'!$G43</f>
        <v>697</v>
      </c>
      <c r="G44">
        <f>'[26]GABM_R03_SarahAPI-data'!$G43</f>
        <v>793</v>
      </c>
      <c r="H44">
        <f>'[27]GABM_R03_savannah-data'!$G43</f>
        <v>728</v>
      </c>
      <c r="I44">
        <f>'[28]GABM_R03_MitchellAPI-data'!$G43</f>
        <v>521</v>
      </c>
      <c r="J44">
        <f>'[29]GABM_R03_SudipaAPI-data'!$G43</f>
        <v>780</v>
      </c>
      <c r="K44">
        <f>'[30]R03_GABM_run2-data'!$G43</f>
        <v>720</v>
      </c>
      <c r="L44">
        <f t="shared" si="3"/>
        <v>760.7</v>
      </c>
      <c r="N44">
        <f t="shared" si="1"/>
        <v>41</v>
      </c>
      <c r="O44">
        <f t="shared" si="4"/>
        <v>0.80400000000000005</v>
      </c>
      <c r="P44">
        <f t="shared" si="5"/>
        <v>0.78600000000000003</v>
      </c>
      <c r="Q44">
        <f t="shared" si="6"/>
        <v>0.78500000000000003</v>
      </c>
      <c r="R44">
        <f t="shared" si="7"/>
        <v>0.99299999999999999</v>
      </c>
      <c r="S44">
        <f t="shared" si="8"/>
        <v>0.69699999999999995</v>
      </c>
      <c r="T44">
        <f t="shared" si="9"/>
        <v>0.79300000000000004</v>
      </c>
      <c r="U44">
        <f t="shared" si="10"/>
        <v>0.72799999999999998</v>
      </c>
      <c r="V44">
        <f t="shared" si="11"/>
        <v>0.52100000000000002</v>
      </c>
      <c r="W44">
        <f t="shared" si="12"/>
        <v>0.78</v>
      </c>
      <c r="X44">
        <f t="shared" si="13"/>
        <v>0.72</v>
      </c>
      <c r="Y44">
        <f t="shared" si="14"/>
        <v>0.76070000000000004</v>
      </c>
    </row>
    <row r="45" spans="1:25" x14ac:dyDescent="0.35">
      <c r="A45">
        <v>42</v>
      </c>
      <c r="B45">
        <f>'[21]R03_GABM-data'!$G44</f>
        <v>763</v>
      </c>
      <c r="C45">
        <f>'[22]GABM_R03_RossAPI-data'!$G44</f>
        <v>738</v>
      </c>
      <c r="D45">
        <f>'[23]GABM_R03_RandiAPI-data'!$G44</f>
        <v>783</v>
      </c>
      <c r="E45">
        <f>'[24]GABM_R03_NavidAPI-data'!$G44</f>
        <v>795</v>
      </c>
      <c r="F45">
        <f>'[25]GABM_R03_Terry-data'!$G44</f>
        <v>475</v>
      </c>
      <c r="G45">
        <f>'[26]GABM_R03_SarahAPI-data'!$G44</f>
        <v>783</v>
      </c>
      <c r="H45">
        <f>'[27]GABM_R03_savannah-data'!$G44</f>
        <v>692</v>
      </c>
      <c r="I45">
        <f>'[28]GABM_R03_MitchellAPI-data'!$G44</f>
        <v>778</v>
      </c>
      <c r="J45">
        <f>'[29]GABM_R03_SudipaAPI-data'!$G44</f>
        <v>995</v>
      </c>
      <c r="K45">
        <f>'[30]R03_GABM_run2-data'!$G44</f>
        <v>727</v>
      </c>
      <c r="L45">
        <f t="shared" si="3"/>
        <v>752.9</v>
      </c>
      <c r="N45">
        <f t="shared" si="1"/>
        <v>42</v>
      </c>
      <c r="O45">
        <f t="shared" si="4"/>
        <v>0.76300000000000001</v>
      </c>
      <c r="P45">
        <f t="shared" si="5"/>
        <v>0.73799999999999999</v>
      </c>
      <c r="Q45">
        <f t="shared" si="6"/>
        <v>0.78300000000000003</v>
      </c>
      <c r="R45">
        <f t="shared" si="7"/>
        <v>0.79500000000000004</v>
      </c>
      <c r="S45">
        <f t="shared" si="8"/>
        <v>0.47499999999999998</v>
      </c>
      <c r="T45">
        <f t="shared" si="9"/>
        <v>0.78300000000000003</v>
      </c>
      <c r="U45">
        <f t="shared" si="10"/>
        <v>0.69199999999999995</v>
      </c>
      <c r="V45">
        <f t="shared" si="11"/>
        <v>0.77800000000000002</v>
      </c>
      <c r="W45">
        <f t="shared" si="12"/>
        <v>0.995</v>
      </c>
      <c r="X45">
        <f t="shared" si="13"/>
        <v>0.72699999999999998</v>
      </c>
      <c r="Y45">
        <f t="shared" si="14"/>
        <v>0.75290000000000001</v>
      </c>
    </row>
    <row r="46" spans="1:25" x14ac:dyDescent="0.35">
      <c r="A46">
        <v>43</v>
      </c>
      <c r="B46">
        <f>'[21]R03_GABM-data'!$G45</f>
        <v>767</v>
      </c>
      <c r="C46">
        <f>'[22]GABM_R03_RossAPI-data'!$G45</f>
        <v>706</v>
      </c>
      <c r="D46">
        <f>'[23]GABM_R03_RandiAPI-data'!$G45</f>
        <v>769</v>
      </c>
      <c r="E46">
        <f>'[24]GABM_R03_NavidAPI-data'!$G45</f>
        <v>996</v>
      </c>
      <c r="F46">
        <f>'[25]GABM_R03_Terry-data'!$G45</f>
        <v>767</v>
      </c>
      <c r="G46">
        <f>'[26]GABM_R03_SarahAPI-data'!$G45</f>
        <v>796</v>
      </c>
      <c r="H46">
        <f>'[27]GABM_R03_savannah-data'!$G45</f>
        <v>739</v>
      </c>
      <c r="I46">
        <f>'[28]GABM_R03_MitchellAPI-data'!$G45</f>
        <v>771</v>
      </c>
      <c r="J46">
        <f>'[29]GABM_R03_SudipaAPI-data'!$G45</f>
        <v>998</v>
      </c>
      <c r="K46">
        <f>'[30]R03_GABM_run2-data'!$G45</f>
        <v>727</v>
      </c>
      <c r="L46">
        <f t="shared" si="3"/>
        <v>803.6</v>
      </c>
      <c r="N46">
        <f t="shared" si="1"/>
        <v>43</v>
      </c>
      <c r="O46">
        <f t="shared" si="4"/>
        <v>0.76700000000000002</v>
      </c>
      <c r="P46">
        <f t="shared" si="5"/>
        <v>0.70599999999999996</v>
      </c>
      <c r="Q46">
        <f t="shared" si="6"/>
        <v>0.76900000000000002</v>
      </c>
      <c r="R46">
        <f t="shared" si="7"/>
        <v>0.996</v>
      </c>
      <c r="S46">
        <f t="shared" si="8"/>
        <v>0.76700000000000002</v>
      </c>
      <c r="T46">
        <f t="shared" si="9"/>
        <v>0.79600000000000004</v>
      </c>
      <c r="U46">
        <f t="shared" si="10"/>
        <v>0.73899999999999999</v>
      </c>
      <c r="V46">
        <f t="shared" si="11"/>
        <v>0.77100000000000002</v>
      </c>
      <c r="W46">
        <f t="shared" si="12"/>
        <v>0.998</v>
      </c>
      <c r="X46">
        <f t="shared" si="13"/>
        <v>0.72699999999999998</v>
      </c>
      <c r="Y46">
        <f t="shared" si="14"/>
        <v>0.80359999999999998</v>
      </c>
    </row>
    <row r="47" spans="1:25" x14ac:dyDescent="0.35">
      <c r="A47">
        <v>44</v>
      </c>
      <c r="B47">
        <f>'[21]R03_GABM-data'!$G46</f>
        <v>778</v>
      </c>
      <c r="C47">
        <f>'[22]GABM_R03_RossAPI-data'!$G46</f>
        <v>693</v>
      </c>
      <c r="D47">
        <f>'[23]GABM_R03_RandiAPI-data'!$G46</f>
        <v>776</v>
      </c>
      <c r="E47">
        <f>'[24]GABM_R03_NavidAPI-data'!$G46</f>
        <v>785</v>
      </c>
      <c r="F47">
        <f>'[25]GABM_R03_Terry-data'!$G46</f>
        <v>578</v>
      </c>
      <c r="G47">
        <f>'[26]GABM_R03_SarahAPI-data'!$G46</f>
        <v>793</v>
      </c>
      <c r="H47">
        <f>'[27]GABM_R03_savannah-data'!$G46</f>
        <v>544</v>
      </c>
      <c r="I47">
        <f>'[28]GABM_R03_MitchellAPI-data'!$G46</f>
        <v>867</v>
      </c>
      <c r="J47">
        <f>'[29]GABM_R03_SudipaAPI-data'!$G46</f>
        <v>995</v>
      </c>
      <c r="K47">
        <f>'[30]R03_GABM_run2-data'!$G46</f>
        <v>786</v>
      </c>
      <c r="L47">
        <f t="shared" si="3"/>
        <v>759.5</v>
      </c>
      <c r="N47">
        <f t="shared" si="1"/>
        <v>44</v>
      </c>
      <c r="O47">
        <f t="shared" si="4"/>
        <v>0.77800000000000002</v>
      </c>
      <c r="P47">
        <f t="shared" si="5"/>
        <v>0.69299999999999995</v>
      </c>
      <c r="Q47">
        <f t="shared" si="6"/>
        <v>0.77600000000000002</v>
      </c>
      <c r="R47">
        <f t="shared" si="7"/>
        <v>0.78500000000000003</v>
      </c>
      <c r="S47">
        <f t="shared" si="8"/>
        <v>0.57799999999999996</v>
      </c>
      <c r="T47">
        <f t="shared" si="9"/>
        <v>0.79300000000000004</v>
      </c>
      <c r="U47">
        <f t="shared" si="10"/>
        <v>0.54400000000000004</v>
      </c>
      <c r="V47">
        <f t="shared" si="11"/>
        <v>0.86699999999999999</v>
      </c>
      <c r="W47">
        <f t="shared" si="12"/>
        <v>0.995</v>
      </c>
      <c r="X47">
        <f t="shared" si="13"/>
        <v>0.78600000000000003</v>
      </c>
      <c r="Y47">
        <f t="shared" si="14"/>
        <v>0.75949999999999995</v>
      </c>
    </row>
    <row r="48" spans="1:25" x14ac:dyDescent="0.35">
      <c r="A48">
        <v>45</v>
      </c>
      <c r="B48">
        <f>'[21]R03_GABM-data'!$G47</f>
        <v>780</v>
      </c>
      <c r="C48">
        <f>'[22]GABM_R03_RossAPI-data'!$G47</f>
        <v>705</v>
      </c>
      <c r="D48">
        <f>'[23]GABM_R03_RandiAPI-data'!$G47</f>
        <v>777</v>
      </c>
      <c r="E48">
        <f>'[24]GABM_R03_NavidAPI-data'!$G47</f>
        <v>793</v>
      </c>
      <c r="F48">
        <f>'[25]GABM_R03_Terry-data'!$G47</f>
        <v>770</v>
      </c>
      <c r="G48">
        <f>'[26]GABM_R03_SarahAPI-data'!$G47</f>
        <v>782</v>
      </c>
      <c r="H48">
        <f>'[27]GABM_R03_savannah-data'!$G47</f>
        <v>536</v>
      </c>
      <c r="I48">
        <f>'[28]GABM_R03_MitchellAPI-data'!$G47</f>
        <v>757</v>
      </c>
      <c r="J48">
        <f>'[29]GABM_R03_SudipaAPI-data'!$G47</f>
        <v>994</v>
      </c>
      <c r="K48">
        <f>'[30]R03_GABM_run2-data'!$G47</f>
        <v>811</v>
      </c>
      <c r="L48">
        <f t="shared" si="3"/>
        <v>770.5</v>
      </c>
      <c r="N48">
        <f t="shared" si="1"/>
        <v>45</v>
      </c>
      <c r="O48">
        <f t="shared" si="4"/>
        <v>0.78</v>
      </c>
      <c r="P48">
        <f t="shared" si="5"/>
        <v>0.70499999999999996</v>
      </c>
      <c r="Q48">
        <f t="shared" si="6"/>
        <v>0.77700000000000002</v>
      </c>
      <c r="R48">
        <f t="shared" si="7"/>
        <v>0.79300000000000004</v>
      </c>
      <c r="S48">
        <f t="shared" si="8"/>
        <v>0.77</v>
      </c>
      <c r="T48">
        <f t="shared" si="9"/>
        <v>0.78200000000000003</v>
      </c>
      <c r="U48">
        <f t="shared" si="10"/>
        <v>0.53600000000000003</v>
      </c>
      <c r="V48">
        <f t="shared" si="11"/>
        <v>0.75700000000000001</v>
      </c>
      <c r="W48">
        <f t="shared" si="12"/>
        <v>0.99399999999999999</v>
      </c>
      <c r="X48">
        <f t="shared" si="13"/>
        <v>0.81100000000000005</v>
      </c>
      <c r="Y48">
        <f t="shared" si="14"/>
        <v>0.77049999999999996</v>
      </c>
    </row>
    <row r="49" spans="1:25" x14ac:dyDescent="0.35">
      <c r="A49">
        <v>46</v>
      </c>
      <c r="B49">
        <f>'[21]R03_GABM-data'!$G48</f>
        <v>801</v>
      </c>
      <c r="C49">
        <f>'[22]GABM_R03_RossAPI-data'!$G48</f>
        <v>671</v>
      </c>
      <c r="D49">
        <f>'[23]GABM_R03_RandiAPI-data'!$G48</f>
        <v>776</v>
      </c>
      <c r="E49">
        <f>'[24]GABM_R03_NavidAPI-data'!$G48</f>
        <v>763</v>
      </c>
      <c r="F49">
        <f>'[25]GABM_R03_Terry-data'!$G48</f>
        <v>774</v>
      </c>
      <c r="G49">
        <f>'[26]GABM_R03_SarahAPI-data'!$G48</f>
        <v>790</v>
      </c>
      <c r="H49">
        <f>'[27]GABM_R03_savannah-data'!$G48</f>
        <v>742</v>
      </c>
      <c r="I49">
        <f>'[28]GABM_R03_MitchellAPI-data'!$G48</f>
        <v>713</v>
      </c>
      <c r="J49">
        <f>'[29]GABM_R03_SudipaAPI-data'!$G48</f>
        <v>808</v>
      </c>
      <c r="K49">
        <f>'[30]R03_GABM_run2-data'!$G48</f>
        <v>793</v>
      </c>
      <c r="L49">
        <f t="shared" si="3"/>
        <v>763.1</v>
      </c>
      <c r="N49">
        <f t="shared" si="1"/>
        <v>46</v>
      </c>
      <c r="O49">
        <f t="shared" si="4"/>
        <v>0.80100000000000005</v>
      </c>
      <c r="P49">
        <f t="shared" si="5"/>
        <v>0.67100000000000004</v>
      </c>
      <c r="Q49">
        <f t="shared" si="6"/>
        <v>0.77600000000000002</v>
      </c>
      <c r="R49">
        <f t="shared" si="7"/>
        <v>0.76300000000000001</v>
      </c>
      <c r="S49">
        <f t="shared" si="8"/>
        <v>0.77400000000000002</v>
      </c>
      <c r="T49">
        <f t="shared" si="9"/>
        <v>0.79</v>
      </c>
      <c r="U49">
        <f t="shared" si="10"/>
        <v>0.74199999999999999</v>
      </c>
      <c r="V49">
        <f t="shared" si="11"/>
        <v>0.71299999999999997</v>
      </c>
      <c r="W49">
        <f t="shared" si="12"/>
        <v>0.80800000000000005</v>
      </c>
      <c r="X49">
        <f t="shared" si="13"/>
        <v>0.79300000000000004</v>
      </c>
      <c r="Y49">
        <f t="shared" si="14"/>
        <v>0.7631</v>
      </c>
    </row>
    <row r="50" spans="1:25" x14ac:dyDescent="0.35">
      <c r="A50">
        <v>47</v>
      </c>
      <c r="B50">
        <f>'[21]R03_GABM-data'!$G49</f>
        <v>998</v>
      </c>
      <c r="C50">
        <f>'[22]GABM_R03_RossAPI-data'!$G49</f>
        <v>697</v>
      </c>
      <c r="D50">
        <f>'[23]GABM_R03_RandiAPI-data'!$G49</f>
        <v>990</v>
      </c>
      <c r="E50">
        <f>'[24]GABM_R03_NavidAPI-data'!$G49</f>
        <v>544</v>
      </c>
      <c r="F50">
        <f>'[25]GABM_R03_Terry-data'!$G49</f>
        <v>780</v>
      </c>
      <c r="G50">
        <f>'[26]GABM_R03_SarahAPI-data'!$G49</f>
        <v>810</v>
      </c>
      <c r="H50">
        <f>'[27]GABM_R03_savannah-data'!$G49</f>
        <v>733</v>
      </c>
      <c r="I50">
        <f>'[28]GABM_R03_MitchellAPI-data'!$G49</f>
        <v>683</v>
      </c>
      <c r="J50">
        <f>'[29]GABM_R03_SudipaAPI-data'!$G49</f>
        <v>770</v>
      </c>
      <c r="K50">
        <f>'[30]R03_GABM_run2-data'!$G49</f>
        <v>783</v>
      </c>
      <c r="L50">
        <f t="shared" si="3"/>
        <v>778.8</v>
      </c>
      <c r="N50">
        <f t="shared" si="1"/>
        <v>47</v>
      </c>
      <c r="O50">
        <f t="shared" si="4"/>
        <v>0.998</v>
      </c>
      <c r="P50">
        <f t="shared" si="5"/>
        <v>0.69699999999999995</v>
      </c>
      <c r="Q50">
        <f t="shared" si="6"/>
        <v>0.99</v>
      </c>
      <c r="R50">
        <f t="shared" si="7"/>
        <v>0.54400000000000004</v>
      </c>
      <c r="S50">
        <f t="shared" si="8"/>
        <v>0.78</v>
      </c>
      <c r="T50">
        <f t="shared" si="9"/>
        <v>0.81</v>
      </c>
      <c r="U50">
        <f t="shared" si="10"/>
        <v>0.73299999999999998</v>
      </c>
      <c r="V50">
        <f t="shared" si="11"/>
        <v>0.68300000000000005</v>
      </c>
      <c r="W50">
        <f t="shared" si="12"/>
        <v>0.77</v>
      </c>
      <c r="X50">
        <f t="shared" si="13"/>
        <v>0.78300000000000003</v>
      </c>
      <c r="Y50">
        <f t="shared" si="14"/>
        <v>0.77879999999999994</v>
      </c>
    </row>
    <row r="51" spans="1:25" x14ac:dyDescent="0.35">
      <c r="A51">
        <v>48</v>
      </c>
      <c r="B51">
        <f>'[21]R03_GABM-data'!$G50</f>
        <v>999</v>
      </c>
      <c r="C51">
        <f>'[22]GABM_R03_RossAPI-data'!$G50</f>
        <v>695</v>
      </c>
      <c r="D51">
        <f>'[23]GABM_R03_RandiAPI-data'!$G50</f>
        <v>784</v>
      </c>
      <c r="E51">
        <f>'[24]GABM_R03_NavidAPI-data'!$G50</f>
        <v>776</v>
      </c>
      <c r="F51">
        <f>'[25]GABM_R03_Terry-data'!$G50</f>
        <v>777</v>
      </c>
      <c r="G51">
        <f>'[26]GABM_R03_SarahAPI-data'!$G50</f>
        <v>788</v>
      </c>
      <c r="H51">
        <f>'[27]GABM_R03_savannah-data'!$G50</f>
        <v>772</v>
      </c>
      <c r="I51">
        <f>'[28]GABM_R03_MitchellAPI-data'!$G50</f>
        <v>684</v>
      </c>
      <c r="J51">
        <f>'[29]GABM_R03_SudipaAPI-data'!$G50</f>
        <v>691</v>
      </c>
      <c r="K51">
        <f>'[30]R03_GABM_run2-data'!$G50</f>
        <v>792</v>
      </c>
      <c r="L51">
        <f t="shared" si="3"/>
        <v>775.8</v>
      </c>
      <c r="N51">
        <f t="shared" si="1"/>
        <v>48</v>
      </c>
      <c r="O51">
        <f t="shared" si="4"/>
        <v>0.999</v>
      </c>
      <c r="P51">
        <f t="shared" si="5"/>
        <v>0.69499999999999995</v>
      </c>
      <c r="Q51">
        <f t="shared" si="6"/>
        <v>0.78400000000000003</v>
      </c>
      <c r="R51">
        <f t="shared" si="7"/>
        <v>0.77600000000000002</v>
      </c>
      <c r="S51">
        <f t="shared" si="8"/>
        <v>0.77700000000000002</v>
      </c>
      <c r="T51">
        <f t="shared" si="9"/>
        <v>0.78800000000000003</v>
      </c>
      <c r="U51">
        <f t="shared" si="10"/>
        <v>0.77200000000000002</v>
      </c>
      <c r="V51">
        <f t="shared" si="11"/>
        <v>0.68400000000000005</v>
      </c>
      <c r="W51">
        <f t="shared" si="12"/>
        <v>0.69099999999999995</v>
      </c>
      <c r="X51">
        <f t="shared" si="13"/>
        <v>0.79200000000000004</v>
      </c>
      <c r="Y51">
        <f t="shared" si="14"/>
        <v>0.77579999999999993</v>
      </c>
    </row>
    <row r="52" spans="1:25" x14ac:dyDescent="0.35">
      <c r="A52">
        <v>49</v>
      </c>
      <c r="B52">
        <f>'[21]R03_GABM-data'!$G51</f>
        <v>999</v>
      </c>
      <c r="C52">
        <f>'[22]GABM_R03_RossAPI-data'!$G51</f>
        <v>738</v>
      </c>
      <c r="D52">
        <f>'[23]GABM_R03_RandiAPI-data'!$G51</f>
        <v>993</v>
      </c>
      <c r="E52">
        <f>'[24]GABM_R03_NavidAPI-data'!$G51</f>
        <v>721</v>
      </c>
      <c r="F52">
        <f>'[25]GABM_R03_Terry-data'!$G51</f>
        <v>795</v>
      </c>
      <c r="G52">
        <f>'[26]GABM_R03_SarahAPI-data'!$G51</f>
        <v>794</v>
      </c>
      <c r="H52">
        <f>'[27]GABM_R03_savannah-data'!$G51</f>
        <v>807</v>
      </c>
      <c r="I52">
        <f>'[28]GABM_R03_MitchellAPI-data'!$G51</f>
        <v>678</v>
      </c>
      <c r="J52">
        <f>'[29]GABM_R03_SudipaAPI-data'!$G51</f>
        <v>445</v>
      </c>
      <c r="K52">
        <f>'[30]R03_GABM_run2-data'!$G51</f>
        <v>797</v>
      </c>
      <c r="L52">
        <f t="shared" si="3"/>
        <v>776.7</v>
      </c>
      <c r="N52">
        <f t="shared" si="1"/>
        <v>49</v>
      </c>
      <c r="O52">
        <f t="shared" si="4"/>
        <v>0.999</v>
      </c>
      <c r="P52">
        <f t="shared" si="5"/>
        <v>0.73799999999999999</v>
      </c>
      <c r="Q52">
        <f t="shared" si="6"/>
        <v>0.99299999999999999</v>
      </c>
      <c r="R52">
        <f t="shared" si="7"/>
        <v>0.72099999999999997</v>
      </c>
      <c r="S52">
        <f t="shared" si="8"/>
        <v>0.79500000000000004</v>
      </c>
      <c r="T52">
        <f t="shared" si="9"/>
        <v>0.79400000000000004</v>
      </c>
      <c r="U52">
        <f t="shared" si="10"/>
        <v>0.80700000000000005</v>
      </c>
      <c r="V52">
        <f t="shared" si="11"/>
        <v>0.67800000000000005</v>
      </c>
      <c r="W52">
        <f t="shared" si="12"/>
        <v>0.44500000000000001</v>
      </c>
      <c r="X52">
        <f t="shared" si="13"/>
        <v>0.79700000000000004</v>
      </c>
      <c r="Y52">
        <f t="shared" si="14"/>
        <v>0.77670000000000006</v>
      </c>
    </row>
    <row r="53" spans="1:25" x14ac:dyDescent="0.35">
      <c r="A53">
        <v>50</v>
      </c>
      <c r="B53">
        <f>'[21]R03_GABM-data'!$G52</f>
        <v>805</v>
      </c>
      <c r="C53">
        <f>'[22]GABM_R03_RossAPI-data'!$G52</f>
        <v>710</v>
      </c>
      <c r="D53">
        <f>'[23]GABM_R03_RandiAPI-data'!$G52</f>
        <v>993</v>
      </c>
      <c r="E53">
        <f>'[24]GABM_R03_NavidAPI-data'!$G52</f>
        <v>784</v>
      </c>
      <c r="F53">
        <f>'[25]GABM_R03_Terry-data'!$G52</f>
        <v>773</v>
      </c>
      <c r="G53">
        <f>'[26]GABM_R03_SarahAPI-data'!$G52</f>
        <v>792</v>
      </c>
      <c r="H53">
        <f>'[27]GABM_R03_savannah-data'!$G52</f>
        <v>765</v>
      </c>
      <c r="I53">
        <f>'[28]GABM_R03_MitchellAPI-data'!$G52</f>
        <v>697</v>
      </c>
      <c r="J53">
        <f>'[29]GABM_R03_SudipaAPI-data'!$G52</f>
        <v>440</v>
      </c>
      <c r="K53">
        <f>'[30]R03_GABM_run2-data'!$G52</f>
        <v>800</v>
      </c>
      <c r="L53">
        <f t="shared" si="3"/>
        <v>755.9</v>
      </c>
      <c r="N53">
        <f t="shared" si="1"/>
        <v>50</v>
      </c>
      <c r="O53">
        <f t="shared" si="4"/>
        <v>0.80500000000000005</v>
      </c>
      <c r="P53">
        <f t="shared" si="5"/>
        <v>0.71</v>
      </c>
      <c r="Q53">
        <f t="shared" si="6"/>
        <v>0.99299999999999999</v>
      </c>
      <c r="R53">
        <f t="shared" si="7"/>
        <v>0.78400000000000003</v>
      </c>
      <c r="S53">
        <f t="shared" si="8"/>
        <v>0.77300000000000002</v>
      </c>
      <c r="T53">
        <f t="shared" si="9"/>
        <v>0.79200000000000004</v>
      </c>
      <c r="U53">
        <f t="shared" si="10"/>
        <v>0.76500000000000001</v>
      </c>
      <c r="V53">
        <f t="shared" si="11"/>
        <v>0.69699999999999995</v>
      </c>
      <c r="W53">
        <f t="shared" si="12"/>
        <v>0.44</v>
      </c>
      <c r="X53">
        <f t="shared" si="13"/>
        <v>0.8</v>
      </c>
      <c r="Y53">
        <f t="shared" si="14"/>
        <v>0.75590000000000002</v>
      </c>
    </row>
    <row r="54" spans="1:25" x14ac:dyDescent="0.35">
      <c r="A54">
        <v>51</v>
      </c>
      <c r="B54">
        <f>'[21]R03_GABM-data'!$G53</f>
        <v>771</v>
      </c>
      <c r="C54">
        <f>'[22]GABM_R03_RossAPI-data'!$G53</f>
        <v>576</v>
      </c>
      <c r="D54">
        <f>'[23]GABM_R03_RandiAPI-data'!$G53</f>
        <v>793</v>
      </c>
      <c r="E54">
        <f>'[24]GABM_R03_NavidAPI-data'!$G53</f>
        <v>781</v>
      </c>
      <c r="F54">
        <f>'[25]GABM_R03_Terry-data'!$G53</f>
        <v>995</v>
      </c>
      <c r="G54">
        <f>'[26]GABM_R03_SarahAPI-data'!$G53</f>
        <v>802</v>
      </c>
      <c r="H54">
        <f>'[27]GABM_R03_savannah-data'!$G53</f>
        <v>744</v>
      </c>
      <c r="I54">
        <f>'[28]GABM_R03_MitchellAPI-data'!$G53</f>
        <v>852</v>
      </c>
      <c r="J54">
        <f>'[29]GABM_R03_SudipaAPI-data'!$G53</f>
        <v>432</v>
      </c>
      <c r="K54">
        <f>'[30]R03_GABM_run2-data'!$G53</f>
        <v>792</v>
      </c>
      <c r="L54">
        <f t="shared" si="3"/>
        <v>753.8</v>
      </c>
      <c r="N54">
        <f t="shared" si="1"/>
        <v>51</v>
      </c>
      <c r="O54">
        <f t="shared" si="4"/>
        <v>0.77100000000000002</v>
      </c>
      <c r="P54">
        <f t="shared" si="5"/>
        <v>0.57599999999999996</v>
      </c>
      <c r="Q54">
        <f t="shared" si="6"/>
        <v>0.79300000000000004</v>
      </c>
      <c r="R54">
        <f t="shared" si="7"/>
        <v>0.78100000000000003</v>
      </c>
      <c r="S54">
        <f t="shared" si="8"/>
        <v>0.995</v>
      </c>
      <c r="T54">
        <f t="shared" si="9"/>
        <v>0.80200000000000005</v>
      </c>
      <c r="U54">
        <f t="shared" si="10"/>
        <v>0.74399999999999999</v>
      </c>
      <c r="V54">
        <f t="shared" si="11"/>
        <v>0.85199999999999998</v>
      </c>
      <c r="W54">
        <f t="shared" si="12"/>
        <v>0.432</v>
      </c>
      <c r="X54">
        <f t="shared" si="13"/>
        <v>0.79200000000000004</v>
      </c>
      <c r="Y54">
        <f t="shared" si="14"/>
        <v>0.75379999999999991</v>
      </c>
    </row>
    <row r="55" spans="1:25" x14ac:dyDescent="0.35">
      <c r="A55">
        <v>52</v>
      </c>
      <c r="B55">
        <f>'[21]R03_GABM-data'!$G54</f>
        <v>720</v>
      </c>
      <c r="C55">
        <f>'[22]GABM_R03_RossAPI-data'!$G54</f>
        <v>693</v>
      </c>
      <c r="D55">
        <f>'[23]GABM_R03_RandiAPI-data'!$G54</f>
        <v>994</v>
      </c>
      <c r="E55">
        <f>'[24]GABM_R03_NavidAPI-data'!$G54</f>
        <v>996</v>
      </c>
      <c r="F55">
        <f>'[25]GABM_R03_Terry-data'!$G54</f>
        <v>996</v>
      </c>
      <c r="G55">
        <f>'[26]GABM_R03_SarahAPI-data'!$G54</f>
        <v>791</v>
      </c>
      <c r="H55">
        <f>'[27]GABM_R03_savannah-data'!$G54</f>
        <v>803</v>
      </c>
      <c r="I55">
        <f>'[28]GABM_R03_MitchellAPI-data'!$G54</f>
        <v>661</v>
      </c>
      <c r="J55">
        <f>'[29]GABM_R03_SudipaAPI-data'!$G54</f>
        <v>565</v>
      </c>
      <c r="K55">
        <f>'[30]R03_GABM_run2-data'!$G54</f>
        <v>998</v>
      </c>
      <c r="L55">
        <f t="shared" si="3"/>
        <v>821.7</v>
      </c>
      <c r="N55">
        <f t="shared" si="1"/>
        <v>52</v>
      </c>
      <c r="O55">
        <f t="shared" si="4"/>
        <v>0.72</v>
      </c>
      <c r="P55">
        <f t="shared" si="5"/>
        <v>0.69299999999999995</v>
      </c>
      <c r="Q55">
        <f t="shared" si="6"/>
        <v>0.99399999999999999</v>
      </c>
      <c r="R55">
        <f t="shared" si="7"/>
        <v>0.996</v>
      </c>
      <c r="S55">
        <f t="shared" si="8"/>
        <v>0.996</v>
      </c>
      <c r="T55">
        <f t="shared" si="9"/>
        <v>0.79100000000000004</v>
      </c>
      <c r="U55">
        <f t="shared" si="10"/>
        <v>0.80300000000000005</v>
      </c>
      <c r="V55">
        <f t="shared" si="11"/>
        <v>0.66100000000000003</v>
      </c>
      <c r="W55">
        <f t="shared" si="12"/>
        <v>0.56499999999999995</v>
      </c>
      <c r="X55">
        <f t="shared" si="13"/>
        <v>0.998</v>
      </c>
      <c r="Y55">
        <f t="shared" si="14"/>
        <v>0.8217000000000001</v>
      </c>
    </row>
    <row r="56" spans="1:25" x14ac:dyDescent="0.35">
      <c r="A56">
        <v>53</v>
      </c>
      <c r="B56">
        <f>'[21]R03_GABM-data'!$G55</f>
        <v>712</v>
      </c>
      <c r="C56">
        <f>'[22]GABM_R03_RossAPI-data'!$G55</f>
        <v>777</v>
      </c>
      <c r="D56">
        <f>'[23]GABM_R03_RandiAPI-data'!$G55</f>
        <v>993</v>
      </c>
      <c r="E56">
        <f>'[24]GABM_R03_NavidAPI-data'!$G55</f>
        <v>796</v>
      </c>
      <c r="F56">
        <f>'[25]GABM_R03_Terry-data'!$G55</f>
        <v>997</v>
      </c>
      <c r="G56">
        <f>'[26]GABM_R03_SarahAPI-data'!$G55</f>
        <v>545</v>
      </c>
      <c r="H56">
        <f>'[27]GABM_R03_savannah-data'!$G55</f>
        <v>747</v>
      </c>
      <c r="I56">
        <f>'[28]GABM_R03_MitchellAPI-data'!$G55</f>
        <v>859</v>
      </c>
      <c r="J56">
        <f>'[29]GABM_R03_SudipaAPI-data'!$G55</f>
        <v>744</v>
      </c>
      <c r="K56">
        <f>'[30]R03_GABM_run2-data'!$G55</f>
        <v>999</v>
      </c>
      <c r="L56">
        <f t="shared" si="3"/>
        <v>816.9</v>
      </c>
      <c r="N56">
        <f t="shared" si="1"/>
        <v>53</v>
      </c>
      <c r="O56">
        <f t="shared" si="4"/>
        <v>0.71199999999999997</v>
      </c>
      <c r="P56">
        <f t="shared" si="5"/>
        <v>0.77700000000000002</v>
      </c>
      <c r="Q56">
        <f t="shared" si="6"/>
        <v>0.99299999999999999</v>
      </c>
      <c r="R56">
        <f t="shared" si="7"/>
        <v>0.79600000000000004</v>
      </c>
      <c r="S56">
        <f t="shared" si="8"/>
        <v>0.997</v>
      </c>
      <c r="T56">
        <f t="shared" si="9"/>
        <v>0.54500000000000004</v>
      </c>
      <c r="U56">
        <f t="shared" si="10"/>
        <v>0.747</v>
      </c>
      <c r="V56">
        <f t="shared" si="11"/>
        <v>0.85899999999999999</v>
      </c>
      <c r="W56">
        <f t="shared" si="12"/>
        <v>0.74399999999999999</v>
      </c>
      <c r="X56">
        <f t="shared" si="13"/>
        <v>0.999</v>
      </c>
      <c r="Y56">
        <f t="shared" si="14"/>
        <v>0.81689999999999996</v>
      </c>
    </row>
    <row r="57" spans="1:25" x14ac:dyDescent="0.35">
      <c r="A57">
        <v>54</v>
      </c>
      <c r="B57">
        <f>'[21]R03_GABM-data'!$G56</f>
        <v>549</v>
      </c>
      <c r="C57">
        <f>'[22]GABM_R03_RossAPI-data'!$G56</f>
        <v>802</v>
      </c>
      <c r="D57">
        <v>1000</v>
      </c>
      <c r="E57">
        <f>'[24]GABM_R03_NavidAPI-data'!$G56</f>
        <v>792</v>
      </c>
      <c r="F57">
        <f>'[25]GABM_R03_Terry-data'!$G56</f>
        <v>996</v>
      </c>
      <c r="G57">
        <f>'[26]GABM_R03_SarahAPI-data'!$G56</f>
        <v>785</v>
      </c>
      <c r="H57">
        <f>'[27]GABM_R03_savannah-data'!$G56</f>
        <v>993</v>
      </c>
      <c r="I57">
        <f>'[28]GABM_R03_MitchellAPI-data'!$G56</f>
        <v>677</v>
      </c>
      <c r="J57">
        <f>'[29]GABM_R03_SudipaAPI-data'!$G56</f>
        <v>734</v>
      </c>
      <c r="K57">
        <f>'[30]R03_GABM_run2-data'!$G56</f>
        <v>998</v>
      </c>
      <c r="L57">
        <f t="shared" ref="L57:L120" si="15">AVERAGE(B57:K57)</f>
        <v>832.6</v>
      </c>
      <c r="N57">
        <f t="shared" si="1"/>
        <v>54</v>
      </c>
      <c r="O57">
        <f t="shared" si="4"/>
        <v>0.54900000000000004</v>
      </c>
      <c r="P57">
        <f t="shared" si="5"/>
        <v>0.80200000000000005</v>
      </c>
      <c r="Q57">
        <f t="shared" si="6"/>
        <v>1</v>
      </c>
      <c r="R57">
        <f t="shared" si="7"/>
        <v>0.79200000000000004</v>
      </c>
      <c r="S57">
        <f t="shared" si="8"/>
        <v>0.996</v>
      </c>
      <c r="T57">
        <f t="shared" si="9"/>
        <v>0.78500000000000003</v>
      </c>
      <c r="U57">
        <f t="shared" si="10"/>
        <v>0.99299999999999999</v>
      </c>
      <c r="V57">
        <f t="shared" si="11"/>
        <v>0.67700000000000005</v>
      </c>
      <c r="W57">
        <f t="shared" si="12"/>
        <v>0.73399999999999999</v>
      </c>
      <c r="X57">
        <f t="shared" si="13"/>
        <v>0.998</v>
      </c>
      <c r="Y57">
        <f t="shared" si="14"/>
        <v>0.83260000000000001</v>
      </c>
    </row>
    <row r="58" spans="1:25" x14ac:dyDescent="0.35">
      <c r="A58">
        <v>55</v>
      </c>
      <c r="B58">
        <f>'[21]R03_GABM-data'!$G57</f>
        <v>718</v>
      </c>
      <c r="C58">
        <f>'[22]GABM_R03_RossAPI-data'!$G57</f>
        <v>793</v>
      </c>
      <c r="D58">
        <v>1000</v>
      </c>
      <c r="E58">
        <f>'[24]GABM_R03_NavidAPI-data'!$G57</f>
        <v>999</v>
      </c>
      <c r="F58">
        <f>'[25]GABM_R03_Terry-data'!$G57</f>
        <v>995</v>
      </c>
      <c r="G58">
        <f>'[26]GABM_R03_SarahAPI-data'!$G57</f>
        <v>552</v>
      </c>
      <c r="H58">
        <f>'[27]GABM_R03_savannah-data'!$G57</f>
        <v>996</v>
      </c>
      <c r="I58">
        <f>'[28]GABM_R03_MitchellAPI-data'!$G57</f>
        <v>462</v>
      </c>
      <c r="J58">
        <f>'[29]GABM_R03_SudipaAPI-data'!$G57</f>
        <v>755</v>
      </c>
      <c r="K58">
        <f>'[30]R03_GABM_run2-data'!$G57</f>
        <v>998</v>
      </c>
      <c r="L58">
        <f t="shared" si="15"/>
        <v>826.8</v>
      </c>
      <c r="N58">
        <f t="shared" si="1"/>
        <v>55</v>
      </c>
      <c r="O58">
        <f t="shared" si="4"/>
        <v>0.71799999999999997</v>
      </c>
      <c r="P58">
        <f t="shared" si="5"/>
        <v>0.79300000000000004</v>
      </c>
      <c r="Q58">
        <f t="shared" si="6"/>
        <v>1</v>
      </c>
      <c r="R58">
        <f t="shared" si="7"/>
        <v>0.999</v>
      </c>
      <c r="S58">
        <f t="shared" si="8"/>
        <v>0.995</v>
      </c>
      <c r="T58">
        <f t="shared" si="9"/>
        <v>0.55200000000000005</v>
      </c>
      <c r="U58">
        <f t="shared" si="10"/>
        <v>0.996</v>
      </c>
      <c r="V58">
        <f t="shared" si="11"/>
        <v>0.46200000000000002</v>
      </c>
      <c r="W58">
        <f t="shared" si="12"/>
        <v>0.755</v>
      </c>
      <c r="X58">
        <f t="shared" si="13"/>
        <v>0.998</v>
      </c>
      <c r="Y58">
        <f t="shared" si="14"/>
        <v>0.82679999999999998</v>
      </c>
    </row>
    <row r="59" spans="1:25" x14ac:dyDescent="0.35">
      <c r="A59">
        <v>56</v>
      </c>
      <c r="B59">
        <f>'[21]R03_GABM-data'!$G58</f>
        <v>546</v>
      </c>
      <c r="C59">
        <f>'[22]GABM_R03_RossAPI-data'!$G58</f>
        <v>808</v>
      </c>
      <c r="D59">
        <v>1000</v>
      </c>
      <c r="E59">
        <f>'[24]GABM_R03_NavidAPI-data'!$G58</f>
        <v>790</v>
      </c>
      <c r="F59">
        <f>'[25]GABM_R03_Terry-data'!$G58</f>
        <v>793</v>
      </c>
      <c r="G59">
        <f>'[26]GABM_R03_SarahAPI-data'!$G58</f>
        <v>541</v>
      </c>
      <c r="H59">
        <f>'[27]GABM_R03_savannah-data'!$G58</f>
        <v>813</v>
      </c>
      <c r="I59">
        <f>'[28]GABM_R03_MitchellAPI-data'!$G58</f>
        <v>843</v>
      </c>
      <c r="J59">
        <f>'[29]GABM_R03_SudipaAPI-data'!$G58</f>
        <v>777</v>
      </c>
      <c r="K59">
        <f>'[30]R03_GABM_run2-data'!$G58</f>
        <v>797</v>
      </c>
      <c r="L59">
        <f t="shared" si="15"/>
        <v>770.8</v>
      </c>
      <c r="N59">
        <f t="shared" si="1"/>
        <v>56</v>
      </c>
      <c r="O59">
        <f t="shared" si="4"/>
        <v>0.54600000000000004</v>
      </c>
      <c r="P59">
        <f t="shared" si="5"/>
        <v>0.80800000000000005</v>
      </c>
      <c r="Q59">
        <f t="shared" si="6"/>
        <v>1</v>
      </c>
      <c r="R59">
        <f t="shared" si="7"/>
        <v>0.79</v>
      </c>
      <c r="S59">
        <f t="shared" si="8"/>
        <v>0.79300000000000004</v>
      </c>
      <c r="T59">
        <f t="shared" si="9"/>
        <v>0.54100000000000004</v>
      </c>
      <c r="U59">
        <f t="shared" si="10"/>
        <v>0.81299999999999994</v>
      </c>
      <c r="V59">
        <f t="shared" si="11"/>
        <v>0.84299999999999997</v>
      </c>
      <c r="W59">
        <f t="shared" si="12"/>
        <v>0.77700000000000002</v>
      </c>
      <c r="X59">
        <f t="shared" si="13"/>
        <v>0.79700000000000004</v>
      </c>
      <c r="Y59">
        <f t="shared" si="14"/>
        <v>0.77079999999999993</v>
      </c>
    </row>
    <row r="60" spans="1:25" x14ac:dyDescent="0.35">
      <c r="A60">
        <v>57</v>
      </c>
      <c r="B60">
        <f>'[21]R03_GABM-data'!$G59</f>
        <v>746</v>
      </c>
      <c r="C60">
        <f>'[22]GABM_R03_RossAPI-data'!$G59</f>
        <v>792</v>
      </c>
      <c r="D60">
        <v>1000</v>
      </c>
      <c r="E60">
        <f>'[24]GABM_R03_NavidAPI-data'!$G59</f>
        <v>795</v>
      </c>
      <c r="F60">
        <f>'[25]GABM_R03_Terry-data'!$G59</f>
        <v>778</v>
      </c>
      <c r="G60">
        <f>'[26]GABM_R03_SarahAPI-data'!$G59</f>
        <v>802</v>
      </c>
      <c r="H60">
        <f>'[27]GABM_R03_savannah-data'!$G59</f>
        <v>997</v>
      </c>
      <c r="I60">
        <f>'[28]GABM_R03_MitchellAPI-data'!$G59</f>
        <v>360</v>
      </c>
      <c r="J60">
        <f>'[29]GABM_R03_SudipaAPI-data'!$G59</f>
        <v>762</v>
      </c>
      <c r="K60">
        <f>'[30]R03_GABM_run2-data'!$G59</f>
        <v>997</v>
      </c>
      <c r="L60">
        <f t="shared" si="15"/>
        <v>802.9</v>
      </c>
      <c r="N60">
        <f t="shared" si="1"/>
        <v>57</v>
      </c>
      <c r="O60">
        <f t="shared" si="4"/>
        <v>0.746</v>
      </c>
      <c r="P60">
        <f t="shared" si="5"/>
        <v>0.79200000000000004</v>
      </c>
      <c r="Q60">
        <f t="shared" si="6"/>
        <v>1</v>
      </c>
      <c r="R60">
        <f t="shared" si="7"/>
        <v>0.79500000000000004</v>
      </c>
      <c r="S60">
        <f t="shared" si="8"/>
        <v>0.77800000000000002</v>
      </c>
      <c r="T60">
        <f t="shared" si="9"/>
        <v>0.80200000000000005</v>
      </c>
      <c r="U60">
        <f t="shared" si="10"/>
        <v>0.997</v>
      </c>
      <c r="V60">
        <f t="shared" si="11"/>
        <v>0.36</v>
      </c>
      <c r="W60">
        <f t="shared" si="12"/>
        <v>0.76200000000000001</v>
      </c>
      <c r="X60">
        <f t="shared" si="13"/>
        <v>0.997</v>
      </c>
      <c r="Y60">
        <f t="shared" si="14"/>
        <v>0.80289999999999995</v>
      </c>
    </row>
    <row r="61" spans="1:25" x14ac:dyDescent="0.35">
      <c r="A61">
        <v>58</v>
      </c>
      <c r="B61">
        <f>'[21]R03_GABM-data'!$G60</f>
        <v>790</v>
      </c>
      <c r="C61">
        <f>'[22]GABM_R03_RossAPI-data'!$G60</f>
        <v>780</v>
      </c>
      <c r="D61">
        <v>1000</v>
      </c>
      <c r="E61">
        <f>'[24]GABM_R03_NavidAPI-data'!$G60</f>
        <v>784</v>
      </c>
      <c r="F61">
        <f>'[25]GABM_R03_Terry-data'!$G60</f>
        <v>778</v>
      </c>
      <c r="G61">
        <f>'[26]GABM_R03_SarahAPI-data'!$G60</f>
        <v>798</v>
      </c>
      <c r="H61">
        <f>'[27]GABM_R03_savannah-data'!$G60</f>
        <v>997</v>
      </c>
      <c r="I61">
        <f>'[28]GABM_R03_MitchellAPI-data'!$G60</f>
        <v>680</v>
      </c>
      <c r="J61">
        <f>'[29]GABM_R03_SudipaAPI-data'!$G60</f>
        <v>776</v>
      </c>
      <c r="K61">
        <f>'[30]R03_GABM_run2-data'!$G60</f>
        <v>788</v>
      </c>
      <c r="L61">
        <f t="shared" si="15"/>
        <v>817.1</v>
      </c>
      <c r="N61">
        <f t="shared" si="1"/>
        <v>58</v>
      </c>
      <c r="O61">
        <f t="shared" si="4"/>
        <v>0.79</v>
      </c>
      <c r="P61">
        <f t="shared" si="5"/>
        <v>0.78</v>
      </c>
      <c r="Q61">
        <f t="shared" si="6"/>
        <v>1</v>
      </c>
      <c r="R61">
        <f t="shared" si="7"/>
        <v>0.78400000000000003</v>
      </c>
      <c r="S61">
        <f t="shared" si="8"/>
        <v>0.77800000000000002</v>
      </c>
      <c r="T61">
        <f t="shared" si="9"/>
        <v>0.79800000000000004</v>
      </c>
      <c r="U61">
        <f t="shared" si="10"/>
        <v>0.997</v>
      </c>
      <c r="V61">
        <f t="shared" si="11"/>
        <v>0.68</v>
      </c>
      <c r="W61">
        <f t="shared" si="12"/>
        <v>0.77600000000000002</v>
      </c>
      <c r="X61">
        <f t="shared" si="13"/>
        <v>0.78800000000000003</v>
      </c>
      <c r="Y61">
        <f t="shared" si="14"/>
        <v>0.81710000000000005</v>
      </c>
    </row>
    <row r="62" spans="1:25" x14ac:dyDescent="0.35">
      <c r="A62">
        <v>59</v>
      </c>
      <c r="B62">
        <f>'[21]R03_GABM-data'!$G61</f>
        <v>777</v>
      </c>
      <c r="C62">
        <f>'[22]GABM_R03_RossAPI-data'!$G61</f>
        <v>805</v>
      </c>
      <c r="D62">
        <v>1000</v>
      </c>
      <c r="E62">
        <f>'[24]GABM_R03_NavidAPI-data'!$G61</f>
        <v>539</v>
      </c>
      <c r="F62">
        <f>'[25]GABM_R03_Terry-data'!$G61</f>
        <v>532</v>
      </c>
      <c r="G62">
        <f>'[26]GABM_R03_SarahAPI-data'!$G61</f>
        <v>789</v>
      </c>
      <c r="H62">
        <f>'[27]GABM_R03_savannah-data'!$G61</f>
        <v>753</v>
      </c>
      <c r="I62">
        <f>'[28]GABM_R03_MitchellAPI-data'!$G61</f>
        <v>766</v>
      </c>
      <c r="J62">
        <f>'[29]GABM_R03_SudipaAPI-data'!$G61</f>
        <v>779</v>
      </c>
      <c r="K62">
        <f>'[30]R03_GABM_run2-data'!$G61</f>
        <v>760</v>
      </c>
      <c r="L62">
        <f t="shared" si="15"/>
        <v>750</v>
      </c>
      <c r="N62">
        <f t="shared" si="1"/>
        <v>59</v>
      </c>
      <c r="O62">
        <f t="shared" si="4"/>
        <v>0.77700000000000002</v>
      </c>
      <c r="P62">
        <f t="shared" si="5"/>
        <v>0.80500000000000005</v>
      </c>
      <c r="Q62">
        <f t="shared" si="6"/>
        <v>1</v>
      </c>
      <c r="R62">
        <f t="shared" si="7"/>
        <v>0.53900000000000003</v>
      </c>
      <c r="S62">
        <f t="shared" si="8"/>
        <v>0.53200000000000003</v>
      </c>
      <c r="T62">
        <f t="shared" si="9"/>
        <v>0.78900000000000003</v>
      </c>
      <c r="U62">
        <f t="shared" si="10"/>
        <v>0.753</v>
      </c>
      <c r="V62">
        <f t="shared" si="11"/>
        <v>0.76600000000000001</v>
      </c>
      <c r="W62">
        <f t="shared" si="12"/>
        <v>0.77900000000000003</v>
      </c>
      <c r="X62">
        <f t="shared" si="13"/>
        <v>0.76</v>
      </c>
      <c r="Y62">
        <f t="shared" si="14"/>
        <v>0.75</v>
      </c>
    </row>
    <row r="63" spans="1:25" x14ac:dyDescent="0.35">
      <c r="A63">
        <v>60</v>
      </c>
      <c r="B63">
        <f>'[21]R03_GABM-data'!$G62</f>
        <v>995</v>
      </c>
      <c r="C63">
        <f>'[22]GABM_R03_RossAPI-data'!$G62</f>
        <v>574</v>
      </c>
      <c r="D63">
        <v>1000</v>
      </c>
      <c r="E63">
        <f>'[24]GABM_R03_NavidAPI-data'!$G62</f>
        <v>788</v>
      </c>
      <c r="F63">
        <f>'[25]GABM_R03_Terry-data'!$G62</f>
        <v>749</v>
      </c>
      <c r="G63">
        <f>'[26]GABM_R03_SarahAPI-data'!$G62</f>
        <v>800</v>
      </c>
      <c r="H63">
        <f>'[27]GABM_R03_savannah-data'!$G62</f>
        <v>804</v>
      </c>
      <c r="I63">
        <f>'[28]GABM_R03_MitchellAPI-data'!$G62</f>
        <v>760</v>
      </c>
      <c r="J63">
        <f>'[29]GABM_R03_SudipaAPI-data'!$G62</f>
        <v>792</v>
      </c>
      <c r="K63">
        <f>'[30]R03_GABM_run2-data'!$G62</f>
        <v>787</v>
      </c>
      <c r="L63">
        <f t="shared" si="15"/>
        <v>804.9</v>
      </c>
      <c r="N63">
        <f t="shared" si="1"/>
        <v>60</v>
      </c>
      <c r="O63">
        <f t="shared" si="4"/>
        <v>0.995</v>
      </c>
      <c r="P63">
        <f t="shared" si="5"/>
        <v>0.57399999999999995</v>
      </c>
      <c r="Q63">
        <f t="shared" si="6"/>
        <v>1</v>
      </c>
      <c r="R63">
        <f t="shared" si="7"/>
        <v>0.78800000000000003</v>
      </c>
      <c r="S63">
        <f t="shared" si="8"/>
        <v>0.749</v>
      </c>
      <c r="T63">
        <f t="shared" si="9"/>
        <v>0.8</v>
      </c>
      <c r="U63">
        <f t="shared" si="10"/>
        <v>0.80400000000000005</v>
      </c>
      <c r="V63">
        <f t="shared" si="11"/>
        <v>0.76</v>
      </c>
      <c r="W63">
        <f t="shared" si="12"/>
        <v>0.79200000000000004</v>
      </c>
      <c r="X63">
        <f t="shared" si="13"/>
        <v>0.78700000000000003</v>
      </c>
      <c r="Y63">
        <f t="shared" si="14"/>
        <v>0.80489999999999995</v>
      </c>
    </row>
    <row r="64" spans="1:25" x14ac:dyDescent="0.35">
      <c r="A64">
        <v>61</v>
      </c>
      <c r="B64">
        <f>'[21]R03_GABM-data'!$G63</f>
        <v>778</v>
      </c>
      <c r="C64">
        <f>'[22]GABM_R03_RossAPI-data'!$G63</f>
        <v>566</v>
      </c>
      <c r="D64">
        <v>1000</v>
      </c>
      <c r="E64">
        <f>'[24]GABM_R03_NavidAPI-data'!$G63</f>
        <v>528</v>
      </c>
      <c r="F64">
        <f>'[25]GABM_R03_Terry-data'!$G63</f>
        <v>759</v>
      </c>
      <c r="G64">
        <f>'[26]GABM_R03_SarahAPI-data'!$G63</f>
        <v>786</v>
      </c>
      <c r="H64">
        <f>'[27]GABM_R03_savannah-data'!$G63</f>
        <v>749</v>
      </c>
      <c r="I64">
        <f>'[28]GABM_R03_MitchellAPI-data'!$G63</f>
        <v>791</v>
      </c>
      <c r="J64">
        <f>'[29]GABM_R03_SudipaAPI-data'!$G63</f>
        <v>790</v>
      </c>
      <c r="K64">
        <f>'[30]R03_GABM_run2-data'!$G63</f>
        <v>778</v>
      </c>
      <c r="L64">
        <f t="shared" si="15"/>
        <v>752.5</v>
      </c>
      <c r="N64">
        <f t="shared" si="1"/>
        <v>61</v>
      </c>
      <c r="O64">
        <f t="shared" si="4"/>
        <v>0.77800000000000002</v>
      </c>
      <c r="P64">
        <f t="shared" si="5"/>
        <v>0.56599999999999995</v>
      </c>
      <c r="Q64">
        <f t="shared" si="6"/>
        <v>1</v>
      </c>
      <c r="R64">
        <f t="shared" si="7"/>
        <v>0.52800000000000002</v>
      </c>
      <c r="S64">
        <f t="shared" si="8"/>
        <v>0.75900000000000001</v>
      </c>
      <c r="T64">
        <f t="shared" si="9"/>
        <v>0.78600000000000003</v>
      </c>
      <c r="U64">
        <f t="shared" si="10"/>
        <v>0.749</v>
      </c>
      <c r="V64">
        <f t="shared" si="11"/>
        <v>0.79100000000000004</v>
      </c>
      <c r="W64">
        <f t="shared" si="12"/>
        <v>0.79</v>
      </c>
      <c r="X64">
        <f t="shared" si="13"/>
        <v>0.77800000000000002</v>
      </c>
      <c r="Y64">
        <f t="shared" si="14"/>
        <v>0.75249999999999995</v>
      </c>
    </row>
    <row r="65" spans="1:25" x14ac:dyDescent="0.35">
      <c r="A65">
        <v>62</v>
      </c>
      <c r="B65">
        <f>'[21]R03_GABM-data'!$G64</f>
        <v>785</v>
      </c>
      <c r="C65">
        <f>'[22]GABM_R03_RossAPI-data'!$G64</f>
        <v>800</v>
      </c>
      <c r="D65">
        <v>1000</v>
      </c>
      <c r="E65">
        <f>'[24]GABM_R03_NavidAPI-data'!$G64</f>
        <v>681</v>
      </c>
      <c r="F65">
        <f>'[25]GABM_R03_Terry-data'!$G64</f>
        <v>786</v>
      </c>
      <c r="G65">
        <f>'[26]GABM_R03_SarahAPI-data'!$G64</f>
        <v>796</v>
      </c>
      <c r="H65">
        <f>'[27]GABM_R03_savannah-data'!$G64</f>
        <v>774</v>
      </c>
      <c r="I65">
        <f>'[28]GABM_R03_MitchellAPI-data'!$G64</f>
        <v>792</v>
      </c>
      <c r="J65">
        <f>'[29]GABM_R03_SudipaAPI-data'!$G64</f>
        <v>808</v>
      </c>
      <c r="K65">
        <f>'[30]R03_GABM_run2-data'!$G64</f>
        <v>798</v>
      </c>
      <c r="L65">
        <f t="shared" si="15"/>
        <v>802</v>
      </c>
      <c r="N65">
        <f t="shared" si="1"/>
        <v>62</v>
      </c>
      <c r="O65">
        <f t="shared" si="4"/>
        <v>0.78500000000000003</v>
      </c>
      <c r="P65">
        <f t="shared" si="5"/>
        <v>0.8</v>
      </c>
      <c r="Q65">
        <f t="shared" si="6"/>
        <v>1</v>
      </c>
      <c r="R65">
        <f t="shared" si="7"/>
        <v>0.68100000000000005</v>
      </c>
      <c r="S65">
        <f t="shared" si="8"/>
        <v>0.78600000000000003</v>
      </c>
      <c r="T65">
        <f t="shared" si="9"/>
        <v>0.79600000000000004</v>
      </c>
      <c r="U65">
        <f t="shared" si="10"/>
        <v>0.77400000000000002</v>
      </c>
      <c r="V65">
        <f t="shared" si="11"/>
        <v>0.79200000000000004</v>
      </c>
      <c r="W65">
        <f t="shared" si="12"/>
        <v>0.80800000000000005</v>
      </c>
      <c r="X65">
        <f t="shared" si="13"/>
        <v>0.79800000000000004</v>
      </c>
      <c r="Y65">
        <f t="shared" si="14"/>
        <v>0.80200000000000005</v>
      </c>
    </row>
    <row r="66" spans="1:25" x14ac:dyDescent="0.35">
      <c r="A66">
        <v>63</v>
      </c>
      <c r="B66">
        <f>'[21]R03_GABM-data'!$G65</f>
        <v>803</v>
      </c>
      <c r="C66">
        <f>'[22]GABM_R03_RossAPI-data'!$G65</f>
        <v>807</v>
      </c>
      <c r="D66">
        <v>1000</v>
      </c>
      <c r="E66">
        <f>'[24]GABM_R03_NavidAPI-data'!$G65</f>
        <v>519</v>
      </c>
      <c r="F66">
        <f>'[25]GABM_R03_Terry-data'!$G65</f>
        <v>992</v>
      </c>
      <c r="G66">
        <f>'[26]GABM_R03_SarahAPI-data'!$G65</f>
        <v>793</v>
      </c>
      <c r="H66">
        <f>'[27]GABM_R03_savannah-data'!$G65</f>
        <v>769</v>
      </c>
      <c r="I66">
        <f>'[28]GABM_R03_MitchellAPI-data'!$G65</f>
        <v>994</v>
      </c>
      <c r="J66">
        <f>'[29]GABM_R03_SudipaAPI-data'!$G65</f>
        <v>781</v>
      </c>
      <c r="K66">
        <f>'[30]R03_GABM_run2-data'!$G65</f>
        <v>555</v>
      </c>
      <c r="L66">
        <f t="shared" si="15"/>
        <v>801.3</v>
      </c>
      <c r="N66">
        <f t="shared" si="1"/>
        <v>63</v>
      </c>
      <c r="O66">
        <f t="shared" si="4"/>
        <v>0.80300000000000005</v>
      </c>
      <c r="P66">
        <f t="shared" si="5"/>
        <v>0.80700000000000005</v>
      </c>
      <c r="Q66">
        <f t="shared" si="6"/>
        <v>1</v>
      </c>
      <c r="R66">
        <f t="shared" si="7"/>
        <v>0.51900000000000002</v>
      </c>
      <c r="S66">
        <f t="shared" si="8"/>
        <v>0.99199999999999999</v>
      </c>
      <c r="T66">
        <f t="shared" si="9"/>
        <v>0.79300000000000004</v>
      </c>
      <c r="U66">
        <f t="shared" si="10"/>
        <v>0.76900000000000002</v>
      </c>
      <c r="V66">
        <f t="shared" si="11"/>
        <v>0.99399999999999999</v>
      </c>
      <c r="W66">
        <f t="shared" si="12"/>
        <v>0.78100000000000003</v>
      </c>
      <c r="X66">
        <f t="shared" si="13"/>
        <v>0.55500000000000005</v>
      </c>
      <c r="Y66">
        <f t="shared" si="14"/>
        <v>0.8012999999999999</v>
      </c>
    </row>
    <row r="67" spans="1:25" x14ac:dyDescent="0.35">
      <c r="A67">
        <v>64</v>
      </c>
      <c r="B67">
        <f>'[21]R03_GABM-data'!$G66</f>
        <v>716</v>
      </c>
      <c r="C67">
        <f>'[22]GABM_R03_RossAPI-data'!$G66</f>
        <v>994</v>
      </c>
      <c r="D67">
        <v>1000</v>
      </c>
      <c r="E67">
        <f>'[24]GABM_R03_NavidAPI-data'!$G66</f>
        <v>531</v>
      </c>
      <c r="F67">
        <f>'[25]GABM_R03_Terry-data'!$G66</f>
        <v>789</v>
      </c>
      <c r="G67">
        <f>'[26]GABM_R03_SarahAPI-data'!$G66</f>
        <v>787</v>
      </c>
      <c r="H67">
        <f>'[27]GABM_R03_savannah-data'!$G66</f>
        <v>806</v>
      </c>
      <c r="I67">
        <f>'[28]GABM_R03_MitchellAPI-data'!$G66</f>
        <v>998</v>
      </c>
      <c r="J67">
        <f>'[29]GABM_R03_SudipaAPI-data'!$G66</f>
        <v>787</v>
      </c>
      <c r="K67">
        <f>'[30]R03_GABM_run2-data'!$G66</f>
        <v>802</v>
      </c>
      <c r="L67">
        <f t="shared" si="15"/>
        <v>821</v>
      </c>
      <c r="N67">
        <f t="shared" ref="N67:N130" si="16">A67</f>
        <v>64</v>
      </c>
      <c r="O67">
        <f t="shared" si="4"/>
        <v>0.71599999999999997</v>
      </c>
      <c r="P67">
        <f t="shared" si="5"/>
        <v>0.99399999999999999</v>
      </c>
      <c r="Q67">
        <f t="shared" si="6"/>
        <v>1</v>
      </c>
      <c r="R67">
        <f t="shared" si="7"/>
        <v>0.53100000000000003</v>
      </c>
      <c r="S67">
        <f t="shared" si="8"/>
        <v>0.78900000000000003</v>
      </c>
      <c r="T67">
        <f t="shared" si="9"/>
        <v>0.78700000000000003</v>
      </c>
      <c r="U67">
        <f t="shared" si="10"/>
        <v>0.80600000000000005</v>
      </c>
      <c r="V67">
        <f t="shared" si="11"/>
        <v>0.998</v>
      </c>
      <c r="W67">
        <f t="shared" si="12"/>
        <v>0.78700000000000003</v>
      </c>
      <c r="X67">
        <f t="shared" si="13"/>
        <v>0.80200000000000005</v>
      </c>
      <c r="Y67">
        <f t="shared" si="14"/>
        <v>0.82099999999999995</v>
      </c>
    </row>
    <row r="68" spans="1:25" x14ac:dyDescent="0.35">
      <c r="A68">
        <v>65</v>
      </c>
      <c r="B68">
        <f>'[21]R03_GABM-data'!$G67</f>
        <v>767</v>
      </c>
      <c r="C68">
        <f>'[22]GABM_R03_RossAPI-data'!$G67</f>
        <v>998</v>
      </c>
      <c r="D68">
        <v>1000</v>
      </c>
      <c r="E68">
        <f>'[24]GABM_R03_NavidAPI-data'!$G67</f>
        <v>785</v>
      </c>
      <c r="F68">
        <f>'[25]GABM_R03_Terry-data'!$G67</f>
        <v>995</v>
      </c>
      <c r="G68">
        <f>'[26]GABM_R03_SarahAPI-data'!$G67</f>
        <v>802</v>
      </c>
      <c r="H68">
        <f>'[27]GABM_R03_savannah-data'!$G67</f>
        <v>774</v>
      </c>
      <c r="I68">
        <f>'[28]GABM_R03_MitchellAPI-data'!$G67</f>
        <v>998</v>
      </c>
      <c r="J68">
        <f>'[29]GABM_R03_SudipaAPI-data'!$G67</f>
        <v>780</v>
      </c>
      <c r="K68">
        <f>'[30]R03_GABM_run2-data'!$G67</f>
        <v>552</v>
      </c>
      <c r="L68">
        <f t="shared" si="15"/>
        <v>845.1</v>
      </c>
      <c r="N68">
        <f t="shared" si="16"/>
        <v>65</v>
      </c>
      <c r="O68">
        <f t="shared" ref="O68:O131" si="17">B68/1000</f>
        <v>0.76700000000000002</v>
      </c>
      <c r="P68">
        <f t="shared" ref="P68:P131" si="18">C68/1000</f>
        <v>0.998</v>
      </c>
      <c r="Q68">
        <f t="shared" ref="Q68:Q131" si="19">D68/1000</f>
        <v>1</v>
      </c>
      <c r="R68">
        <f t="shared" ref="R68:R131" si="20">E68/1000</f>
        <v>0.78500000000000003</v>
      </c>
      <c r="S68">
        <f t="shared" ref="S68:S131" si="21">F68/1000</f>
        <v>0.995</v>
      </c>
      <c r="T68">
        <f t="shared" ref="T68:T131" si="22">G68/1000</f>
        <v>0.80200000000000005</v>
      </c>
      <c r="U68">
        <f t="shared" ref="U68:U131" si="23">H68/1000</f>
        <v>0.77400000000000002</v>
      </c>
      <c r="V68">
        <f t="shared" ref="V68:V131" si="24">I68/1000</f>
        <v>0.998</v>
      </c>
      <c r="W68">
        <f t="shared" ref="W68:W131" si="25">J68/1000</f>
        <v>0.78</v>
      </c>
      <c r="X68">
        <f t="shared" ref="X68:X131" si="26">K68/1000</f>
        <v>0.55200000000000005</v>
      </c>
      <c r="Y68">
        <f t="shared" ref="Y68:Y131" si="27">L68/1000</f>
        <v>0.84510000000000007</v>
      </c>
    </row>
    <row r="69" spans="1:25" x14ac:dyDescent="0.35">
      <c r="A69">
        <v>66</v>
      </c>
      <c r="B69">
        <f>'[21]R03_GABM-data'!$G68</f>
        <v>786</v>
      </c>
      <c r="C69">
        <f>'[22]GABM_R03_RossAPI-data'!$G68</f>
        <v>998</v>
      </c>
      <c r="D69">
        <v>1000</v>
      </c>
      <c r="E69">
        <f>'[24]GABM_R03_NavidAPI-data'!$G68</f>
        <v>783</v>
      </c>
      <c r="F69">
        <f>'[25]GABM_R03_Terry-data'!$G68</f>
        <v>995</v>
      </c>
      <c r="G69">
        <f>'[26]GABM_R03_SarahAPI-data'!$G68</f>
        <v>804</v>
      </c>
      <c r="H69">
        <f>'[27]GABM_R03_savannah-data'!$G68</f>
        <v>816</v>
      </c>
      <c r="I69">
        <f>'[28]GABM_R03_MitchellAPI-data'!$G68</f>
        <v>999</v>
      </c>
      <c r="J69">
        <f>'[29]GABM_R03_SudipaAPI-data'!$G68</f>
        <v>785</v>
      </c>
      <c r="K69">
        <f>'[30]R03_GABM_run2-data'!$G68</f>
        <v>790</v>
      </c>
      <c r="L69">
        <f t="shared" si="15"/>
        <v>875.6</v>
      </c>
      <c r="N69">
        <f t="shared" si="16"/>
        <v>66</v>
      </c>
      <c r="O69">
        <f t="shared" si="17"/>
        <v>0.78600000000000003</v>
      </c>
      <c r="P69">
        <f t="shared" si="18"/>
        <v>0.998</v>
      </c>
      <c r="Q69">
        <f t="shared" si="19"/>
        <v>1</v>
      </c>
      <c r="R69">
        <f t="shared" si="20"/>
        <v>0.78300000000000003</v>
      </c>
      <c r="S69">
        <f t="shared" si="21"/>
        <v>0.995</v>
      </c>
      <c r="T69">
        <f t="shared" si="22"/>
        <v>0.80400000000000005</v>
      </c>
      <c r="U69">
        <f t="shared" si="23"/>
        <v>0.81599999999999995</v>
      </c>
      <c r="V69">
        <f t="shared" si="24"/>
        <v>0.999</v>
      </c>
      <c r="W69">
        <f t="shared" si="25"/>
        <v>0.78500000000000003</v>
      </c>
      <c r="X69">
        <f t="shared" si="26"/>
        <v>0.79</v>
      </c>
      <c r="Y69">
        <f t="shared" si="27"/>
        <v>0.87560000000000004</v>
      </c>
    </row>
    <row r="70" spans="1:25" x14ac:dyDescent="0.35">
      <c r="A70">
        <v>67</v>
      </c>
      <c r="B70">
        <f>'[21]R03_GABM-data'!$G69</f>
        <v>777</v>
      </c>
      <c r="C70">
        <f>'[22]GABM_R03_RossAPI-data'!$G69</f>
        <v>996</v>
      </c>
      <c r="D70">
        <v>1000</v>
      </c>
      <c r="E70">
        <f>'[24]GABM_R03_NavidAPI-data'!$G69</f>
        <v>997</v>
      </c>
      <c r="F70">
        <f>'[25]GABM_R03_Terry-data'!$G69</f>
        <v>545</v>
      </c>
      <c r="G70">
        <f>'[26]GABM_R03_SarahAPI-data'!$G69</f>
        <v>775</v>
      </c>
      <c r="H70">
        <f>'[27]GABM_R03_savannah-data'!$G69</f>
        <v>800</v>
      </c>
      <c r="I70">
        <f>'[28]GABM_R03_MitchellAPI-data'!$G69</f>
        <v>997</v>
      </c>
      <c r="J70">
        <f>'[29]GABM_R03_SudipaAPI-data'!$G69</f>
        <v>786</v>
      </c>
      <c r="K70">
        <f>'[30]R03_GABM_run2-data'!$G69</f>
        <v>800</v>
      </c>
      <c r="L70">
        <f t="shared" si="15"/>
        <v>847.3</v>
      </c>
      <c r="N70">
        <f t="shared" si="16"/>
        <v>67</v>
      </c>
      <c r="O70">
        <f t="shared" si="17"/>
        <v>0.77700000000000002</v>
      </c>
      <c r="P70">
        <f t="shared" si="18"/>
        <v>0.996</v>
      </c>
      <c r="Q70">
        <f t="shared" si="19"/>
        <v>1</v>
      </c>
      <c r="R70">
        <f t="shared" si="20"/>
        <v>0.997</v>
      </c>
      <c r="S70">
        <f t="shared" si="21"/>
        <v>0.54500000000000004</v>
      </c>
      <c r="T70">
        <f t="shared" si="22"/>
        <v>0.77500000000000002</v>
      </c>
      <c r="U70">
        <f t="shared" si="23"/>
        <v>0.8</v>
      </c>
      <c r="V70">
        <f t="shared" si="24"/>
        <v>0.997</v>
      </c>
      <c r="W70">
        <f t="shared" si="25"/>
        <v>0.78600000000000003</v>
      </c>
      <c r="X70">
        <f t="shared" si="26"/>
        <v>0.8</v>
      </c>
      <c r="Y70">
        <f t="shared" si="27"/>
        <v>0.84729999999999994</v>
      </c>
    </row>
    <row r="71" spans="1:25" x14ac:dyDescent="0.35">
      <c r="A71">
        <v>68</v>
      </c>
      <c r="B71">
        <f>'[21]R03_GABM-data'!$G70</f>
        <v>757</v>
      </c>
      <c r="C71">
        <f>'[22]GABM_R03_RossAPI-data'!$G70</f>
        <v>802</v>
      </c>
      <c r="D71">
        <v>1000</v>
      </c>
      <c r="E71">
        <f>'[24]GABM_R03_NavidAPI-data'!$G70</f>
        <v>798</v>
      </c>
      <c r="F71">
        <f>'[25]GABM_R03_Terry-data'!$G70</f>
        <v>776</v>
      </c>
      <c r="G71">
        <f>'[26]GABM_R03_SarahAPI-data'!$G70</f>
        <v>782</v>
      </c>
      <c r="H71">
        <f>'[27]GABM_R03_savannah-data'!$G70</f>
        <v>782</v>
      </c>
      <c r="I71">
        <f>'[28]GABM_R03_MitchellAPI-data'!$G70</f>
        <v>783</v>
      </c>
      <c r="J71">
        <f>'[29]GABM_R03_SudipaAPI-data'!$G70</f>
        <v>994</v>
      </c>
      <c r="K71">
        <f>'[30]R03_GABM_run2-data'!$G70</f>
        <v>749</v>
      </c>
      <c r="L71">
        <f t="shared" si="15"/>
        <v>822.3</v>
      </c>
      <c r="N71">
        <f t="shared" si="16"/>
        <v>68</v>
      </c>
      <c r="O71">
        <f t="shared" si="17"/>
        <v>0.75700000000000001</v>
      </c>
      <c r="P71">
        <f t="shared" si="18"/>
        <v>0.80200000000000005</v>
      </c>
      <c r="Q71">
        <f t="shared" si="19"/>
        <v>1</v>
      </c>
      <c r="R71">
        <f t="shared" si="20"/>
        <v>0.79800000000000004</v>
      </c>
      <c r="S71">
        <f t="shared" si="21"/>
        <v>0.77600000000000002</v>
      </c>
      <c r="T71">
        <f t="shared" si="22"/>
        <v>0.78200000000000003</v>
      </c>
      <c r="U71">
        <f t="shared" si="23"/>
        <v>0.78200000000000003</v>
      </c>
      <c r="V71">
        <f t="shared" si="24"/>
        <v>0.78300000000000003</v>
      </c>
      <c r="W71">
        <f t="shared" si="25"/>
        <v>0.99399999999999999</v>
      </c>
      <c r="X71">
        <f t="shared" si="26"/>
        <v>0.749</v>
      </c>
      <c r="Y71">
        <f t="shared" si="27"/>
        <v>0.82229999999999992</v>
      </c>
    </row>
    <row r="72" spans="1:25" x14ac:dyDescent="0.35">
      <c r="A72">
        <v>69</v>
      </c>
      <c r="B72">
        <f>'[21]R03_GABM-data'!$G71</f>
        <v>567</v>
      </c>
      <c r="C72">
        <f>'[22]GABM_R03_RossAPI-data'!$G71</f>
        <v>770</v>
      </c>
      <c r="D72">
        <v>1000</v>
      </c>
      <c r="E72">
        <f>'[24]GABM_R03_NavidAPI-data'!$G71</f>
        <v>790</v>
      </c>
      <c r="F72">
        <f>'[25]GABM_R03_Terry-data'!$G71</f>
        <v>776</v>
      </c>
      <c r="G72">
        <f>'[26]GABM_R03_SarahAPI-data'!$G71</f>
        <v>542</v>
      </c>
      <c r="H72">
        <f>'[27]GABM_R03_savannah-data'!$G71</f>
        <v>772</v>
      </c>
      <c r="I72">
        <f>'[28]GABM_R03_MitchellAPI-data'!$G71</f>
        <v>996</v>
      </c>
      <c r="J72">
        <f>'[29]GABM_R03_SudipaAPI-data'!$G71</f>
        <v>997</v>
      </c>
      <c r="K72">
        <f>'[30]R03_GABM_run2-data'!$G71</f>
        <v>781</v>
      </c>
      <c r="L72">
        <f t="shared" si="15"/>
        <v>799.1</v>
      </c>
      <c r="N72">
        <f t="shared" si="16"/>
        <v>69</v>
      </c>
      <c r="O72">
        <f t="shared" si="17"/>
        <v>0.56699999999999995</v>
      </c>
      <c r="P72">
        <f t="shared" si="18"/>
        <v>0.77</v>
      </c>
      <c r="Q72">
        <f t="shared" si="19"/>
        <v>1</v>
      </c>
      <c r="R72">
        <f t="shared" si="20"/>
        <v>0.79</v>
      </c>
      <c r="S72">
        <f t="shared" si="21"/>
        <v>0.77600000000000002</v>
      </c>
      <c r="T72">
        <f t="shared" si="22"/>
        <v>0.54200000000000004</v>
      </c>
      <c r="U72">
        <f t="shared" si="23"/>
        <v>0.77200000000000002</v>
      </c>
      <c r="V72">
        <f t="shared" si="24"/>
        <v>0.996</v>
      </c>
      <c r="W72">
        <f t="shared" si="25"/>
        <v>0.997</v>
      </c>
      <c r="X72">
        <f t="shared" si="26"/>
        <v>0.78100000000000003</v>
      </c>
      <c r="Y72">
        <f t="shared" si="27"/>
        <v>0.79910000000000003</v>
      </c>
    </row>
    <row r="73" spans="1:25" x14ac:dyDescent="0.35">
      <c r="A73">
        <v>70</v>
      </c>
      <c r="B73">
        <f>'[21]R03_GABM-data'!$G72</f>
        <v>789</v>
      </c>
      <c r="C73">
        <f>'[22]GABM_R03_RossAPI-data'!$G72</f>
        <v>775</v>
      </c>
      <c r="D73">
        <v>1000</v>
      </c>
      <c r="E73">
        <f>'[24]GABM_R03_NavidAPI-data'!$G72</f>
        <v>998</v>
      </c>
      <c r="F73">
        <f>'[25]GABM_R03_Terry-data'!$G72</f>
        <v>778</v>
      </c>
      <c r="G73">
        <f>'[26]GABM_R03_SarahAPI-data'!$G72</f>
        <v>803</v>
      </c>
      <c r="H73">
        <f>'[27]GABM_R03_savannah-data'!$G72</f>
        <v>741</v>
      </c>
      <c r="I73">
        <f>'[28]GABM_R03_MitchellAPI-data'!$G72</f>
        <v>794</v>
      </c>
      <c r="J73">
        <f>'[29]GABM_R03_SudipaAPI-data'!$G72</f>
        <v>998</v>
      </c>
      <c r="K73">
        <f>'[30]R03_GABM_run2-data'!$G72</f>
        <v>790</v>
      </c>
      <c r="L73">
        <f t="shared" si="15"/>
        <v>846.6</v>
      </c>
      <c r="N73">
        <f t="shared" si="16"/>
        <v>70</v>
      </c>
      <c r="O73">
        <f t="shared" si="17"/>
        <v>0.78900000000000003</v>
      </c>
      <c r="P73">
        <f t="shared" si="18"/>
        <v>0.77500000000000002</v>
      </c>
      <c r="Q73">
        <f t="shared" si="19"/>
        <v>1</v>
      </c>
      <c r="R73">
        <f t="shared" si="20"/>
        <v>0.998</v>
      </c>
      <c r="S73">
        <f t="shared" si="21"/>
        <v>0.77800000000000002</v>
      </c>
      <c r="T73">
        <f t="shared" si="22"/>
        <v>0.80300000000000005</v>
      </c>
      <c r="U73">
        <f t="shared" si="23"/>
        <v>0.74099999999999999</v>
      </c>
      <c r="V73">
        <f t="shared" si="24"/>
        <v>0.79400000000000004</v>
      </c>
      <c r="W73">
        <f t="shared" si="25"/>
        <v>0.998</v>
      </c>
      <c r="X73">
        <f t="shared" si="26"/>
        <v>0.79</v>
      </c>
      <c r="Y73">
        <f t="shared" si="27"/>
        <v>0.84660000000000002</v>
      </c>
    </row>
    <row r="74" spans="1:25" x14ac:dyDescent="0.35">
      <c r="A74">
        <v>71</v>
      </c>
      <c r="B74">
        <f>'[21]R03_GABM-data'!$G73</f>
        <v>803</v>
      </c>
      <c r="C74">
        <f>'[22]GABM_R03_RossAPI-data'!$G73</f>
        <v>805</v>
      </c>
      <c r="D74">
        <v>1000</v>
      </c>
      <c r="E74">
        <f>'[24]GABM_R03_NavidAPI-data'!$G73</f>
        <v>803</v>
      </c>
      <c r="F74">
        <f>'[25]GABM_R03_Terry-data'!$G73</f>
        <v>779</v>
      </c>
      <c r="G74">
        <f>'[26]GABM_R03_SarahAPI-data'!$G73</f>
        <v>549</v>
      </c>
      <c r="H74">
        <f>'[27]GABM_R03_savannah-data'!$G73</f>
        <v>800</v>
      </c>
      <c r="I74">
        <f>'[28]GABM_R03_MitchellAPI-data'!$G73</f>
        <v>788</v>
      </c>
      <c r="J74">
        <f>'[29]GABM_R03_SudipaAPI-data'!$G73</f>
        <v>998</v>
      </c>
      <c r="K74">
        <f>'[30]R03_GABM_run2-data'!$G73</f>
        <v>771</v>
      </c>
      <c r="L74">
        <f t="shared" si="15"/>
        <v>809.6</v>
      </c>
      <c r="N74">
        <f t="shared" si="16"/>
        <v>71</v>
      </c>
      <c r="O74">
        <f t="shared" si="17"/>
        <v>0.80300000000000005</v>
      </c>
      <c r="P74">
        <f t="shared" si="18"/>
        <v>0.80500000000000005</v>
      </c>
      <c r="Q74">
        <f t="shared" si="19"/>
        <v>1</v>
      </c>
      <c r="R74">
        <f t="shared" si="20"/>
        <v>0.80300000000000005</v>
      </c>
      <c r="S74">
        <f t="shared" si="21"/>
        <v>0.77900000000000003</v>
      </c>
      <c r="T74">
        <f t="shared" si="22"/>
        <v>0.54900000000000004</v>
      </c>
      <c r="U74">
        <f t="shared" si="23"/>
        <v>0.8</v>
      </c>
      <c r="V74">
        <f t="shared" si="24"/>
        <v>0.78800000000000003</v>
      </c>
      <c r="W74">
        <f t="shared" si="25"/>
        <v>0.998</v>
      </c>
      <c r="X74">
        <f t="shared" si="26"/>
        <v>0.77100000000000002</v>
      </c>
      <c r="Y74">
        <f t="shared" si="27"/>
        <v>0.80959999999999999</v>
      </c>
    </row>
    <row r="75" spans="1:25" x14ac:dyDescent="0.35">
      <c r="A75">
        <v>72</v>
      </c>
      <c r="B75">
        <f>'[21]R03_GABM-data'!$G74</f>
        <v>779</v>
      </c>
      <c r="C75">
        <f>'[22]GABM_R03_RossAPI-data'!$G74</f>
        <v>803</v>
      </c>
      <c r="D75">
        <v>1000</v>
      </c>
      <c r="E75">
        <f>'[24]GABM_R03_NavidAPI-data'!$G74</f>
        <v>797</v>
      </c>
      <c r="F75">
        <f>'[25]GABM_R03_Terry-data'!$G74</f>
        <v>792</v>
      </c>
      <c r="G75">
        <f>'[26]GABM_R03_SarahAPI-data'!$G74</f>
        <v>551</v>
      </c>
      <c r="H75">
        <f>'[27]GABM_R03_savannah-data'!$G74</f>
        <v>993</v>
      </c>
      <c r="I75">
        <f>'[28]GABM_R03_MitchellAPI-data'!$G74</f>
        <v>808</v>
      </c>
      <c r="J75">
        <f>'[29]GABM_R03_SudipaAPI-data'!$G74</f>
        <v>774</v>
      </c>
      <c r="K75">
        <f>'[30]R03_GABM_run2-data'!$G74</f>
        <v>994</v>
      </c>
      <c r="L75">
        <f t="shared" si="15"/>
        <v>829.1</v>
      </c>
      <c r="N75">
        <f t="shared" si="16"/>
        <v>72</v>
      </c>
      <c r="O75">
        <f t="shared" si="17"/>
        <v>0.77900000000000003</v>
      </c>
      <c r="P75">
        <f t="shared" si="18"/>
        <v>0.80300000000000005</v>
      </c>
      <c r="Q75">
        <f t="shared" si="19"/>
        <v>1</v>
      </c>
      <c r="R75">
        <f t="shared" si="20"/>
        <v>0.79700000000000004</v>
      </c>
      <c r="S75">
        <f t="shared" si="21"/>
        <v>0.79200000000000004</v>
      </c>
      <c r="T75">
        <f t="shared" si="22"/>
        <v>0.55100000000000005</v>
      </c>
      <c r="U75">
        <f t="shared" si="23"/>
        <v>0.99299999999999999</v>
      </c>
      <c r="V75">
        <f t="shared" si="24"/>
        <v>0.80800000000000005</v>
      </c>
      <c r="W75">
        <f t="shared" si="25"/>
        <v>0.77400000000000002</v>
      </c>
      <c r="X75">
        <f t="shared" si="26"/>
        <v>0.99399999999999999</v>
      </c>
      <c r="Y75">
        <f t="shared" si="27"/>
        <v>0.82910000000000006</v>
      </c>
    </row>
    <row r="76" spans="1:25" x14ac:dyDescent="0.35">
      <c r="A76">
        <v>73</v>
      </c>
      <c r="B76">
        <f>'[21]R03_GABM-data'!$G75</f>
        <v>812</v>
      </c>
      <c r="C76">
        <f>'[22]GABM_R03_RossAPI-data'!$G75</f>
        <v>809</v>
      </c>
      <c r="D76">
        <v>1000</v>
      </c>
      <c r="E76">
        <f>'[24]GABM_R03_NavidAPI-data'!$G75</f>
        <v>807</v>
      </c>
      <c r="F76">
        <f>'[25]GABM_R03_Terry-data'!$G75</f>
        <v>796</v>
      </c>
      <c r="G76">
        <f>'[26]GABM_R03_SarahAPI-data'!$G75</f>
        <v>789</v>
      </c>
      <c r="H76">
        <f>'[27]GABM_R03_savannah-data'!$G75</f>
        <v>741</v>
      </c>
      <c r="I76">
        <f>'[28]GABM_R03_MitchellAPI-data'!$G75</f>
        <v>537</v>
      </c>
      <c r="J76">
        <f>'[29]GABM_R03_SudipaAPI-data'!$G75</f>
        <v>994</v>
      </c>
      <c r="K76">
        <f>'[30]R03_GABM_run2-data'!$G75</f>
        <v>786</v>
      </c>
      <c r="L76">
        <f t="shared" si="15"/>
        <v>807.1</v>
      </c>
      <c r="N76">
        <f t="shared" si="16"/>
        <v>73</v>
      </c>
      <c r="O76">
        <f t="shared" si="17"/>
        <v>0.81200000000000006</v>
      </c>
      <c r="P76">
        <f t="shared" si="18"/>
        <v>0.80900000000000005</v>
      </c>
      <c r="Q76">
        <f t="shared" si="19"/>
        <v>1</v>
      </c>
      <c r="R76">
        <f t="shared" si="20"/>
        <v>0.80700000000000005</v>
      </c>
      <c r="S76">
        <f t="shared" si="21"/>
        <v>0.79600000000000004</v>
      </c>
      <c r="T76">
        <f t="shared" si="22"/>
        <v>0.78900000000000003</v>
      </c>
      <c r="U76">
        <f t="shared" si="23"/>
        <v>0.74099999999999999</v>
      </c>
      <c r="V76">
        <f t="shared" si="24"/>
        <v>0.53700000000000003</v>
      </c>
      <c r="W76">
        <f t="shared" si="25"/>
        <v>0.99399999999999999</v>
      </c>
      <c r="X76">
        <f t="shared" si="26"/>
        <v>0.78600000000000003</v>
      </c>
      <c r="Y76">
        <f t="shared" si="27"/>
        <v>0.80710000000000004</v>
      </c>
    </row>
    <row r="77" spans="1:25" x14ac:dyDescent="0.35">
      <c r="A77">
        <v>74</v>
      </c>
      <c r="B77">
        <f>'[21]R03_GABM-data'!$G76</f>
        <v>995</v>
      </c>
      <c r="C77">
        <f>'[22]GABM_R03_RossAPI-data'!$G76</f>
        <v>996</v>
      </c>
      <c r="D77">
        <v>1000</v>
      </c>
      <c r="E77">
        <f>'[24]GABM_R03_NavidAPI-data'!$G76</f>
        <v>796</v>
      </c>
      <c r="F77">
        <f>'[25]GABM_R03_Terry-data'!$G76</f>
        <v>997</v>
      </c>
      <c r="G77">
        <f>'[26]GABM_R03_SarahAPI-data'!$G76</f>
        <v>997</v>
      </c>
      <c r="H77">
        <f>'[27]GABM_R03_savannah-data'!$G76</f>
        <v>771</v>
      </c>
      <c r="I77">
        <f>'[28]GABM_R03_MitchellAPI-data'!$G76</f>
        <v>782</v>
      </c>
      <c r="J77">
        <f>'[29]GABM_R03_SudipaAPI-data'!$G76</f>
        <v>993</v>
      </c>
      <c r="K77">
        <f>'[30]R03_GABM_run2-data'!$G76</f>
        <v>997</v>
      </c>
      <c r="L77">
        <f t="shared" si="15"/>
        <v>932.4</v>
      </c>
      <c r="N77">
        <f t="shared" si="16"/>
        <v>74</v>
      </c>
      <c r="O77">
        <f t="shared" si="17"/>
        <v>0.995</v>
      </c>
      <c r="P77">
        <f t="shared" si="18"/>
        <v>0.996</v>
      </c>
      <c r="Q77">
        <f t="shared" si="19"/>
        <v>1</v>
      </c>
      <c r="R77">
        <f t="shared" si="20"/>
        <v>0.79600000000000004</v>
      </c>
      <c r="S77">
        <f t="shared" si="21"/>
        <v>0.997</v>
      </c>
      <c r="T77">
        <f t="shared" si="22"/>
        <v>0.997</v>
      </c>
      <c r="U77">
        <f t="shared" si="23"/>
        <v>0.77100000000000002</v>
      </c>
      <c r="V77">
        <f t="shared" si="24"/>
        <v>0.78200000000000003</v>
      </c>
      <c r="W77">
        <f t="shared" si="25"/>
        <v>0.99299999999999999</v>
      </c>
      <c r="X77">
        <f t="shared" si="26"/>
        <v>0.997</v>
      </c>
      <c r="Y77">
        <f t="shared" si="27"/>
        <v>0.93240000000000001</v>
      </c>
    </row>
    <row r="78" spans="1:25" x14ac:dyDescent="0.35">
      <c r="A78">
        <v>75</v>
      </c>
      <c r="B78">
        <f>'[21]R03_GABM-data'!$G77</f>
        <v>999</v>
      </c>
      <c r="C78">
        <f>'[22]GABM_R03_RossAPI-data'!$G77</f>
        <v>996</v>
      </c>
      <c r="D78">
        <v>1000</v>
      </c>
      <c r="E78">
        <f>'[24]GABM_R03_NavidAPI-data'!$G77</f>
        <v>996</v>
      </c>
      <c r="F78">
        <f>'[25]GABM_R03_Terry-data'!$G77</f>
        <v>790</v>
      </c>
      <c r="G78">
        <f>'[26]GABM_R03_SarahAPI-data'!$G77</f>
        <v>810</v>
      </c>
      <c r="H78">
        <f>'[27]GABM_R03_savannah-data'!$G77</f>
        <v>774</v>
      </c>
      <c r="I78">
        <f>'[28]GABM_R03_MitchellAPI-data'!$G77</f>
        <v>995</v>
      </c>
      <c r="J78">
        <f>'[29]GABM_R03_SudipaAPI-data'!$G77</f>
        <v>790</v>
      </c>
      <c r="K78">
        <f>'[30]R03_GABM_run2-data'!$G77</f>
        <v>786</v>
      </c>
      <c r="L78">
        <f t="shared" si="15"/>
        <v>893.6</v>
      </c>
      <c r="N78">
        <f t="shared" si="16"/>
        <v>75</v>
      </c>
      <c r="O78">
        <f t="shared" si="17"/>
        <v>0.999</v>
      </c>
      <c r="P78">
        <f t="shared" si="18"/>
        <v>0.996</v>
      </c>
      <c r="Q78">
        <f t="shared" si="19"/>
        <v>1</v>
      </c>
      <c r="R78">
        <f t="shared" si="20"/>
        <v>0.996</v>
      </c>
      <c r="S78">
        <f t="shared" si="21"/>
        <v>0.79</v>
      </c>
      <c r="T78">
        <f t="shared" si="22"/>
        <v>0.81</v>
      </c>
      <c r="U78">
        <f t="shared" si="23"/>
        <v>0.77400000000000002</v>
      </c>
      <c r="V78">
        <f t="shared" si="24"/>
        <v>0.995</v>
      </c>
      <c r="W78">
        <f t="shared" si="25"/>
        <v>0.79</v>
      </c>
      <c r="X78">
        <f t="shared" si="26"/>
        <v>0.78600000000000003</v>
      </c>
      <c r="Y78">
        <f t="shared" si="27"/>
        <v>0.89360000000000006</v>
      </c>
    </row>
    <row r="79" spans="1:25" x14ac:dyDescent="0.35">
      <c r="A79">
        <v>76</v>
      </c>
      <c r="B79">
        <f>'[21]R03_GABM-data'!$G78</f>
        <v>999</v>
      </c>
      <c r="C79">
        <v>1000</v>
      </c>
      <c r="D79">
        <v>1000</v>
      </c>
      <c r="E79">
        <f>'[24]GABM_R03_NavidAPI-data'!$G78</f>
        <v>998</v>
      </c>
      <c r="F79">
        <f>'[25]GABM_R03_Terry-data'!$G78</f>
        <v>995</v>
      </c>
      <c r="G79">
        <f>'[26]GABM_R03_SarahAPI-data'!$G78</f>
        <v>791</v>
      </c>
      <c r="H79">
        <f>'[27]GABM_R03_savannah-data'!$G78</f>
        <v>697</v>
      </c>
      <c r="I79">
        <f>'[28]GABM_R03_MitchellAPI-data'!$G78</f>
        <v>788</v>
      </c>
      <c r="J79">
        <f>'[29]GABM_R03_SudipaAPI-data'!$G78</f>
        <v>994</v>
      </c>
      <c r="K79">
        <f>'[30]R03_GABM_run2-data'!$G78</f>
        <v>794</v>
      </c>
      <c r="L79">
        <f t="shared" si="15"/>
        <v>905.6</v>
      </c>
      <c r="N79">
        <f t="shared" si="16"/>
        <v>76</v>
      </c>
      <c r="O79">
        <f t="shared" si="17"/>
        <v>0.999</v>
      </c>
      <c r="P79">
        <f t="shared" si="18"/>
        <v>1</v>
      </c>
      <c r="Q79">
        <f t="shared" si="19"/>
        <v>1</v>
      </c>
      <c r="R79">
        <f t="shared" si="20"/>
        <v>0.998</v>
      </c>
      <c r="S79">
        <f t="shared" si="21"/>
        <v>0.995</v>
      </c>
      <c r="T79">
        <f t="shared" si="22"/>
        <v>0.79100000000000004</v>
      </c>
      <c r="U79">
        <f t="shared" si="23"/>
        <v>0.69699999999999995</v>
      </c>
      <c r="V79">
        <f t="shared" si="24"/>
        <v>0.78800000000000003</v>
      </c>
      <c r="W79">
        <f t="shared" si="25"/>
        <v>0.99399999999999999</v>
      </c>
      <c r="X79">
        <f t="shared" si="26"/>
        <v>0.79400000000000004</v>
      </c>
      <c r="Y79">
        <f t="shared" si="27"/>
        <v>0.90560000000000007</v>
      </c>
    </row>
    <row r="80" spans="1:25" x14ac:dyDescent="0.35">
      <c r="A80">
        <v>77</v>
      </c>
      <c r="B80">
        <v>1000</v>
      </c>
      <c r="C80">
        <v>1000</v>
      </c>
      <c r="D80">
        <v>1000</v>
      </c>
      <c r="E80">
        <v>1000</v>
      </c>
      <c r="F80">
        <f>'[25]GABM_R03_Terry-data'!$G79</f>
        <v>787</v>
      </c>
      <c r="G80">
        <f>'[26]GABM_R03_SarahAPI-data'!$G79</f>
        <v>803</v>
      </c>
      <c r="H80">
        <f>'[27]GABM_R03_savannah-data'!$G79</f>
        <v>986</v>
      </c>
      <c r="I80">
        <f>'[28]GABM_R03_MitchellAPI-data'!$G79</f>
        <v>998</v>
      </c>
      <c r="J80">
        <f>'[29]GABM_R03_SudipaAPI-data'!$G79</f>
        <v>994</v>
      </c>
      <c r="K80">
        <f>'[30]R03_GABM_run2-data'!$G79</f>
        <v>788</v>
      </c>
      <c r="L80">
        <f t="shared" si="15"/>
        <v>935.6</v>
      </c>
      <c r="N80">
        <f t="shared" si="16"/>
        <v>77</v>
      </c>
      <c r="O80">
        <f t="shared" si="17"/>
        <v>1</v>
      </c>
      <c r="P80">
        <f t="shared" si="18"/>
        <v>1</v>
      </c>
      <c r="Q80">
        <f t="shared" si="19"/>
        <v>1</v>
      </c>
      <c r="R80">
        <f t="shared" si="20"/>
        <v>1</v>
      </c>
      <c r="S80">
        <f t="shared" si="21"/>
        <v>0.78700000000000003</v>
      </c>
      <c r="T80">
        <f t="shared" si="22"/>
        <v>0.80300000000000005</v>
      </c>
      <c r="U80">
        <f t="shared" si="23"/>
        <v>0.98599999999999999</v>
      </c>
      <c r="V80">
        <f t="shared" si="24"/>
        <v>0.998</v>
      </c>
      <c r="W80">
        <f t="shared" si="25"/>
        <v>0.99399999999999999</v>
      </c>
      <c r="X80">
        <f t="shared" si="26"/>
        <v>0.78800000000000003</v>
      </c>
      <c r="Y80">
        <f t="shared" si="27"/>
        <v>0.93559999999999999</v>
      </c>
    </row>
    <row r="81" spans="1:25" x14ac:dyDescent="0.35">
      <c r="A81">
        <v>78</v>
      </c>
      <c r="B81">
        <v>1000</v>
      </c>
      <c r="C81">
        <v>1000</v>
      </c>
      <c r="D81">
        <v>1000</v>
      </c>
      <c r="E81">
        <v>1000</v>
      </c>
      <c r="F81">
        <f>'[25]GABM_R03_Terry-data'!$G80</f>
        <v>786</v>
      </c>
      <c r="G81">
        <f>'[26]GABM_R03_SarahAPI-data'!$G80</f>
        <v>790</v>
      </c>
      <c r="H81">
        <f>'[27]GABM_R03_savannah-data'!$G80</f>
        <v>769</v>
      </c>
      <c r="I81">
        <f>'[28]GABM_R03_MitchellAPI-data'!$G80</f>
        <v>776</v>
      </c>
      <c r="J81">
        <f>'[29]GABM_R03_SudipaAPI-data'!$G80</f>
        <v>783</v>
      </c>
      <c r="K81">
        <f>'[30]R03_GABM_run2-data'!$G80</f>
        <v>997</v>
      </c>
      <c r="L81">
        <f t="shared" si="15"/>
        <v>890.1</v>
      </c>
      <c r="N81">
        <f t="shared" si="16"/>
        <v>78</v>
      </c>
      <c r="O81">
        <f t="shared" si="17"/>
        <v>1</v>
      </c>
      <c r="P81">
        <f t="shared" si="18"/>
        <v>1</v>
      </c>
      <c r="Q81">
        <f t="shared" si="19"/>
        <v>1</v>
      </c>
      <c r="R81">
        <f t="shared" si="20"/>
        <v>1</v>
      </c>
      <c r="S81">
        <f t="shared" si="21"/>
        <v>0.78600000000000003</v>
      </c>
      <c r="T81">
        <f t="shared" si="22"/>
        <v>0.79</v>
      </c>
      <c r="U81">
        <f t="shared" si="23"/>
        <v>0.76900000000000002</v>
      </c>
      <c r="V81">
        <f t="shared" si="24"/>
        <v>0.77600000000000002</v>
      </c>
      <c r="W81">
        <f t="shared" si="25"/>
        <v>0.78300000000000003</v>
      </c>
      <c r="X81">
        <f t="shared" si="26"/>
        <v>0.997</v>
      </c>
      <c r="Y81">
        <f t="shared" si="27"/>
        <v>0.8901</v>
      </c>
    </row>
    <row r="82" spans="1:25" x14ac:dyDescent="0.35">
      <c r="A82">
        <v>79</v>
      </c>
      <c r="B82">
        <v>1000</v>
      </c>
      <c r="C82">
        <v>1000</v>
      </c>
      <c r="D82">
        <v>1000</v>
      </c>
      <c r="E82">
        <v>1000</v>
      </c>
      <c r="F82">
        <f>'[25]GABM_R03_Terry-data'!$G81</f>
        <v>783</v>
      </c>
      <c r="G82">
        <f>'[26]GABM_R03_SarahAPI-data'!$G81</f>
        <v>796</v>
      </c>
      <c r="H82">
        <f>'[27]GABM_R03_savannah-data'!$G81</f>
        <v>819</v>
      </c>
      <c r="I82">
        <f>'[28]GABM_R03_MitchellAPI-data'!$G81</f>
        <v>709</v>
      </c>
      <c r="J82">
        <f>'[29]GABM_R03_SudipaAPI-data'!$G81</f>
        <v>995</v>
      </c>
      <c r="K82">
        <f>'[30]R03_GABM_run2-data'!$G81</f>
        <v>794</v>
      </c>
      <c r="L82">
        <f t="shared" si="15"/>
        <v>889.6</v>
      </c>
      <c r="N82">
        <f t="shared" si="16"/>
        <v>79</v>
      </c>
      <c r="O82">
        <f t="shared" si="17"/>
        <v>1</v>
      </c>
      <c r="P82">
        <f t="shared" si="18"/>
        <v>1</v>
      </c>
      <c r="Q82">
        <f t="shared" si="19"/>
        <v>1</v>
      </c>
      <c r="R82">
        <f t="shared" si="20"/>
        <v>1</v>
      </c>
      <c r="S82">
        <f t="shared" si="21"/>
        <v>0.78300000000000003</v>
      </c>
      <c r="T82">
        <f t="shared" si="22"/>
        <v>0.79600000000000004</v>
      </c>
      <c r="U82">
        <f t="shared" si="23"/>
        <v>0.81899999999999995</v>
      </c>
      <c r="V82">
        <f t="shared" si="24"/>
        <v>0.70899999999999996</v>
      </c>
      <c r="W82">
        <f t="shared" si="25"/>
        <v>0.995</v>
      </c>
      <c r="X82">
        <f t="shared" si="26"/>
        <v>0.79400000000000004</v>
      </c>
      <c r="Y82">
        <f t="shared" si="27"/>
        <v>0.88960000000000006</v>
      </c>
    </row>
    <row r="83" spans="1:25" x14ac:dyDescent="0.35">
      <c r="A83">
        <v>80</v>
      </c>
      <c r="B83">
        <v>1000</v>
      </c>
      <c r="C83">
        <v>1000</v>
      </c>
      <c r="D83">
        <v>1000</v>
      </c>
      <c r="E83">
        <v>1000</v>
      </c>
      <c r="F83">
        <f>'[25]GABM_R03_Terry-data'!$G82</f>
        <v>785</v>
      </c>
      <c r="G83">
        <f>'[26]GABM_R03_SarahAPI-data'!$G82</f>
        <v>786</v>
      </c>
      <c r="H83">
        <f>'[27]GABM_R03_savannah-data'!$G82</f>
        <v>995</v>
      </c>
      <c r="I83">
        <f>'[28]GABM_R03_MitchellAPI-data'!$G82</f>
        <v>761</v>
      </c>
      <c r="J83">
        <f>'[29]GABM_R03_SudipaAPI-data'!$G82</f>
        <v>792</v>
      </c>
      <c r="K83">
        <f>'[30]R03_GABM_run2-data'!$G82</f>
        <v>798</v>
      </c>
      <c r="L83">
        <f t="shared" si="15"/>
        <v>891.7</v>
      </c>
      <c r="N83">
        <f t="shared" si="16"/>
        <v>80</v>
      </c>
      <c r="O83">
        <f t="shared" si="17"/>
        <v>1</v>
      </c>
      <c r="P83">
        <f t="shared" si="18"/>
        <v>1</v>
      </c>
      <c r="Q83">
        <f t="shared" si="19"/>
        <v>1</v>
      </c>
      <c r="R83">
        <f t="shared" si="20"/>
        <v>1</v>
      </c>
      <c r="S83">
        <f t="shared" si="21"/>
        <v>0.78500000000000003</v>
      </c>
      <c r="T83">
        <f t="shared" si="22"/>
        <v>0.78600000000000003</v>
      </c>
      <c r="U83">
        <f t="shared" si="23"/>
        <v>0.995</v>
      </c>
      <c r="V83">
        <f t="shared" si="24"/>
        <v>0.76100000000000001</v>
      </c>
      <c r="W83">
        <f t="shared" si="25"/>
        <v>0.79200000000000004</v>
      </c>
      <c r="X83">
        <f t="shared" si="26"/>
        <v>0.79800000000000004</v>
      </c>
      <c r="Y83">
        <f t="shared" si="27"/>
        <v>0.89170000000000005</v>
      </c>
    </row>
    <row r="84" spans="1:25" x14ac:dyDescent="0.35">
      <c r="A84">
        <v>81</v>
      </c>
      <c r="B84">
        <v>1000</v>
      </c>
      <c r="C84">
        <v>1000</v>
      </c>
      <c r="D84">
        <v>1000</v>
      </c>
      <c r="E84">
        <v>1000</v>
      </c>
      <c r="F84">
        <f>'[25]GABM_R03_Terry-data'!$G83</f>
        <v>761</v>
      </c>
      <c r="G84">
        <f>'[26]GABM_R03_SarahAPI-data'!$G83</f>
        <v>789</v>
      </c>
      <c r="H84">
        <f>'[27]GABM_R03_savannah-data'!$G83</f>
        <v>808</v>
      </c>
      <c r="I84">
        <f>'[28]GABM_R03_MitchellAPI-data'!$G83</f>
        <v>466</v>
      </c>
      <c r="J84">
        <f>'[29]GABM_R03_SudipaAPI-data'!$G83</f>
        <v>995</v>
      </c>
      <c r="K84">
        <f>'[30]R03_GABM_run2-data'!$G83</f>
        <v>784</v>
      </c>
      <c r="L84">
        <f t="shared" si="15"/>
        <v>860.3</v>
      </c>
      <c r="N84">
        <f t="shared" si="16"/>
        <v>81</v>
      </c>
      <c r="O84">
        <f t="shared" si="17"/>
        <v>1</v>
      </c>
      <c r="P84">
        <f t="shared" si="18"/>
        <v>1</v>
      </c>
      <c r="Q84">
        <f t="shared" si="19"/>
        <v>1</v>
      </c>
      <c r="R84">
        <f t="shared" si="20"/>
        <v>1</v>
      </c>
      <c r="S84">
        <f t="shared" si="21"/>
        <v>0.76100000000000001</v>
      </c>
      <c r="T84">
        <f t="shared" si="22"/>
        <v>0.78900000000000003</v>
      </c>
      <c r="U84">
        <f t="shared" si="23"/>
        <v>0.80800000000000005</v>
      </c>
      <c r="V84">
        <f t="shared" si="24"/>
        <v>0.46600000000000003</v>
      </c>
      <c r="W84">
        <f t="shared" si="25"/>
        <v>0.995</v>
      </c>
      <c r="X84">
        <f t="shared" si="26"/>
        <v>0.78400000000000003</v>
      </c>
      <c r="Y84">
        <f t="shared" si="27"/>
        <v>0.86029999999999995</v>
      </c>
    </row>
    <row r="85" spans="1:25" x14ac:dyDescent="0.35">
      <c r="A85">
        <v>82</v>
      </c>
      <c r="B85">
        <v>1000</v>
      </c>
      <c r="C85">
        <v>1000</v>
      </c>
      <c r="D85">
        <v>1000</v>
      </c>
      <c r="E85">
        <v>1000</v>
      </c>
      <c r="F85">
        <f>'[25]GABM_R03_Terry-data'!$G84</f>
        <v>796</v>
      </c>
      <c r="G85">
        <f>'[26]GABM_R03_SarahAPI-data'!$G84</f>
        <v>786</v>
      </c>
      <c r="H85">
        <f>'[27]GABM_R03_savannah-data'!$G84</f>
        <v>996</v>
      </c>
      <c r="I85">
        <f>'[28]GABM_R03_MitchellAPI-data'!$G84</f>
        <v>729</v>
      </c>
      <c r="J85">
        <f>'[29]GABM_R03_SudipaAPI-data'!$G84</f>
        <v>995</v>
      </c>
      <c r="K85">
        <f>'[30]R03_GABM_run2-data'!$G84</f>
        <v>802</v>
      </c>
      <c r="L85">
        <f t="shared" si="15"/>
        <v>910.4</v>
      </c>
      <c r="N85">
        <f t="shared" si="16"/>
        <v>82</v>
      </c>
      <c r="O85">
        <f t="shared" si="17"/>
        <v>1</v>
      </c>
      <c r="P85">
        <f t="shared" si="18"/>
        <v>1</v>
      </c>
      <c r="Q85">
        <f t="shared" si="19"/>
        <v>1</v>
      </c>
      <c r="R85">
        <f t="shared" si="20"/>
        <v>1</v>
      </c>
      <c r="S85">
        <f t="shared" si="21"/>
        <v>0.79600000000000004</v>
      </c>
      <c r="T85">
        <f t="shared" si="22"/>
        <v>0.78600000000000003</v>
      </c>
      <c r="U85">
        <f t="shared" si="23"/>
        <v>0.996</v>
      </c>
      <c r="V85">
        <f t="shared" si="24"/>
        <v>0.72899999999999998</v>
      </c>
      <c r="W85">
        <f t="shared" si="25"/>
        <v>0.995</v>
      </c>
      <c r="X85">
        <f t="shared" si="26"/>
        <v>0.80200000000000005</v>
      </c>
      <c r="Y85">
        <f t="shared" si="27"/>
        <v>0.91039999999999999</v>
      </c>
    </row>
    <row r="86" spans="1:25" x14ac:dyDescent="0.35">
      <c r="A86">
        <v>83</v>
      </c>
      <c r="B86">
        <v>1000</v>
      </c>
      <c r="C86">
        <v>1000</v>
      </c>
      <c r="D86">
        <v>1000</v>
      </c>
      <c r="E86">
        <v>1000</v>
      </c>
      <c r="F86">
        <f>'[25]GABM_R03_Terry-data'!$G85</f>
        <v>788</v>
      </c>
      <c r="G86">
        <f>'[26]GABM_R03_SarahAPI-data'!$G85</f>
        <v>787</v>
      </c>
      <c r="H86">
        <f>'[27]GABM_R03_savannah-data'!$G85</f>
        <v>997</v>
      </c>
      <c r="I86">
        <f>'[28]GABM_R03_MitchellAPI-data'!$G85</f>
        <v>787</v>
      </c>
      <c r="J86">
        <f>'[29]GABM_R03_SudipaAPI-data'!$G85</f>
        <v>782</v>
      </c>
      <c r="K86">
        <f>'[30]R03_GABM_run2-data'!$G85</f>
        <v>994</v>
      </c>
      <c r="L86">
        <f t="shared" si="15"/>
        <v>913.5</v>
      </c>
      <c r="N86">
        <f t="shared" si="16"/>
        <v>83</v>
      </c>
      <c r="O86">
        <f t="shared" si="17"/>
        <v>1</v>
      </c>
      <c r="P86">
        <f t="shared" si="18"/>
        <v>1</v>
      </c>
      <c r="Q86">
        <f t="shared" si="19"/>
        <v>1</v>
      </c>
      <c r="R86">
        <f t="shared" si="20"/>
        <v>1</v>
      </c>
      <c r="S86">
        <f t="shared" si="21"/>
        <v>0.78800000000000003</v>
      </c>
      <c r="T86">
        <f t="shared" si="22"/>
        <v>0.78700000000000003</v>
      </c>
      <c r="U86">
        <f t="shared" si="23"/>
        <v>0.997</v>
      </c>
      <c r="V86">
        <f t="shared" si="24"/>
        <v>0.78700000000000003</v>
      </c>
      <c r="W86">
        <f t="shared" si="25"/>
        <v>0.78200000000000003</v>
      </c>
      <c r="X86">
        <f t="shared" si="26"/>
        <v>0.99399999999999999</v>
      </c>
      <c r="Y86">
        <f t="shared" si="27"/>
        <v>0.91349999999999998</v>
      </c>
    </row>
    <row r="87" spans="1:25" x14ac:dyDescent="0.35">
      <c r="A87">
        <v>84</v>
      </c>
      <c r="B87">
        <v>1000</v>
      </c>
      <c r="C87">
        <v>1000</v>
      </c>
      <c r="D87">
        <v>1000</v>
      </c>
      <c r="E87">
        <v>1000</v>
      </c>
      <c r="F87">
        <f>'[25]GABM_R03_Terry-data'!$G86</f>
        <v>996</v>
      </c>
      <c r="G87">
        <f>'[26]GABM_R03_SarahAPI-data'!$G86</f>
        <v>797</v>
      </c>
      <c r="H87">
        <f>'[27]GABM_R03_savannah-data'!$G86</f>
        <v>782</v>
      </c>
      <c r="I87">
        <f>'[28]GABM_R03_MitchellAPI-data'!$G86</f>
        <v>791</v>
      </c>
      <c r="J87">
        <f>'[29]GABM_R03_SudipaAPI-data'!$G86</f>
        <v>783</v>
      </c>
      <c r="K87">
        <f>'[30]R03_GABM_run2-data'!$G86</f>
        <v>785</v>
      </c>
      <c r="L87">
        <f t="shared" si="15"/>
        <v>893.4</v>
      </c>
      <c r="N87">
        <f t="shared" si="16"/>
        <v>84</v>
      </c>
      <c r="O87">
        <f t="shared" si="17"/>
        <v>1</v>
      </c>
      <c r="P87">
        <f t="shared" si="18"/>
        <v>1</v>
      </c>
      <c r="Q87">
        <f t="shared" si="19"/>
        <v>1</v>
      </c>
      <c r="R87">
        <f t="shared" si="20"/>
        <v>1</v>
      </c>
      <c r="S87">
        <f t="shared" si="21"/>
        <v>0.996</v>
      </c>
      <c r="T87">
        <f t="shared" si="22"/>
        <v>0.79700000000000004</v>
      </c>
      <c r="U87">
        <f t="shared" si="23"/>
        <v>0.78200000000000003</v>
      </c>
      <c r="V87">
        <f t="shared" si="24"/>
        <v>0.79100000000000004</v>
      </c>
      <c r="W87">
        <f t="shared" si="25"/>
        <v>0.78300000000000003</v>
      </c>
      <c r="X87">
        <f t="shared" si="26"/>
        <v>0.78500000000000003</v>
      </c>
      <c r="Y87">
        <f t="shared" si="27"/>
        <v>0.89339999999999997</v>
      </c>
    </row>
    <row r="88" spans="1:25" x14ac:dyDescent="0.35">
      <c r="A88">
        <v>85</v>
      </c>
      <c r="B88">
        <v>1000</v>
      </c>
      <c r="C88">
        <v>1000</v>
      </c>
      <c r="D88">
        <v>1000</v>
      </c>
      <c r="E88">
        <v>1000</v>
      </c>
      <c r="F88">
        <f>'[25]GABM_R03_Terry-data'!$G87</f>
        <v>995</v>
      </c>
      <c r="G88">
        <f>'[26]GABM_R03_SarahAPI-data'!$G87</f>
        <v>996</v>
      </c>
      <c r="H88">
        <f>'[27]GABM_R03_savannah-data'!$G87</f>
        <v>812</v>
      </c>
      <c r="I88">
        <f>'[28]GABM_R03_MitchellAPI-data'!$G87</f>
        <v>801</v>
      </c>
      <c r="J88">
        <f>'[29]GABM_R03_SudipaAPI-data'!$G87</f>
        <v>788</v>
      </c>
      <c r="K88">
        <f>'[30]R03_GABM_run2-data'!$G87</f>
        <v>996</v>
      </c>
      <c r="L88">
        <f t="shared" si="15"/>
        <v>938.8</v>
      </c>
      <c r="N88">
        <f t="shared" si="16"/>
        <v>85</v>
      </c>
      <c r="O88">
        <f t="shared" si="17"/>
        <v>1</v>
      </c>
      <c r="P88">
        <f t="shared" si="18"/>
        <v>1</v>
      </c>
      <c r="Q88">
        <f t="shared" si="19"/>
        <v>1</v>
      </c>
      <c r="R88">
        <f t="shared" si="20"/>
        <v>1</v>
      </c>
      <c r="S88">
        <f t="shared" si="21"/>
        <v>0.995</v>
      </c>
      <c r="T88">
        <f t="shared" si="22"/>
        <v>0.996</v>
      </c>
      <c r="U88">
        <f t="shared" si="23"/>
        <v>0.81200000000000006</v>
      </c>
      <c r="V88">
        <f t="shared" si="24"/>
        <v>0.80100000000000005</v>
      </c>
      <c r="W88">
        <f t="shared" si="25"/>
        <v>0.78800000000000003</v>
      </c>
      <c r="X88">
        <f t="shared" si="26"/>
        <v>0.996</v>
      </c>
      <c r="Y88">
        <f t="shared" si="27"/>
        <v>0.93879999999999997</v>
      </c>
    </row>
    <row r="89" spans="1:25" x14ac:dyDescent="0.35">
      <c r="A89">
        <v>86</v>
      </c>
      <c r="B89">
        <v>1000</v>
      </c>
      <c r="C89">
        <v>1000</v>
      </c>
      <c r="D89">
        <v>1000</v>
      </c>
      <c r="E89">
        <v>1000</v>
      </c>
      <c r="F89">
        <v>1000</v>
      </c>
      <c r="G89">
        <f>'[26]GABM_R03_SarahAPI-data'!$G88</f>
        <v>996</v>
      </c>
      <c r="H89">
        <f>'[27]GABM_R03_savannah-data'!$G88</f>
        <v>996</v>
      </c>
      <c r="I89">
        <f>'[28]GABM_R03_MitchellAPI-data'!$G88</f>
        <v>799</v>
      </c>
      <c r="J89">
        <f>'[29]GABM_R03_SudipaAPI-data'!$G88</f>
        <v>765</v>
      </c>
      <c r="K89">
        <f>'[30]R03_GABM_run2-data'!$G88</f>
        <v>796</v>
      </c>
      <c r="L89">
        <f t="shared" si="15"/>
        <v>935.2</v>
      </c>
      <c r="N89">
        <f t="shared" si="16"/>
        <v>86</v>
      </c>
      <c r="O89">
        <f t="shared" si="17"/>
        <v>1</v>
      </c>
      <c r="P89">
        <f t="shared" si="18"/>
        <v>1</v>
      </c>
      <c r="Q89">
        <f t="shared" si="19"/>
        <v>1</v>
      </c>
      <c r="R89">
        <f t="shared" si="20"/>
        <v>1</v>
      </c>
      <c r="S89">
        <f t="shared" si="21"/>
        <v>1</v>
      </c>
      <c r="T89">
        <f t="shared" si="22"/>
        <v>0.996</v>
      </c>
      <c r="U89">
        <f t="shared" si="23"/>
        <v>0.996</v>
      </c>
      <c r="V89">
        <f t="shared" si="24"/>
        <v>0.79900000000000004</v>
      </c>
      <c r="W89">
        <f t="shared" si="25"/>
        <v>0.76500000000000001</v>
      </c>
      <c r="X89">
        <f t="shared" si="26"/>
        <v>0.79600000000000004</v>
      </c>
      <c r="Y89">
        <f t="shared" si="27"/>
        <v>0.93520000000000003</v>
      </c>
    </row>
    <row r="90" spans="1:25" x14ac:dyDescent="0.35">
      <c r="A90">
        <v>87</v>
      </c>
      <c r="B90">
        <v>1000</v>
      </c>
      <c r="C90">
        <v>1000</v>
      </c>
      <c r="D90">
        <v>1000</v>
      </c>
      <c r="E90">
        <v>1000</v>
      </c>
      <c r="F90">
        <v>1000</v>
      </c>
      <c r="G90">
        <f>'[26]GABM_R03_SarahAPI-data'!$G89</f>
        <v>996</v>
      </c>
      <c r="H90">
        <f>'[27]GABM_R03_savannah-data'!$G89</f>
        <v>998</v>
      </c>
      <c r="I90">
        <f>'[28]GABM_R03_MitchellAPI-data'!$G89</f>
        <v>997</v>
      </c>
      <c r="J90">
        <f>'[29]GABM_R03_SudipaAPI-data'!$G89</f>
        <v>764</v>
      </c>
      <c r="K90">
        <f>'[30]R03_GABM_run2-data'!$G89</f>
        <v>793</v>
      </c>
      <c r="L90">
        <f t="shared" si="15"/>
        <v>954.8</v>
      </c>
      <c r="N90">
        <f t="shared" si="16"/>
        <v>87</v>
      </c>
      <c r="O90">
        <f t="shared" si="17"/>
        <v>1</v>
      </c>
      <c r="P90">
        <f t="shared" si="18"/>
        <v>1</v>
      </c>
      <c r="Q90">
        <f t="shared" si="19"/>
        <v>1</v>
      </c>
      <c r="R90">
        <f t="shared" si="20"/>
        <v>1</v>
      </c>
      <c r="S90">
        <f t="shared" si="21"/>
        <v>1</v>
      </c>
      <c r="T90">
        <f t="shared" si="22"/>
        <v>0.996</v>
      </c>
      <c r="U90">
        <f t="shared" si="23"/>
        <v>0.998</v>
      </c>
      <c r="V90">
        <f t="shared" si="24"/>
        <v>0.997</v>
      </c>
      <c r="W90">
        <f t="shared" si="25"/>
        <v>0.76400000000000001</v>
      </c>
      <c r="X90">
        <f t="shared" si="26"/>
        <v>0.79300000000000004</v>
      </c>
      <c r="Y90">
        <f t="shared" si="27"/>
        <v>0.95479999999999998</v>
      </c>
    </row>
    <row r="91" spans="1:25" x14ac:dyDescent="0.35">
      <c r="A91">
        <v>88</v>
      </c>
      <c r="B91">
        <v>1000</v>
      </c>
      <c r="C91">
        <v>1000</v>
      </c>
      <c r="D91">
        <v>1000</v>
      </c>
      <c r="E91">
        <v>1000</v>
      </c>
      <c r="F91">
        <v>1000</v>
      </c>
      <c r="G91">
        <f>'[26]GABM_R03_SarahAPI-data'!$G90</f>
        <v>800</v>
      </c>
      <c r="H91">
        <f>'[27]GABM_R03_savannah-data'!$G90</f>
        <v>999</v>
      </c>
      <c r="I91">
        <f>'[28]GABM_R03_MitchellAPI-data'!$G90</f>
        <v>807</v>
      </c>
      <c r="J91">
        <f>'[29]GABM_R03_SudipaAPI-data'!$G90</f>
        <v>783</v>
      </c>
      <c r="K91">
        <f>'[30]R03_GABM_run2-data'!$G90</f>
        <v>791</v>
      </c>
      <c r="L91">
        <f t="shared" si="15"/>
        <v>918</v>
      </c>
      <c r="N91">
        <f t="shared" si="16"/>
        <v>88</v>
      </c>
      <c r="O91">
        <f t="shared" si="17"/>
        <v>1</v>
      </c>
      <c r="P91">
        <f t="shared" si="18"/>
        <v>1</v>
      </c>
      <c r="Q91">
        <f t="shared" si="19"/>
        <v>1</v>
      </c>
      <c r="R91">
        <f t="shared" si="20"/>
        <v>1</v>
      </c>
      <c r="S91">
        <f t="shared" si="21"/>
        <v>1</v>
      </c>
      <c r="T91">
        <f t="shared" si="22"/>
        <v>0.8</v>
      </c>
      <c r="U91">
        <f t="shared" si="23"/>
        <v>0.999</v>
      </c>
      <c r="V91">
        <f t="shared" si="24"/>
        <v>0.80700000000000005</v>
      </c>
      <c r="W91">
        <f t="shared" si="25"/>
        <v>0.78300000000000003</v>
      </c>
      <c r="X91">
        <f t="shared" si="26"/>
        <v>0.79100000000000004</v>
      </c>
      <c r="Y91">
        <f t="shared" si="27"/>
        <v>0.91800000000000004</v>
      </c>
    </row>
    <row r="92" spans="1:25" x14ac:dyDescent="0.35">
      <c r="A92">
        <v>89</v>
      </c>
      <c r="B92">
        <v>1000</v>
      </c>
      <c r="C92">
        <v>1000</v>
      </c>
      <c r="D92">
        <v>1000</v>
      </c>
      <c r="E92">
        <v>1000</v>
      </c>
      <c r="F92">
        <v>1000</v>
      </c>
      <c r="G92">
        <f>'[26]GABM_R03_SarahAPI-data'!$G91</f>
        <v>803</v>
      </c>
      <c r="H92">
        <f>'[27]GABM_R03_savannah-data'!$G91</f>
        <v>999</v>
      </c>
      <c r="I92">
        <f>'[28]GABM_R03_MitchellAPI-data'!$G91</f>
        <v>807</v>
      </c>
      <c r="J92">
        <f>'[29]GABM_R03_SudipaAPI-data'!$G91</f>
        <v>782</v>
      </c>
      <c r="K92">
        <f>'[30]R03_GABM_run2-data'!$G91</f>
        <v>795</v>
      </c>
      <c r="L92">
        <f t="shared" si="15"/>
        <v>918.6</v>
      </c>
      <c r="N92">
        <f t="shared" si="16"/>
        <v>89</v>
      </c>
      <c r="O92">
        <f t="shared" si="17"/>
        <v>1</v>
      </c>
      <c r="P92">
        <f t="shared" si="18"/>
        <v>1</v>
      </c>
      <c r="Q92">
        <f t="shared" si="19"/>
        <v>1</v>
      </c>
      <c r="R92">
        <f t="shared" si="20"/>
        <v>1</v>
      </c>
      <c r="S92">
        <f t="shared" si="21"/>
        <v>1</v>
      </c>
      <c r="T92">
        <f t="shared" si="22"/>
        <v>0.80300000000000005</v>
      </c>
      <c r="U92">
        <f t="shared" si="23"/>
        <v>0.999</v>
      </c>
      <c r="V92">
        <f t="shared" si="24"/>
        <v>0.80700000000000005</v>
      </c>
      <c r="W92">
        <f t="shared" si="25"/>
        <v>0.78200000000000003</v>
      </c>
      <c r="X92">
        <f t="shared" si="26"/>
        <v>0.79500000000000004</v>
      </c>
      <c r="Y92">
        <f t="shared" si="27"/>
        <v>0.91859999999999997</v>
      </c>
    </row>
    <row r="93" spans="1:25" x14ac:dyDescent="0.35">
      <c r="A93">
        <v>90</v>
      </c>
      <c r="B93">
        <v>1000</v>
      </c>
      <c r="C93">
        <v>1000</v>
      </c>
      <c r="D93">
        <v>1000</v>
      </c>
      <c r="E93">
        <v>1000</v>
      </c>
      <c r="F93">
        <v>1000</v>
      </c>
      <c r="G93">
        <f>'[26]GABM_R03_SarahAPI-data'!$G92</f>
        <v>786</v>
      </c>
      <c r="H93">
        <v>1000</v>
      </c>
      <c r="I93">
        <f>'[28]GABM_R03_MitchellAPI-data'!$G92</f>
        <v>996</v>
      </c>
      <c r="J93">
        <f>'[29]GABM_R03_SudipaAPI-data'!$G92</f>
        <v>997</v>
      </c>
      <c r="K93">
        <f>'[30]R03_GABM_run2-data'!$G92</f>
        <v>997</v>
      </c>
      <c r="L93">
        <f t="shared" si="15"/>
        <v>977.6</v>
      </c>
      <c r="N93">
        <f t="shared" si="16"/>
        <v>90</v>
      </c>
      <c r="O93">
        <f t="shared" si="17"/>
        <v>1</v>
      </c>
      <c r="P93">
        <f t="shared" si="18"/>
        <v>1</v>
      </c>
      <c r="Q93">
        <f t="shared" si="19"/>
        <v>1</v>
      </c>
      <c r="R93">
        <f t="shared" si="20"/>
        <v>1</v>
      </c>
      <c r="S93">
        <f t="shared" si="21"/>
        <v>1</v>
      </c>
      <c r="T93">
        <f t="shared" si="22"/>
        <v>0.78600000000000003</v>
      </c>
      <c r="U93">
        <f t="shared" si="23"/>
        <v>1</v>
      </c>
      <c r="V93">
        <f t="shared" si="24"/>
        <v>0.996</v>
      </c>
      <c r="W93">
        <f t="shared" si="25"/>
        <v>0.997</v>
      </c>
      <c r="X93">
        <f t="shared" si="26"/>
        <v>0.997</v>
      </c>
      <c r="Y93">
        <f t="shared" si="27"/>
        <v>0.97760000000000002</v>
      </c>
    </row>
    <row r="94" spans="1:25" x14ac:dyDescent="0.35">
      <c r="A94">
        <v>91</v>
      </c>
      <c r="B94">
        <v>1000</v>
      </c>
      <c r="C94">
        <v>1000</v>
      </c>
      <c r="D94">
        <v>1000</v>
      </c>
      <c r="E94">
        <v>1000</v>
      </c>
      <c r="F94">
        <v>1000</v>
      </c>
      <c r="G94">
        <f>'[26]GABM_R03_SarahAPI-data'!$G93</f>
        <v>799</v>
      </c>
      <c r="H94">
        <v>1000</v>
      </c>
      <c r="I94">
        <f>'[28]GABM_R03_MitchellAPI-data'!$G93</f>
        <v>792</v>
      </c>
      <c r="J94">
        <f>'[29]GABM_R03_SudipaAPI-data'!$G93</f>
        <v>785</v>
      </c>
      <c r="K94">
        <f>'[30]R03_GABM_run2-data'!$G93</f>
        <v>998</v>
      </c>
      <c r="L94">
        <f t="shared" si="15"/>
        <v>937.4</v>
      </c>
      <c r="N94">
        <f t="shared" si="16"/>
        <v>91</v>
      </c>
      <c r="O94">
        <f t="shared" si="17"/>
        <v>1</v>
      </c>
      <c r="P94">
        <f t="shared" si="18"/>
        <v>1</v>
      </c>
      <c r="Q94">
        <f t="shared" si="19"/>
        <v>1</v>
      </c>
      <c r="R94">
        <f t="shared" si="20"/>
        <v>1</v>
      </c>
      <c r="S94">
        <f t="shared" si="21"/>
        <v>1</v>
      </c>
      <c r="T94">
        <f t="shared" si="22"/>
        <v>0.79900000000000004</v>
      </c>
      <c r="U94">
        <f t="shared" si="23"/>
        <v>1</v>
      </c>
      <c r="V94">
        <f t="shared" si="24"/>
        <v>0.79200000000000004</v>
      </c>
      <c r="W94">
        <f t="shared" si="25"/>
        <v>0.78500000000000003</v>
      </c>
      <c r="X94">
        <f t="shared" si="26"/>
        <v>0.998</v>
      </c>
      <c r="Y94">
        <f t="shared" si="27"/>
        <v>0.93740000000000001</v>
      </c>
    </row>
    <row r="95" spans="1:25" x14ac:dyDescent="0.35">
      <c r="A95">
        <v>92</v>
      </c>
      <c r="B95">
        <v>1000</v>
      </c>
      <c r="C95">
        <v>1000</v>
      </c>
      <c r="D95">
        <v>1000</v>
      </c>
      <c r="E95">
        <v>1000</v>
      </c>
      <c r="F95">
        <v>1000</v>
      </c>
      <c r="G95">
        <f>'[26]GABM_R03_SarahAPI-data'!$G94</f>
        <v>787</v>
      </c>
      <c r="H95">
        <v>1000</v>
      </c>
      <c r="I95">
        <f>'[28]GABM_R03_MitchellAPI-data'!$G94</f>
        <v>809</v>
      </c>
      <c r="J95">
        <f>'[29]GABM_R03_SudipaAPI-data'!$G94</f>
        <v>787</v>
      </c>
      <c r="K95">
        <f>'[30]R03_GABM_run2-data'!$G94</f>
        <v>998</v>
      </c>
      <c r="L95">
        <f t="shared" si="15"/>
        <v>938.1</v>
      </c>
      <c r="N95">
        <f t="shared" si="16"/>
        <v>92</v>
      </c>
      <c r="O95">
        <f t="shared" si="17"/>
        <v>1</v>
      </c>
      <c r="P95">
        <f t="shared" si="18"/>
        <v>1</v>
      </c>
      <c r="Q95">
        <f t="shared" si="19"/>
        <v>1</v>
      </c>
      <c r="R95">
        <f t="shared" si="20"/>
        <v>1</v>
      </c>
      <c r="S95">
        <f t="shared" si="21"/>
        <v>1</v>
      </c>
      <c r="T95">
        <f t="shared" si="22"/>
        <v>0.78700000000000003</v>
      </c>
      <c r="U95">
        <f t="shared" si="23"/>
        <v>1</v>
      </c>
      <c r="V95">
        <f t="shared" si="24"/>
        <v>0.80900000000000005</v>
      </c>
      <c r="W95">
        <f t="shared" si="25"/>
        <v>0.78700000000000003</v>
      </c>
      <c r="X95">
        <f t="shared" si="26"/>
        <v>0.998</v>
      </c>
      <c r="Y95">
        <f t="shared" si="27"/>
        <v>0.93810000000000004</v>
      </c>
    </row>
    <row r="96" spans="1:25" x14ac:dyDescent="0.35">
      <c r="A96">
        <v>93</v>
      </c>
      <c r="B96">
        <v>1000</v>
      </c>
      <c r="C96">
        <v>1000</v>
      </c>
      <c r="D96">
        <v>1000</v>
      </c>
      <c r="E96">
        <v>1000</v>
      </c>
      <c r="F96">
        <v>1000</v>
      </c>
      <c r="G96">
        <f>'[26]GABM_R03_SarahAPI-data'!$G95</f>
        <v>796</v>
      </c>
      <c r="H96">
        <v>1000</v>
      </c>
      <c r="I96">
        <f>'[28]GABM_R03_MitchellAPI-data'!$G95</f>
        <v>996</v>
      </c>
      <c r="J96">
        <f>'[29]GABM_R03_SudipaAPI-data'!$G95</f>
        <v>995</v>
      </c>
      <c r="K96">
        <f>'[30]R03_GABM_run2-data'!$G95</f>
        <v>997</v>
      </c>
      <c r="L96">
        <f t="shared" si="15"/>
        <v>978.4</v>
      </c>
      <c r="N96">
        <f t="shared" si="16"/>
        <v>93</v>
      </c>
      <c r="O96">
        <f t="shared" si="17"/>
        <v>1</v>
      </c>
      <c r="P96">
        <f t="shared" si="18"/>
        <v>1</v>
      </c>
      <c r="Q96">
        <f t="shared" si="19"/>
        <v>1</v>
      </c>
      <c r="R96">
        <f t="shared" si="20"/>
        <v>1</v>
      </c>
      <c r="S96">
        <f t="shared" si="21"/>
        <v>1</v>
      </c>
      <c r="T96">
        <f t="shared" si="22"/>
        <v>0.79600000000000004</v>
      </c>
      <c r="U96">
        <f t="shared" si="23"/>
        <v>1</v>
      </c>
      <c r="V96">
        <f t="shared" si="24"/>
        <v>0.996</v>
      </c>
      <c r="W96">
        <f t="shared" si="25"/>
        <v>0.995</v>
      </c>
      <c r="X96">
        <f t="shared" si="26"/>
        <v>0.997</v>
      </c>
      <c r="Y96">
        <f t="shared" si="27"/>
        <v>0.97839999999999994</v>
      </c>
    </row>
    <row r="97" spans="1:25" x14ac:dyDescent="0.35">
      <c r="A97">
        <v>94</v>
      </c>
      <c r="B97">
        <v>1000</v>
      </c>
      <c r="C97">
        <v>1000</v>
      </c>
      <c r="D97">
        <v>1000</v>
      </c>
      <c r="E97">
        <v>1000</v>
      </c>
      <c r="F97">
        <v>1000</v>
      </c>
      <c r="G97">
        <f>'[26]GABM_R03_SarahAPI-data'!$G96</f>
        <v>996</v>
      </c>
      <c r="H97">
        <v>1000</v>
      </c>
      <c r="I97">
        <f>'[28]GABM_R03_MitchellAPI-data'!$G96</f>
        <v>695</v>
      </c>
      <c r="J97">
        <f>'[29]GABM_R03_SudipaAPI-data'!$G96</f>
        <v>786</v>
      </c>
      <c r="K97">
        <f>'[30]R03_GABM_run2-data'!$G96</f>
        <v>790</v>
      </c>
      <c r="L97">
        <f t="shared" si="15"/>
        <v>926.7</v>
      </c>
      <c r="N97">
        <f t="shared" si="16"/>
        <v>94</v>
      </c>
      <c r="O97">
        <f t="shared" si="17"/>
        <v>1</v>
      </c>
      <c r="P97">
        <f t="shared" si="18"/>
        <v>1</v>
      </c>
      <c r="Q97">
        <f t="shared" si="19"/>
        <v>1</v>
      </c>
      <c r="R97">
        <f t="shared" si="20"/>
        <v>1</v>
      </c>
      <c r="S97">
        <f t="shared" si="21"/>
        <v>1</v>
      </c>
      <c r="T97">
        <f t="shared" si="22"/>
        <v>0.996</v>
      </c>
      <c r="U97">
        <f t="shared" si="23"/>
        <v>1</v>
      </c>
      <c r="V97">
        <f t="shared" si="24"/>
        <v>0.69499999999999995</v>
      </c>
      <c r="W97">
        <f t="shared" si="25"/>
        <v>0.78600000000000003</v>
      </c>
      <c r="X97">
        <f t="shared" si="26"/>
        <v>0.79</v>
      </c>
      <c r="Y97">
        <f t="shared" si="27"/>
        <v>0.92670000000000008</v>
      </c>
    </row>
    <row r="98" spans="1:25" x14ac:dyDescent="0.35">
      <c r="A98">
        <v>95</v>
      </c>
      <c r="B98">
        <v>1000</v>
      </c>
      <c r="C98">
        <v>1000</v>
      </c>
      <c r="D98">
        <v>1000</v>
      </c>
      <c r="E98">
        <v>1000</v>
      </c>
      <c r="F98">
        <v>1000</v>
      </c>
      <c r="G98">
        <f>'[26]GABM_R03_SarahAPI-data'!$G97</f>
        <v>998</v>
      </c>
      <c r="H98">
        <v>1000</v>
      </c>
      <c r="I98">
        <f>'[28]GABM_R03_MitchellAPI-data'!$G97</f>
        <v>814</v>
      </c>
      <c r="J98">
        <f>'[29]GABM_R03_SudipaAPI-data'!$G97</f>
        <v>782</v>
      </c>
      <c r="K98">
        <f>'[30]R03_GABM_run2-data'!$G97</f>
        <v>997</v>
      </c>
      <c r="L98">
        <f t="shared" si="15"/>
        <v>959.1</v>
      </c>
      <c r="N98">
        <f t="shared" si="16"/>
        <v>95</v>
      </c>
      <c r="O98">
        <f t="shared" si="17"/>
        <v>1</v>
      </c>
      <c r="P98">
        <f t="shared" si="18"/>
        <v>1</v>
      </c>
      <c r="Q98">
        <f t="shared" si="19"/>
        <v>1</v>
      </c>
      <c r="R98">
        <f t="shared" si="20"/>
        <v>1</v>
      </c>
      <c r="S98">
        <f t="shared" si="21"/>
        <v>1</v>
      </c>
      <c r="T98">
        <f t="shared" si="22"/>
        <v>0.998</v>
      </c>
      <c r="U98">
        <f t="shared" si="23"/>
        <v>1</v>
      </c>
      <c r="V98">
        <f t="shared" si="24"/>
        <v>0.81399999999999995</v>
      </c>
      <c r="W98">
        <f t="shared" si="25"/>
        <v>0.78200000000000003</v>
      </c>
      <c r="X98">
        <f t="shared" si="26"/>
        <v>0.997</v>
      </c>
      <c r="Y98">
        <f t="shared" si="27"/>
        <v>0.95910000000000006</v>
      </c>
    </row>
    <row r="99" spans="1:25" x14ac:dyDescent="0.35">
      <c r="A99">
        <v>96</v>
      </c>
      <c r="B99">
        <v>1000</v>
      </c>
      <c r="C99">
        <v>1000</v>
      </c>
      <c r="D99">
        <v>1000</v>
      </c>
      <c r="E99">
        <v>1000</v>
      </c>
      <c r="F99">
        <v>1000</v>
      </c>
      <c r="G99">
        <f>'[26]GABM_R03_SarahAPI-data'!$G98</f>
        <v>999</v>
      </c>
      <c r="H99">
        <v>1000</v>
      </c>
      <c r="I99">
        <f>'[28]GABM_R03_MitchellAPI-data'!$G98</f>
        <v>785</v>
      </c>
      <c r="J99">
        <f>'[29]GABM_R03_SudipaAPI-data'!$G98</f>
        <v>775</v>
      </c>
      <c r="K99">
        <f>'[30]R03_GABM_run2-data'!$G98</f>
        <v>998</v>
      </c>
      <c r="L99">
        <f t="shared" si="15"/>
        <v>955.7</v>
      </c>
      <c r="N99">
        <f t="shared" si="16"/>
        <v>96</v>
      </c>
      <c r="O99">
        <f t="shared" si="17"/>
        <v>1</v>
      </c>
      <c r="P99">
        <f t="shared" si="18"/>
        <v>1</v>
      </c>
      <c r="Q99">
        <f t="shared" si="19"/>
        <v>1</v>
      </c>
      <c r="R99">
        <f t="shared" si="20"/>
        <v>1</v>
      </c>
      <c r="S99">
        <f t="shared" si="21"/>
        <v>1</v>
      </c>
      <c r="T99">
        <f t="shared" si="22"/>
        <v>0.999</v>
      </c>
      <c r="U99">
        <f t="shared" si="23"/>
        <v>1</v>
      </c>
      <c r="V99">
        <f t="shared" si="24"/>
        <v>0.78500000000000003</v>
      </c>
      <c r="W99">
        <f t="shared" si="25"/>
        <v>0.77500000000000002</v>
      </c>
      <c r="X99">
        <f t="shared" si="26"/>
        <v>0.998</v>
      </c>
      <c r="Y99">
        <f t="shared" si="27"/>
        <v>0.95569999999999999</v>
      </c>
    </row>
    <row r="100" spans="1:25" x14ac:dyDescent="0.35">
      <c r="A100">
        <v>97</v>
      </c>
      <c r="B100">
        <v>1000</v>
      </c>
      <c r="C100">
        <v>1000</v>
      </c>
      <c r="D100">
        <v>1000</v>
      </c>
      <c r="E100">
        <v>1000</v>
      </c>
      <c r="F100">
        <v>1000</v>
      </c>
      <c r="G100">
        <f>'[26]GABM_R03_SarahAPI-data'!$G99</f>
        <v>999</v>
      </c>
      <c r="H100">
        <v>1000</v>
      </c>
      <c r="I100">
        <f>'[28]GABM_R03_MitchellAPI-data'!$G99</f>
        <v>774</v>
      </c>
      <c r="J100">
        <f>'[29]GABM_R03_SudipaAPI-data'!$G99</f>
        <v>792</v>
      </c>
      <c r="K100">
        <v>1000</v>
      </c>
      <c r="L100">
        <f t="shared" si="15"/>
        <v>956.5</v>
      </c>
      <c r="N100">
        <f t="shared" si="16"/>
        <v>97</v>
      </c>
      <c r="O100">
        <f t="shared" si="17"/>
        <v>1</v>
      </c>
      <c r="P100">
        <f t="shared" si="18"/>
        <v>1</v>
      </c>
      <c r="Q100">
        <f t="shared" si="19"/>
        <v>1</v>
      </c>
      <c r="R100">
        <f t="shared" si="20"/>
        <v>1</v>
      </c>
      <c r="S100">
        <f t="shared" si="21"/>
        <v>1</v>
      </c>
      <c r="T100">
        <f t="shared" si="22"/>
        <v>0.999</v>
      </c>
      <c r="U100">
        <f t="shared" si="23"/>
        <v>1</v>
      </c>
      <c r="V100">
        <f t="shared" si="24"/>
        <v>0.77400000000000002</v>
      </c>
      <c r="W100">
        <f t="shared" si="25"/>
        <v>0.79200000000000004</v>
      </c>
      <c r="X100">
        <f t="shared" si="26"/>
        <v>1</v>
      </c>
      <c r="Y100">
        <f t="shared" si="27"/>
        <v>0.95650000000000002</v>
      </c>
    </row>
    <row r="101" spans="1:25" x14ac:dyDescent="0.35">
      <c r="A101">
        <v>98</v>
      </c>
      <c r="B101">
        <v>1000</v>
      </c>
      <c r="C101">
        <v>1000</v>
      </c>
      <c r="D101">
        <v>1000</v>
      </c>
      <c r="E101">
        <v>1000</v>
      </c>
      <c r="F101">
        <v>1000</v>
      </c>
      <c r="G101">
        <f>'[26]GABM_R03_SarahAPI-data'!$G100</f>
        <v>797</v>
      </c>
      <c r="H101">
        <v>1000</v>
      </c>
      <c r="I101">
        <f>'[28]GABM_R03_MitchellAPI-data'!$G100</f>
        <v>796</v>
      </c>
      <c r="J101">
        <f>'[29]GABM_R03_SudipaAPI-data'!$G100</f>
        <v>785</v>
      </c>
      <c r="K101">
        <v>1000</v>
      </c>
      <c r="L101">
        <f t="shared" si="15"/>
        <v>937.8</v>
      </c>
      <c r="N101">
        <f t="shared" si="16"/>
        <v>98</v>
      </c>
      <c r="O101">
        <f t="shared" si="17"/>
        <v>1</v>
      </c>
      <c r="P101">
        <f t="shared" si="18"/>
        <v>1</v>
      </c>
      <c r="Q101">
        <f t="shared" si="19"/>
        <v>1</v>
      </c>
      <c r="R101">
        <f t="shared" si="20"/>
        <v>1</v>
      </c>
      <c r="S101">
        <f t="shared" si="21"/>
        <v>1</v>
      </c>
      <c r="T101">
        <f t="shared" si="22"/>
        <v>0.79700000000000004</v>
      </c>
      <c r="U101">
        <f t="shared" si="23"/>
        <v>1</v>
      </c>
      <c r="V101">
        <f t="shared" si="24"/>
        <v>0.79600000000000004</v>
      </c>
      <c r="W101">
        <f t="shared" si="25"/>
        <v>0.78500000000000003</v>
      </c>
      <c r="X101">
        <f t="shared" si="26"/>
        <v>1</v>
      </c>
      <c r="Y101">
        <f t="shared" si="27"/>
        <v>0.93779999999999997</v>
      </c>
    </row>
    <row r="102" spans="1:25" x14ac:dyDescent="0.35">
      <c r="A102">
        <v>99</v>
      </c>
      <c r="B102">
        <v>1000</v>
      </c>
      <c r="C102">
        <v>1000</v>
      </c>
      <c r="D102">
        <v>1000</v>
      </c>
      <c r="E102">
        <v>1000</v>
      </c>
      <c r="F102">
        <v>1000</v>
      </c>
      <c r="G102">
        <f>'[26]GABM_R03_SarahAPI-data'!$G101</f>
        <v>788</v>
      </c>
      <c r="H102">
        <v>1000</v>
      </c>
      <c r="I102">
        <f>'[28]GABM_R03_MitchellAPI-data'!$G101</f>
        <v>783</v>
      </c>
      <c r="J102">
        <f>'[29]GABM_R03_SudipaAPI-data'!$G101</f>
        <v>996</v>
      </c>
      <c r="K102">
        <v>1000</v>
      </c>
      <c r="L102">
        <f t="shared" si="15"/>
        <v>956.7</v>
      </c>
      <c r="N102">
        <f t="shared" si="16"/>
        <v>99</v>
      </c>
      <c r="O102">
        <f t="shared" si="17"/>
        <v>1</v>
      </c>
      <c r="P102">
        <f t="shared" si="18"/>
        <v>1</v>
      </c>
      <c r="Q102">
        <f t="shared" si="19"/>
        <v>1</v>
      </c>
      <c r="R102">
        <f t="shared" si="20"/>
        <v>1</v>
      </c>
      <c r="S102">
        <f t="shared" si="21"/>
        <v>1</v>
      </c>
      <c r="T102">
        <f t="shared" si="22"/>
        <v>0.78800000000000003</v>
      </c>
      <c r="U102">
        <f t="shared" si="23"/>
        <v>1</v>
      </c>
      <c r="V102">
        <f t="shared" si="24"/>
        <v>0.78300000000000003</v>
      </c>
      <c r="W102">
        <f t="shared" si="25"/>
        <v>0.996</v>
      </c>
      <c r="X102">
        <f t="shared" si="26"/>
        <v>1</v>
      </c>
      <c r="Y102">
        <f t="shared" si="27"/>
        <v>0.95669999999999999</v>
      </c>
    </row>
    <row r="103" spans="1:25" x14ac:dyDescent="0.35">
      <c r="A103">
        <v>100</v>
      </c>
      <c r="B103">
        <v>1000</v>
      </c>
      <c r="C103">
        <v>1000</v>
      </c>
      <c r="D103">
        <v>1000</v>
      </c>
      <c r="E103">
        <v>1000</v>
      </c>
      <c r="F103">
        <v>1000</v>
      </c>
      <c r="G103">
        <f>'[26]GABM_R03_SarahAPI-data'!$G102</f>
        <v>797</v>
      </c>
      <c r="H103">
        <v>1000</v>
      </c>
      <c r="I103">
        <f>'[28]GABM_R03_MitchellAPI-data'!$G102</f>
        <v>802</v>
      </c>
      <c r="J103">
        <f>'[29]GABM_R03_SudipaAPI-data'!$G102</f>
        <v>996</v>
      </c>
      <c r="K103">
        <v>1000</v>
      </c>
      <c r="L103">
        <f t="shared" si="15"/>
        <v>959.5</v>
      </c>
      <c r="N103">
        <f t="shared" si="16"/>
        <v>100</v>
      </c>
      <c r="O103">
        <f t="shared" si="17"/>
        <v>1</v>
      </c>
      <c r="P103">
        <f t="shared" si="18"/>
        <v>1</v>
      </c>
      <c r="Q103">
        <f t="shared" si="19"/>
        <v>1</v>
      </c>
      <c r="R103">
        <f t="shared" si="20"/>
        <v>1</v>
      </c>
      <c r="S103">
        <f t="shared" si="21"/>
        <v>1</v>
      </c>
      <c r="T103">
        <f t="shared" si="22"/>
        <v>0.79700000000000004</v>
      </c>
      <c r="U103">
        <f t="shared" si="23"/>
        <v>1</v>
      </c>
      <c r="V103">
        <f t="shared" si="24"/>
        <v>0.80200000000000005</v>
      </c>
      <c r="W103">
        <f t="shared" si="25"/>
        <v>0.996</v>
      </c>
      <c r="X103">
        <f t="shared" si="26"/>
        <v>1</v>
      </c>
      <c r="Y103">
        <f t="shared" si="27"/>
        <v>0.95950000000000002</v>
      </c>
    </row>
    <row r="104" spans="1:25" x14ac:dyDescent="0.35">
      <c r="A104">
        <v>101</v>
      </c>
      <c r="B104">
        <v>1000</v>
      </c>
      <c r="C104">
        <v>1000</v>
      </c>
      <c r="D104">
        <v>1000</v>
      </c>
      <c r="E104">
        <v>1000</v>
      </c>
      <c r="F104">
        <v>1000</v>
      </c>
      <c r="G104">
        <f>'[26]GABM_R03_SarahAPI-data'!$G103</f>
        <v>786</v>
      </c>
      <c r="H104">
        <v>1000</v>
      </c>
      <c r="I104">
        <f>'[28]GABM_R03_MitchellAPI-data'!$G103</f>
        <v>787</v>
      </c>
      <c r="J104">
        <f>'[29]GABM_R03_SudipaAPI-data'!$G103</f>
        <v>995</v>
      </c>
      <c r="K104">
        <v>1000</v>
      </c>
      <c r="L104">
        <f t="shared" si="15"/>
        <v>956.8</v>
      </c>
      <c r="N104">
        <f t="shared" si="16"/>
        <v>101</v>
      </c>
      <c r="O104">
        <f t="shared" si="17"/>
        <v>1</v>
      </c>
      <c r="P104">
        <f t="shared" si="18"/>
        <v>1</v>
      </c>
      <c r="Q104">
        <f t="shared" si="19"/>
        <v>1</v>
      </c>
      <c r="R104">
        <f t="shared" si="20"/>
        <v>1</v>
      </c>
      <c r="S104">
        <f t="shared" si="21"/>
        <v>1</v>
      </c>
      <c r="T104">
        <f t="shared" si="22"/>
        <v>0.78600000000000003</v>
      </c>
      <c r="U104">
        <f t="shared" si="23"/>
        <v>1</v>
      </c>
      <c r="V104">
        <f t="shared" si="24"/>
        <v>0.78700000000000003</v>
      </c>
      <c r="W104">
        <f t="shared" si="25"/>
        <v>0.995</v>
      </c>
      <c r="X104">
        <f t="shared" si="26"/>
        <v>1</v>
      </c>
      <c r="Y104">
        <f t="shared" si="27"/>
        <v>0.95679999999999998</v>
      </c>
    </row>
    <row r="105" spans="1:25" x14ac:dyDescent="0.35">
      <c r="A105">
        <v>102</v>
      </c>
      <c r="B105">
        <v>1000</v>
      </c>
      <c r="C105">
        <v>1000</v>
      </c>
      <c r="D105">
        <v>1000</v>
      </c>
      <c r="E105">
        <v>1000</v>
      </c>
      <c r="F105">
        <v>1000</v>
      </c>
      <c r="G105">
        <f>'[26]GABM_R03_SarahAPI-data'!$G104</f>
        <v>996</v>
      </c>
      <c r="H105">
        <v>1000</v>
      </c>
      <c r="I105">
        <f>'[28]GABM_R03_MitchellAPI-data'!$G104</f>
        <v>801</v>
      </c>
      <c r="J105">
        <f>'[29]GABM_R03_SudipaAPI-data'!$G104</f>
        <v>996</v>
      </c>
      <c r="K105">
        <v>1000</v>
      </c>
      <c r="L105">
        <f t="shared" si="15"/>
        <v>979.3</v>
      </c>
      <c r="N105">
        <f t="shared" si="16"/>
        <v>102</v>
      </c>
      <c r="O105">
        <f t="shared" si="17"/>
        <v>1</v>
      </c>
      <c r="P105">
        <f t="shared" si="18"/>
        <v>1</v>
      </c>
      <c r="Q105">
        <f t="shared" si="19"/>
        <v>1</v>
      </c>
      <c r="R105">
        <f t="shared" si="20"/>
        <v>1</v>
      </c>
      <c r="S105">
        <f t="shared" si="21"/>
        <v>1</v>
      </c>
      <c r="T105">
        <f t="shared" si="22"/>
        <v>0.996</v>
      </c>
      <c r="U105">
        <f t="shared" si="23"/>
        <v>1</v>
      </c>
      <c r="V105">
        <f t="shared" si="24"/>
        <v>0.80100000000000005</v>
      </c>
      <c r="W105">
        <f t="shared" si="25"/>
        <v>0.996</v>
      </c>
      <c r="X105">
        <f t="shared" si="26"/>
        <v>1</v>
      </c>
      <c r="Y105">
        <f t="shared" si="27"/>
        <v>0.97929999999999995</v>
      </c>
    </row>
    <row r="106" spans="1:25" x14ac:dyDescent="0.35">
      <c r="A106">
        <v>103</v>
      </c>
      <c r="B106">
        <v>1000</v>
      </c>
      <c r="C106">
        <v>1000</v>
      </c>
      <c r="D106">
        <v>1000</v>
      </c>
      <c r="E106">
        <v>1000</v>
      </c>
      <c r="F106">
        <v>1000</v>
      </c>
      <c r="G106">
        <f>'[26]GABM_R03_SarahAPI-data'!$G105</f>
        <v>995</v>
      </c>
      <c r="H106">
        <v>1000</v>
      </c>
      <c r="I106">
        <f>'[28]GABM_R03_MitchellAPI-data'!$G105</f>
        <v>786</v>
      </c>
      <c r="J106">
        <f>'[29]GABM_R03_SudipaAPI-data'!$G105</f>
        <v>795</v>
      </c>
      <c r="K106">
        <v>1000</v>
      </c>
      <c r="L106">
        <f t="shared" si="15"/>
        <v>957.6</v>
      </c>
      <c r="N106">
        <f t="shared" si="16"/>
        <v>103</v>
      </c>
      <c r="O106">
        <f t="shared" si="17"/>
        <v>1</v>
      </c>
      <c r="P106">
        <f t="shared" si="18"/>
        <v>1</v>
      </c>
      <c r="Q106">
        <f t="shared" si="19"/>
        <v>1</v>
      </c>
      <c r="R106">
        <f t="shared" si="20"/>
        <v>1</v>
      </c>
      <c r="S106">
        <f t="shared" si="21"/>
        <v>1</v>
      </c>
      <c r="T106">
        <f t="shared" si="22"/>
        <v>0.995</v>
      </c>
      <c r="U106">
        <f t="shared" si="23"/>
        <v>1</v>
      </c>
      <c r="V106">
        <f t="shared" si="24"/>
        <v>0.78600000000000003</v>
      </c>
      <c r="W106">
        <f t="shared" si="25"/>
        <v>0.79500000000000004</v>
      </c>
      <c r="X106">
        <f t="shared" si="26"/>
        <v>1</v>
      </c>
      <c r="Y106">
        <f t="shared" si="27"/>
        <v>0.95760000000000001</v>
      </c>
    </row>
    <row r="107" spans="1:25" x14ac:dyDescent="0.35">
      <c r="A107">
        <v>104</v>
      </c>
      <c r="B107">
        <v>1000</v>
      </c>
      <c r="C107">
        <v>1000</v>
      </c>
      <c r="D107">
        <v>1000</v>
      </c>
      <c r="E107">
        <v>1000</v>
      </c>
      <c r="F107">
        <v>1000</v>
      </c>
      <c r="G107">
        <f>'[26]GABM_R03_SarahAPI-data'!$G106</f>
        <v>998</v>
      </c>
      <c r="H107">
        <v>1000</v>
      </c>
      <c r="I107">
        <f>'[28]GABM_R03_MitchellAPI-data'!$G106</f>
        <v>805</v>
      </c>
      <c r="J107">
        <f>'[29]GABM_R03_SudipaAPI-data'!$G106</f>
        <v>780</v>
      </c>
      <c r="K107">
        <v>1000</v>
      </c>
      <c r="L107">
        <f t="shared" si="15"/>
        <v>958.3</v>
      </c>
      <c r="N107">
        <f t="shared" si="16"/>
        <v>104</v>
      </c>
      <c r="O107">
        <f t="shared" si="17"/>
        <v>1</v>
      </c>
      <c r="P107">
        <f t="shared" si="18"/>
        <v>1</v>
      </c>
      <c r="Q107">
        <f t="shared" si="19"/>
        <v>1</v>
      </c>
      <c r="R107">
        <f t="shared" si="20"/>
        <v>1</v>
      </c>
      <c r="S107">
        <f t="shared" si="21"/>
        <v>1</v>
      </c>
      <c r="T107">
        <f t="shared" si="22"/>
        <v>0.998</v>
      </c>
      <c r="U107">
        <f t="shared" si="23"/>
        <v>1</v>
      </c>
      <c r="V107">
        <f t="shared" si="24"/>
        <v>0.80500000000000005</v>
      </c>
      <c r="W107">
        <f t="shared" si="25"/>
        <v>0.78</v>
      </c>
      <c r="X107">
        <f t="shared" si="26"/>
        <v>1</v>
      </c>
      <c r="Y107">
        <f t="shared" si="27"/>
        <v>0.95829999999999993</v>
      </c>
    </row>
    <row r="108" spans="1:25" x14ac:dyDescent="0.35">
      <c r="A108">
        <v>105</v>
      </c>
      <c r="B108">
        <v>1000</v>
      </c>
      <c r="C108">
        <v>1000</v>
      </c>
      <c r="D108">
        <v>1000</v>
      </c>
      <c r="E108">
        <v>1000</v>
      </c>
      <c r="F108">
        <v>1000</v>
      </c>
      <c r="G108">
        <f>'[26]GABM_R03_SarahAPI-data'!$G107</f>
        <v>996</v>
      </c>
      <c r="H108">
        <v>1000</v>
      </c>
      <c r="I108">
        <f>'[28]GABM_R03_MitchellAPI-data'!$G107</f>
        <v>997</v>
      </c>
      <c r="J108">
        <f>'[29]GABM_R03_SudipaAPI-data'!$G107</f>
        <v>993</v>
      </c>
      <c r="K108">
        <v>1000</v>
      </c>
      <c r="L108">
        <f t="shared" si="15"/>
        <v>998.6</v>
      </c>
      <c r="N108">
        <f t="shared" si="16"/>
        <v>105</v>
      </c>
      <c r="O108">
        <f t="shared" si="17"/>
        <v>1</v>
      </c>
      <c r="P108">
        <f t="shared" si="18"/>
        <v>1</v>
      </c>
      <c r="Q108">
        <f t="shared" si="19"/>
        <v>1</v>
      </c>
      <c r="R108">
        <f t="shared" si="20"/>
        <v>1</v>
      </c>
      <c r="S108">
        <f t="shared" si="21"/>
        <v>1</v>
      </c>
      <c r="T108">
        <f t="shared" si="22"/>
        <v>0.996</v>
      </c>
      <c r="U108">
        <f t="shared" si="23"/>
        <v>1</v>
      </c>
      <c r="V108">
        <f t="shared" si="24"/>
        <v>0.997</v>
      </c>
      <c r="W108">
        <f t="shared" si="25"/>
        <v>0.99299999999999999</v>
      </c>
      <c r="X108">
        <f t="shared" si="26"/>
        <v>1</v>
      </c>
      <c r="Y108">
        <f t="shared" si="27"/>
        <v>0.99860000000000004</v>
      </c>
    </row>
    <row r="109" spans="1:25" x14ac:dyDescent="0.35">
      <c r="A109">
        <v>106</v>
      </c>
      <c r="B109">
        <v>1000</v>
      </c>
      <c r="C109">
        <v>1000</v>
      </c>
      <c r="D109">
        <v>1000</v>
      </c>
      <c r="E109">
        <v>1000</v>
      </c>
      <c r="F109">
        <v>1000</v>
      </c>
      <c r="G109">
        <f>'[26]GABM_R03_SarahAPI-data'!$G108</f>
        <v>796</v>
      </c>
      <c r="H109">
        <v>1000</v>
      </c>
      <c r="I109">
        <f>'[28]GABM_R03_MitchellAPI-data'!$G108</f>
        <v>999</v>
      </c>
      <c r="J109">
        <f>'[29]GABM_R03_SudipaAPI-data'!$G108</f>
        <v>996</v>
      </c>
      <c r="K109">
        <v>1000</v>
      </c>
      <c r="L109">
        <f t="shared" si="15"/>
        <v>979.1</v>
      </c>
      <c r="N109">
        <f t="shared" si="16"/>
        <v>106</v>
      </c>
      <c r="O109">
        <f t="shared" si="17"/>
        <v>1</v>
      </c>
      <c r="P109">
        <f t="shared" si="18"/>
        <v>1</v>
      </c>
      <c r="Q109">
        <f t="shared" si="19"/>
        <v>1</v>
      </c>
      <c r="R109">
        <f t="shared" si="20"/>
        <v>1</v>
      </c>
      <c r="S109">
        <f t="shared" si="21"/>
        <v>1</v>
      </c>
      <c r="T109">
        <f t="shared" si="22"/>
        <v>0.79600000000000004</v>
      </c>
      <c r="U109">
        <f t="shared" si="23"/>
        <v>1</v>
      </c>
      <c r="V109">
        <f t="shared" si="24"/>
        <v>0.999</v>
      </c>
      <c r="W109">
        <f t="shared" si="25"/>
        <v>0.996</v>
      </c>
      <c r="X109">
        <f t="shared" si="26"/>
        <v>1</v>
      </c>
      <c r="Y109">
        <f t="shared" si="27"/>
        <v>0.97909999999999997</v>
      </c>
    </row>
    <row r="110" spans="1:25" x14ac:dyDescent="0.35">
      <c r="A110">
        <v>107</v>
      </c>
      <c r="B110">
        <v>1000</v>
      </c>
      <c r="C110">
        <v>1000</v>
      </c>
      <c r="D110">
        <v>1000</v>
      </c>
      <c r="E110">
        <v>1000</v>
      </c>
      <c r="F110">
        <v>1000</v>
      </c>
      <c r="G110">
        <f>'[26]GABM_R03_SarahAPI-data'!$G109</f>
        <v>800</v>
      </c>
      <c r="H110">
        <v>1000</v>
      </c>
      <c r="I110">
        <f>'[28]GABM_R03_MitchellAPI-data'!$G109</f>
        <v>1000</v>
      </c>
      <c r="J110">
        <f>'[29]GABM_R03_SudipaAPI-data'!$G109</f>
        <v>996</v>
      </c>
      <c r="K110">
        <v>1000</v>
      </c>
      <c r="L110">
        <f t="shared" si="15"/>
        <v>979.6</v>
      </c>
      <c r="N110">
        <f t="shared" si="16"/>
        <v>107</v>
      </c>
      <c r="O110">
        <f t="shared" si="17"/>
        <v>1</v>
      </c>
      <c r="P110">
        <f t="shared" si="18"/>
        <v>1</v>
      </c>
      <c r="Q110">
        <f t="shared" si="19"/>
        <v>1</v>
      </c>
      <c r="R110">
        <f t="shared" si="20"/>
        <v>1</v>
      </c>
      <c r="S110">
        <f t="shared" si="21"/>
        <v>1</v>
      </c>
      <c r="T110">
        <f t="shared" si="22"/>
        <v>0.8</v>
      </c>
      <c r="U110">
        <f t="shared" si="23"/>
        <v>1</v>
      </c>
      <c r="V110">
        <f t="shared" si="24"/>
        <v>1</v>
      </c>
      <c r="W110">
        <f t="shared" si="25"/>
        <v>0.996</v>
      </c>
      <c r="X110">
        <f t="shared" si="26"/>
        <v>1</v>
      </c>
      <c r="Y110">
        <f t="shared" si="27"/>
        <v>0.97960000000000003</v>
      </c>
    </row>
    <row r="111" spans="1:25" x14ac:dyDescent="0.35">
      <c r="A111">
        <v>108</v>
      </c>
      <c r="B111">
        <v>1000</v>
      </c>
      <c r="C111">
        <v>1000</v>
      </c>
      <c r="D111">
        <v>1000</v>
      </c>
      <c r="E111">
        <v>1000</v>
      </c>
      <c r="F111">
        <v>1000</v>
      </c>
      <c r="G111">
        <f>'[26]GABM_R03_SarahAPI-data'!$G110</f>
        <v>800</v>
      </c>
      <c r="H111">
        <v>1000</v>
      </c>
      <c r="I111">
        <f>'[28]GABM_R03_MitchellAPI-data'!$G110</f>
        <v>998</v>
      </c>
      <c r="J111">
        <f>'[29]GABM_R03_SudipaAPI-data'!$G110</f>
        <v>996</v>
      </c>
      <c r="K111">
        <v>1000</v>
      </c>
      <c r="L111">
        <f t="shared" si="15"/>
        <v>979.4</v>
      </c>
      <c r="N111">
        <f t="shared" si="16"/>
        <v>108</v>
      </c>
      <c r="O111">
        <f t="shared" si="17"/>
        <v>1</v>
      </c>
      <c r="P111">
        <f t="shared" si="18"/>
        <v>1</v>
      </c>
      <c r="Q111">
        <f t="shared" si="19"/>
        <v>1</v>
      </c>
      <c r="R111">
        <f t="shared" si="20"/>
        <v>1</v>
      </c>
      <c r="S111">
        <f t="shared" si="21"/>
        <v>1</v>
      </c>
      <c r="T111">
        <f t="shared" si="22"/>
        <v>0.8</v>
      </c>
      <c r="U111">
        <f t="shared" si="23"/>
        <v>1</v>
      </c>
      <c r="V111">
        <f t="shared" si="24"/>
        <v>0.998</v>
      </c>
      <c r="W111">
        <f t="shared" si="25"/>
        <v>0.996</v>
      </c>
      <c r="X111">
        <f t="shared" si="26"/>
        <v>1</v>
      </c>
      <c r="Y111">
        <f t="shared" si="27"/>
        <v>0.97939999999999994</v>
      </c>
    </row>
    <row r="112" spans="1:25" x14ac:dyDescent="0.35">
      <c r="A112">
        <v>109</v>
      </c>
      <c r="B112">
        <v>1000</v>
      </c>
      <c r="C112">
        <v>1000</v>
      </c>
      <c r="D112">
        <v>1000</v>
      </c>
      <c r="E112">
        <v>1000</v>
      </c>
      <c r="F112">
        <v>1000</v>
      </c>
      <c r="G112">
        <f>'[26]GABM_R03_SarahAPI-data'!$G111</f>
        <v>802</v>
      </c>
      <c r="H112">
        <v>1000</v>
      </c>
      <c r="I112">
        <f>'[28]GABM_R03_MitchellAPI-data'!$G111</f>
        <v>789</v>
      </c>
      <c r="J112">
        <f>'[29]GABM_R03_SudipaAPI-data'!$G111</f>
        <v>793</v>
      </c>
      <c r="K112">
        <v>1000</v>
      </c>
      <c r="L112">
        <f t="shared" si="15"/>
        <v>938.4</v>
      </c>
      <c r="N112">
        <f t="shared" si="16"/>
        <v>109</v>
      </c>
      <c r="O112">
        <f t="shared" si="17"/>
        <v>1</v>
      </c>
      <c r="P112">
        <f t="shared" si="18"/>
        <v>1</v>
      </c>
      <c r="Q112">
        <f t="shared" si="19"/>
        <v>1</v>
      </c>
      <c r="R112">
        <f t="shared" si="20"/>
        <v>1</v>
      </c>
      <c r="S112">
        <f t="shared" si="21"/>
        <v>1</v>
      </c>
      <c r="T112">
        <f t="shared" si="22"/>
        <v>0.80200000000000005</v>
      </c>
      <c r="U112">
        <f t="shared" si="23"/>
        <v>1</v>
      </c>
      <c r="V112">
        <f t="shared" si="24"/>
        <v>0.78900000000000003</v>
      </c>
      <c r="W112">
        <f t="shared" si="25"/>
        <v>0.79300000000000004</v>
      </c>
      <c r="X112">
        <f t="shared" si="26"/>
        <v>1</v>
      </c>
      <c r="Y112">
        <f t="shared" si="27"/>
        <v>0.93840000000000001</v>
      </c>
    </row>
    <row r="113" spans="1:25" x14ac:dyDescent="0.35">
      <c r="A113">
        <v>110</v>
      </c>
      <c r="B113">
        <v>1000</v>
      </c>
      <c r="C113">
        <v>1000</v>
      </c>
      <c r="D113">
        <v>1000</v>
      </c>
      <c r="E113">
        <v>1000</v>
      </c>
      <c r="F113">
        <v>1000</v>
      </c>
      <c r="G113">
        <f>'[26]GABM_R03_SarahAPI-data'!$G112</f>
        <v>803</v>
      </c>
      <c r="H113">
        <v>1000</v>
      </c>
      <c r="I113">
        <f>'[28]GABM_R03_MitchellAPI-data'!$G112</f>
        <v>811</v>
      </c>
      <c r="J113">
        <f>'[29]GABM_R03_SudipaAPI-data'!$G112</f>
        <v>787</v>
      </c>
      <c r="K113">
        <v>1000</v>
      </c>
      <c r="L113">
        <f t="shared" si="15"/>
        <v>940.1</v>
      </c>
      <c r="N113">
        <f t="shared" si="16"/>
        <v>110</v>
      </c>
      <c r="O113">
        <f t="shared" si="17"/>
        <v>1</v>
      </c>
      <c r="P113">
        <f t="shared" si="18"/>
        <v>1</v>
      </c>
      <c r="Q113">
        <f t="shared" si="19"/>
        <v>1</v>
      </c>
      <c r="R113">
        <f t="shared" si="20"/>
        <v>1</v>
      </c>
      <c r="S113">
        <f t="shared" si="21"/>
        <v>1</v>
      </c>
      <c r="T113">
        <f t="shared" si="22"/>
        <v>0.80300000000000005</v>
      </c>
      <c r="U113">
        <f t="shared" si="23"/>
        <v>1</v>
      </c>
      <c r="V113">
        <f t="shared" si="24"/>
        <v>0.81100000000000005</v>
      </c>
      <c r="W113">
        <f t="shared" si="25"/>
        <v>0.78700000000000003</v>
      </c>
      <c r="X113">
        <f t="shared" si="26"/>
        <v>1</v>
      </c>
      <c r="Y113">
        <f t="shared" si="27"/>
        <v>0.94010000000000005</v>
      </c>
    </row>
    <row r="114" spans="1:25" x14ac:dyDescent="0.35">
      <c r="A114">
        <v>111</v>
      </c>
      <c r="B114">
        <v>1000</v>
      </c>
      <c r="C114">
        <v>1000</v>
      </c>
      <c r="D114">
        <v>1000</v>
      </c>
      <c r="E114">
        <v>1000</v>
      </c>
      <c r="F114">
        <v>1000</v>
      </c>
      <c r="G114">
        <f>'[26]GABM_R03_SarahAPI-data'!$G113</f>
        <v>806</v>
      </c>
      <c r="H114">
        <v>1000</v>
      </c>
      <c r="I114">
        <f>'[28]GABM_R03_MitchellAPI-data'!$G113</f>
        <v>807</v>
      </c>
      <c r="J114">
        <f>'[29]GABM_R03_SudipaAPI-data'!$G113</f>
        <v>997</v>
      </c>
      <c r="K114">
        <v>1000</v>
      </c>
      <c r="L114">
        <f t="shared" si="15"/>
        <v>961</v>
      </c>
      <c r="N114">
        <f t="shared" si="16"/>
        <v>111</v>
      </c>
      <c r="O114">
        <f t="shared" si="17"/>
        <v>1</v>
      </c>
      <c r="P114">
        <f t="shared" si="18"/>
        <v>1</v>
      </c>
      <c r="Q114">
        <f t="shared" si="19"/>
        <v>1</v>
      </c>
      <c r="R114">
        <f t="shared" si="20"/>
        <v>1</v>
      </c>
      <c r="S114">
        <f t="shared" si="21"/>
        <v>1</v>
      </c>
      <c r="T114">
        <f t="shared" si="22"/>
        <v>0.80600000000000005</v>
      </c>
      <c r="U114">
        <f t="shared" si="23"/>
        <v>1</v>
      </c>
      <c r="V114">
        <f t="shared" si="24"/>
        <v>0.80700000000000005</v>
      </c>
      <c r="W114">
        <f t="shared" si="25"/>
        <v>0.997</v>
      </c>
      <c r="X114">
        <f t="shared" si="26"/>
        <v>1</v>
      </c>
      <c r="Y114">
        <f t="shared" si="27"/>
        <v>0.96099999999999997</v>
      </c>
    </row>
    <row r="115" spans="1:25" x14ac:dyDescent="0.35">
      <c r="A115">
        <v>112</v>
      </c>
      <c r="B115">
        <v>1000</v>
      </c>
      <c r="C115">
        <v>1000</v>
      </c>
      <c r="D115">
        <v>1000</v>
      </c>
      <c r="E115">
        <v>1000</v>
      </c>
      <c r="F115">
        <v>1000</v>
      </c>
      <c r="G115">
        <f>'[26]GABM_R03_SarahAPI-data'!$G114</f>
        <v>803</v>
      </c>
      <c r="H115">
        <v>1000</v>
      </c>
      <c r="I115">
        <f>'[28]GABM_R03_MitchellAPI-data'!$G114</f>
        <v>799</v>
      </c>
      <c r="J115">
        <f>'[29]GABM_R03_SudipaAPI-data'!$G114</f>
        <v>766</v>
      </c>
      <c r="K115">
        <v>1000</v>
      </c>
      <c r="L115">
        <f t="shared" si="15"/>
        <v>936.8</v>
      </c>
      <c r="N115">
        <f t="shared" si="16"/>
        <v>112</v>
      </c>
      <c r="O115">
        <f t="shared" si="17"/>
        <v>1</v>
      </c>
      <c r="P115">
        <f t="shared" si="18"/>
        <v>1</v>
      </c>
      <c r="Q115">
        <f t="shared" si="19"/>
        <v>1</v>
      </c>
      <c r="R115">
        <f t="shared" si="20"/>
        <v>1</v>
      </c>
      <c r="S115">
        <f t="shared" si="21"/>
        <v>1</v>
      </c>
      <c r="T115">
        <f t="shared" si="22"/>
        <v>0.80300000000000005</v>
      </c>
      <c r="U115">
        <f t="shared" si="23"/>
        <v>1</v>
      </c>
      <c r="V115">
        <f t="shared" si="24"/>
        <v>0.79900000000000004</v>
      </c>
      <c r="W115">
        <f t="shared" si="25"/>
        <v>0.76600000000000001</v>
      </c>
      <c r="X115">
        <f t="shared" si="26"/>
        <v>1</v>
      </c>
      <c r="Y115">
        <f t="shared" si="27"/>
        <v>0.93679999999999997</v>
      </c>
    </row>
    <row r="116" spans="1:25" x14ac:dyDescent="0.35">
      <c r="A116">
        <v>113</v>
      </c>
      <c r="B116">
        <v>1000</v>
      </c>
      <c r="C116">
        <v>1000</v>
      </c>
      <c r="D116">
        <v>1000</v>
      </c>
      <c r="E116">
        <v>1000</v>
      </c>
      <c r="F116">
        <v>1000</v>
      </c>
      <c r="G116">
        <f>'[26]GABM_R03_SarahAPI-data'!$G115</f>
        <v>803</v>
      </c>
      <c r="H116">
        <v>1000</v>
      </c>
      <c r="I116">
        <f>'[28]GABM_R03_MitchellAPI-data'!$G115</f>
        <v>803</v>
      </c>
      <c r="J116">
        <f>'[29]GABM_R03_SudipaAPI-data'!$G115</f>
        <v>785</v>
      </c>
      <c r="K116">
        <v>1000</v>
      </c>
      <c r="L116">
        <f t="shared" si="15"/>
        <v>939.1</v>
      </c>
      <c r="N116">
        <f t="shared" si="16"/>
        <v>113</v>
      </c>
      <c r="O116">
        <f t="shared" si="17"/>
        <v>1</v>
      </c>
      <c r="P116">
        <f t="shared" si="18"/>
        <v>1</v>
      </c>
      <c r="Q116">
        <f t="shared" si="19"/>
        <v>1</v>
      </c>
      <c r="R116">
        <f t="shared" si="20"/>
        <v>1</v>
      </c>
      <c r="S116">
        <f t="shared" si="21"/>
        <v>1</v>
      </c>
      <c r="T116">
        <f t="shared" si="22"/>
        <v>0.80300000000000005</v>
      </c>
      <c r="U116">
        <f t="shared" si="23"/>
        <v>1</v>
      </c>
      <c r="V116">
        <f t="shared" si="24"/>
        <v>0.80300000000000005</v>
      </c>
      <c r="W116">
        <f t="shared" si="25"/>
        <v>0.78500000000000003</v>
      </c>
      <c r="X116">
        <f t="shared" si="26"/>
        <v>1</v>
      </c>
      <c r="Y116">
        <f t="shared" si="27"/>
        <v>0.93910000000000005</v>
      </c>
    </row>
    <row r="117" spans="1:25" x14ac:dyDescent="0.35">
      <c r="A117">
        <v>114</v>
      </c>
      <c r="B117">
        <v>1000</v>
      </c>
      <c r="C117">
        <v>1000</v>
      </c>
      <c r="D117">
        <v>1000</v>
      </c>
      <c r="E117">
        <v>1000</v>
      </c>
      <c r="F117">
        <v>1000</v>
      </c>
      <c r="G117">
        <f>'[26]GABM_R03_SarahAPI-data'!$G116</f>
        <v>778</v>
      </c>
      <c r="H117">
        <v>1000</v>
      </c>
      <c r="I117">
        <f>'[28]GABM_R03_MitchellAPI-data'!$G116</f>
        <v>997</v>
      </c>
      <c r="J117">
        <f>'[29]GABM_R03_SudipaAPI-data'!$G116</f>
        <v>994</v>
      </c>
      <c r="K117">
        <v>1000</v>
      </c>
      <c r="L117">
        <f t="shared" si="15"/>
        <v>976.9</v>
      </c>
      <c r="N117">
        <f t="shared" si="16"/>
        <v>114</v>
      </c>
      <c r="O117">
        <f t="shared" si="17"/>
        <v>1</v>
      </c>
      <c r="P117">
        <f t="shared" si="18"/>
        <v>1</v>
      </c>
      <c r="Q117">
        <f t="shared" si="19"/>
        <v>1</v>
      </c>
      <c r="R117">
        <f t="shared" si="20"/>
        <v>1</v>
      </c>
      <c r="S117">
        <f t="shared" si="21"/>
        <v>1</v>
      </c>
      <c r="T117">
        <f t="shared" si="22"/>
        <v>0.77800000000000002</v>
      </c>
      <c r="U117">
        <f t="shared" si="23"/>
        <v>1</v>
      </c>
      <c r="V117">
        <f t="shared" si="24"/>
        <v>0.997</v>
      </c>
      <c r="W117">
        <f t="shared" si="25"/>
        <v>0.99399999999999999</v>
      </c>
      <c r="X117">
        <f t="shared" si="26"/>
        <v>1</v>
      </c>
      <c r="Y117">
        <f t="shared" si="27"/>
        <v>0.97689999999999999</v>
      </c>
    </row>
    <row r="118" spans="1:25" x14ac:dyDescent="0.35">
      <c r="A118">
        <v>115</v>
      </c>
      <c r="B118">
        <v>1000</v>
      </c>
      <c r="C118">
        <v>1000</v>
      </c>
      <c r="D118">
        <v>1000</v>
      </c>
      <c r="E118">
        <v>1000</v>
      </c>
      <c r="F118">
        <v>1000</v>
      </c>
      <c r="G118">
        <f>'[26]GABM_R03_SarahAPI-data'!$G117</f>
        <v>784</v>
      </c>
      <c r="H118">
        <v>1000</v>
      </c>
      <c r="I118">
        <f>'[28]GABM_R03_MitchellAPI-data'!$G117</f>
        <v>999</v>
      </c>
      <c r="J118">
        <f>'[29]GABM_R03_SudipaAPI-data'!$G117</f>
        <v>787</v>
      </c>
      <c r="K118">
        <v>1000</v>
      </c>
      <c r="L118">
        <f t="shared" si="15"/>
        <v>957</v>
      </c>
      <c r="N118">
        <f t="shared" si="16"/>
        <v>115</v>
      </c>
      <c r="O118">
        <f t="shared" si="17"/>
        <v>1</v>
      </c>
      <c r="P118">
        <f t="shared" si="18"/>
        <v>1</v>
      </c>
      <c r="Q118">
        <f t="shared" si="19"/>
        <v>1</v>
      </c>
      <c r="R118">
        <f t="shared" si="20"/>
        <v>1</v>
      </c>
      <c r="S118">
        <f t="shared" si="21"/>
        <v>1</v>
      </c>
      <c r="T118">
        <f t="shared" si="22"/>
        <v>0.78400000000000003</v>
      </c>
      <c r="U118">
        <f t="shared" si="23"/>
        <v>1</v>
      </c>
      <c r="V118">
        <f t="shared" si="24"/>
        <v>0.999</v>
      </c>
      <c r="W118">
        <f t="shared" si="25"/>
        <v>0.78700000000000003</v>
      </c>
      <c r="X118">
        <f t="shared" si="26"/>
        <v>1</v>
      </c>
      <c r="Y118">
        <f t="shared" si="27"/>
        <v>0.95699999999999996</v>
      </c>
    </row>
    <row r="119" spans="1:25" x14ac:dyDescent="0.35">
      <c r="A119">
        <v>116</v>
      </c>
      <c r="B119">
        <v>1000</v>
      </c>
      <c r="C119">
        <v>1000</v>
      </c>
      <c r="D119">
        <v>1000</v>
      </c>
      <c r="E119">
        <v>1000</v>
      </c>
      <c r="F119">
        <v>1000</v>
      </c>
      <c r="G119">
        <f>'[26]GABM_R03_SarahAPI-data'!$G118</f>
        <v>797</v>
      </c>
      <c r="H119">
        <v>1000</v>
      </c>
      <c r="I119">
        <v>1000</v>
      </c>
      <c r="J119">
        <f>'[29]GABM_R03_SudipaAPI-data'!$G118</f>
        <v>783</v>
      </c>
      <c r="K119">
        <v>1000</v>
      </c>
      <c r="L119">
        <f t="shared" si="15"/>
        <v>958</v>
      </c>
      <c r="N119">
        <f t="shared" si="16"/>
        <v>116</v>
      </c>
      <c r="O119">
        <f t="shared" si="17"/>
        <v>1</v>
      </c>
      <c r="P119">
        <f t="shared" si="18"/>
        <v>1</v>
      </c>
      <c r="Q119">
        <f t="shared" si="19"/>
        <v>1</v>
      </c>
      <c r="R119">
        <f t="shared" si="20"/>
        <v>1</v>
      </c>
      <c r="S119">
        <f t="shared" si="21"/>
        <v>1</v>
      </c>
      <c r="T119">
        <f t="shared" si="22"/>
        <v>0.79700000000000004</v>
      </c>
      <c r="U119">
        <f t="shared" si="23"/>
        <v>1</v>
      </c>
      <c r="V119">
        <f t="shared" si="24"/>
        <v>1</v>
      </c>
      <c r="W119">
        <f t="shared" si="25"/>
        <v>0.78300000000000003</v>
      </c>
      <c r="X119">
        <f t="shared" si="26"/>
        <v>1</v>
      </c>
      <c r="Y119">
        <f t="shared" si="27"/>
        <v>0.95799999999999996</v>
      </c>
    </row>
    <row r="120" spans="1:25" x14ac:dyDescent="0.35">
      <c r="A120">
        <v>117</v>
      </c>
      <c r="B120">
        <v>1000</v>
      </c>
      <c r="C120">
        <v>1000</v>
      </c>
      <c r="D120">
        <v>1000</v>
      </c>
      <c r="E120">
        <v>1000</v>
      </c>
      <c r="F120">
        <v>1000</v>
      </c>
      <c r="G120">
        <f>'[26]GABM_R03_SarahAPI-data'!$G119</f>
        <v>548</v>
      </c>
      <c r="H120">
        <v>1000</v>
      </c>
      <c r="I120">
        <v>1000</v>
      </c>
      <c r="J120">
        <f>'[29]GABM_R03_SudipaAPI-data'!$G119</f>
        <v>772</v>
      </c>
      <c r="K120">
        <v>1000</v>
      </c>
      <c r="L120">
        <f t="shared" si="15"/>
        <v>932</v>
      </c>
      <c r="N120">
        <f t="shared" si="16"/>
        <v>117</v>
      </c>
      <c r="O120">
        <f t="shared" si="17"/>
        <v>1</v>
      </c>
      <c r="P120">
        <f t="shared" si="18"/>
        <v>1</v>
      </c>
      <c r="Q120">
        <f t="shared" si="19"/>
        <v>1</v>
      </c>
      <c r="R120">
        <f t="shared" si="20"/>
        <v>1</v>
      </c>
      <c r="S120">
        <f t="shared" si="21"/>
        <v>1</v>
      </c>
      <c r="T120">
        <f t="shared" si="22"/>
        <v>0.54800000000000004</v>
      </c>
      <c r="U120">
        <f t="shared" si="23"/>
        <v>1</v>
      </c>
      <c r="V120">
        <f t="shared" si="24"/>
        <v>1</v>
      </c>
      <c r="W120">
        <f t="shared" si="25"/>
        <v>0.77200000000000002</v>
      </c>
      <c r="X120">
        <f t="shared" si="26"/>
        <v>1</v>
      </c>
      <c r="Y120">
        <f t="shared" si="27"/>
        <v>0.93200000000000005</v>
      </c>
    </row>
    <row r="121" spans="1:25" x14ac:dyDescent="0.35">
      <c r="A121">
        <v>118</v>
      </c>
      <c r="B121">
        <v>1000</v>
      </c>
      <c r="C121">
        <v>1000</v>
      </c>
      <c r="D121">
        <v>1000</v>
      </c>
      <c r="E121">
        <v>1000</v>
      </c>
      <c r="F121">
        <v>1000</v>
      </c>
      <c r="G121">
        <f>'[26]GABM_R03_SarahAPI-data'!$G120</f>
        <v>793</v>
      </c>
      <c r="H121">
        <v>1000</v>
      </c>
      <c r="I121">
        <v>1000</v>
      </c>
      <c r="J121">
        <f>'[29]GABM_R03_SudipaAPI-data'!$G120</f>
        <v>717</v>
      </c>
      <c r="K121">
        <v>1000</v>
      </c>
      <c r="L121">
        <f t="shared" ref="L121:L184" si="28">AVERAGE(B121:K121)</f>
        <v>951</v>
      </c>
      <c r="N121">
        <f t="shared" si="16"/>
        <v>118</v>
      </c>
      <c r="O121">
        <f t="shared" si="17"/>
        <v>1</v>
      </c>
      <c r="P121">
        <f t="shared" si="18"/>
        <v>1</v>
      </c>
      <c r="Q121">
        <f t="shared" si="19"/>
        <v>1</v>
      </c>
      <c r="R121">
        <f t="shared" si="20"/>
        <v>1</v>
      </c>
      <c r="S121">
        <f t="shared" si="21"/>
        <v>1</v>
      </c>
      <c r="T121">
        <f t="shared" si="22"/>
        <v>0.79300000000000004</v>
      </c>
      <c r="U121">
        <f t="shared" si="23"/>
        <v>1</v>
      </c>
      <c r="V121">
        <f t="shared" si="24"/>
        <v>1</v>
      </c>
      <c r="W121">
        <f t="shared" si="25"/>
        <v>0.71699999999999997</v>
      </c>
      <c r="X121">
        <f t="shared" si="26"/>
        <v>1</v>
      </c>
      <c r="Y121">
        <f t="shared" si="27"/>
        <v>0.95099999999999996</v>
      </c>
    </row>
    <row r="122" spans="1:25" x14ac:dyDescent="0.35">
      <c r="A122">
        <v>119</v>
      </c>
      <c r="B122">
        <v>1000</v>
      </c>
      <c r="C122">
        <v>1000</v>
      </c>
      <c r="D122">
        <v>1000</v>
      </c>
      <c r="E122">
        <v>1000</v>
      </c>
      <c r="F122">
        <v>1000</v>
      </c>
      <c r="G122">
        <f>'[26]GABM_R03_SarahAPI-data'!$G121</f>
        <v>804</v>
      </c>
      <c r="H122">
        <v>1000</v>
      </c>
      <c r="I122">
        <v>1000</v>
      </c>
      <c r="J122">
        <f>'[29]GABM_R03_SudipaAPI-data'!$G121</f>
        <v>769</v>
      </c>
      <c r="K122">
        <v>1000</v>
      </c>
      <c r="L122">
        <f t="shared" si="28"/>
        <v>957.3</v>
      </c>
      <c r="N122">
        <f t="shared" si="16"/>
        <v>119</v>
      </c>
      <c r="O122">
        <f t="shared" si="17"/>
        <v>1</v>
      </c>
      <c r="P122">
        <f t="shared" si="18"/>
        <v>1</v>
      </c>
      <c r="Q122">
        <f t="shared" si="19"/>
        <v>1</v>
      </c>
      <c r="R122">
        <f t="shared" si="20"/>
        <v>1</v>
      </c>
      <c r="S122">
        <f t="shared" si="21"/>
        <v>1</v>
      </c>
      <c r="T122">
        <f t="shared" si="22"/>
        <v>0.80400000000000005</v>
      </c>
      <c r="U122">
        <f t="shared" si="23"/>
        <v>1</v>
      </c>
      <c r="V122">
        <f t="shared" si="24"/>
        <v>1</v>
      </c>
      <c r="W122">
        <f t="shared" si="25"/>
        <v>0.76900000000000002</v>
      </c>
      <c r="X122">
        <f t="shared" si="26"/>
        <v>1</v>
      </c>
      <c r="Y122">
        <f t="shared" si="27"/>
        <v>0.95729999999999993</v>
      </c>
    </row>
    <row r="123" spans="1:25" x14ac:dyDescent="0.35">
      <c r="A123">
        <v>120</v>
      </c>
      <c r="B123">
        <v>1000</v>
      </c>
      <c r="C123">
        <v>1000</v>
      </c>
      <c r="D123">
        <v>1000</v>
      </c>
      <c r="E123">
        <v>1000</v>
      </c>
      <c r="F123">
        <v>1000</v>
      </c>
      <c r="G123">
        <f>'[26]GABM_R03_SarahAPI-data'!$G122</f>
        <v>796</v>
      </c>
      <c r="H123">
        <v>1000</v>
      </c>
      <c r="I123">
        <v>1000</v>
      </c>
      <c r="J123">
        <f>'[29]GABM_R03_SudipaAPI-data'!$G122</f>
        <v>772</v>
      </c>
      <c r="K123">
        <v>1000</v>
      </c>
      <c r="L123">
        <f t="shared" si="28"/>
        <v>956.8</v>
      </c>
      <c r="N123">
        <f t="shared" si="16"/>
        <v>120</v>
      </c>
      <c r="O123">
        <f t="shared" si="17"/>
        <v>1</v>
      </c>
      <c r="P123">
        <f t="shared" si="18"/>
        <v>1</v>
      </c>
      <c r="Q123">
        <f t="shared" si="19"/>
        <v>1</v>
      </c>
      <c r="R123">
        <f t="shared" si="20"/>
        <v>1</v>
      </c>
      <c r="S123">
        <f t="shared" si="21"/>
        <v>1</v>
      </c>
      <c r="T123">
        <f t="shared" si="22"/>
        <v>0.79600000000000004</v>
      </c>
      <c r="U123">
        <f t="shared" si="23"/>
        <v>1</v>
      </c>
      <c r="V123">
        <f t="shared" si="24"/>
        <v>1</v>
      </c>
      <c r="W123">
        <f t="shared" si="25"/>
        <v>0.77200000000000002</v>
      </c>
      <c r="X123">
        <f t="shared" si="26"/>
        <v>1</v>
      </c>
      <c r="Y123">
        <f t="shared" si="27"/>
        <v>0.95679999999999998</v>
      </c>
    </row>
    <row r="124" spans="1:25" x14ac:dyDescent="0.35">
      <c r="A124">
        <v>121</v>
      </c>
      <c r="B124">
        <v>1000</v>
      </c>
      <c r="C124">
        <v>1000</v>
      </c>
      <c r="D124">
        <v>1000</v>
      </c>
      <c r="E124">
        <v>1000</v>
      </c>
      <c r="F124">
        <v>1000</v>
      </c>
      <c r="G124">
        <f>'[26]GABM_R03_SarahAPI-data'!$G123</f>
        <v>794</v>
      </c>
      <c r="H124">
        <v>1000</v>
      </c>
      <c r="I124">
        <v>1000</v>
      </c>
      <c r="J124">
        <f>'[29]GABM_R03_SudipaAPI-data'!$G123</f>
        <v>780</v>
      </c>
      <c r="K124">
        <v>1000</v>
      </c>
      <c r="L124">
        <f t="shared" si="28"/>
        <v>957.4</v>
      </c>
      <c r="N124">
        <f t="shared" si="16"/>
        <v>121</v>
      </c>
      <c r="O124">
        <f t="shared" si="17"/>
        <v>1</v>
      </c>
      <c r="P124">
        <f t="shared" si="18"/>
        <v>1</v>
      </c>
      <c r="Q124">
        <f t="shared" si="19"/>
        <v>1</v>
      </c>
      <c r="R124">
        <f t="shared" si="20"/>
        <v>1</v>
      </c>
      <c r="S124">
        <f t="shared" si="21"/>
        <v>1</v>
      </c>
      <c r="T124">
        <f t="shared" si="22"/>
        <v>0.79400000000000004</v>
      </c>
      <c r="U124">
        <f t="shared" si="23"/>
        <v>1</v>
      </c>
      <c r="V124">
        <f t="shared" si="24"/>
        <v>1</v>
      </c>
      <c r="W124">
        <f t="shared" si="25"/>
        <v>0.78</v>
      </c>
      <c r="X124">
        <f t="shared" si="26"/>
        <v>1</v>
      </c>
      <c r="Y124">
        <f t="shared" si="27"/>
        <v>0.95740000000000003</v>
      </c>
    </row>
    <row r="125" spans="1:25" x14ac:dyDescent="0.35">
      <c r="A125">
        <v>122</v>
      </c>
      <c r="B125">
        <v>1000</v>
      </c>
      <c r="C125">
        <v>1000</v>
      </c>
      <c r="D125">
        <v>1000</v>
      </c>
      <c r="E125">
        <v>1000</v>
      </c>
      <c r="F125">
        <v>1000</v>
      </c>
      <c r="G125">
        <f>'[26]GABM_R03_SarahAPI-data'!$G124</f>
        <v>995</v>
      </c>
      <c r="H125">
        <v>1000</v>
      </c>
      <c r="I125">
        <v>1000</v>
      </c>
      <c r="J125">
        <f>'[29]GABM_R03_SudipaAPI-data'!$G124</f>
        <v>784</v>
      </c>
      <c r="K125">
        <v>1000</v>
      </c>
      <c r="L125">
        <f t="shared" si="28"/>
        <v>977.9</v>
      </c>
      <c r="N125">
        <f t="shared" si="16"/>
        <v>122</v>
      </c>
      <c r="O125">
        <f t="shared" si="17"/>
        <v>1</v>
      </c>
      <c r="P125">
        <f t="shared" si="18"/>
        <v>1</v>
      </c>
      <c r="Q125">
        <f t="shared" si="19"/>
        <v>1</v>
      </c>
      <c r="R125">
        <f t="shared" si="20"/>
        <v>1</v>
      </c>
      <c r="S125">
        <f t="shared" si="21"/>
        <v>1</v>
      </c>
      <c r="T125">
        <f t="shared" si="22"/>
        <v>0.995</v>
      </c>
      <c r="U125">
        <f t="shared" si="23"/>
        <v>1</v>
      </c>
      <c r="V125">
        <f t="shared" si="24"/>
        <v>1</v>
      </c>
      <c r="W125">
        <f t="shared" si="25"/>
        <v>0.78400000000000003</v>
      </c>
      <c r="X125">
        <f t="shared" si="26"/>
        <v>1</v>
      </c>
      <c r="Y125">
        <f t="shared" si="27"/>
        <v>0.97789999999999999</v>
      </c>
    </row>
    <row r="126" spans="1:25" x14ac:dyDescent="0.35">
      <c r="A126">
        <v>123</v>
      </c>
      <c r="B126">
        <v>1000</v>
      </c>
      <c r="C126">
        <v>1000</v>
      </c>
      <c r="D126">
        <v>1000</v>
      </c>
      <c r="E126">
        <v>1000</v>
      </c>
      <c r="F126">
        <v>1000</v>
      </c>
      <c r="G126">
        <f>'[26]GABM_R03_SarahAPI-data'!$G125</f>
        <v>998</v>
      </c>
      <c r="H126">
        <v>1000</v>
      </c>
      <c r="I126">
        <v>1000</v>
      </c>
      <c r="J126">
        <f>'[29]GABM_R03_SudipaAPI-data'!$G125</f>
        <v>758</v>
      </c>
      <c r="K126">
        <v>1000</v>
      </c>
      <c r="L126">
        <f t="shared" si="28"/>
        <v>975.6</v>
      </c>
      <c r="N126">
        <f t="shared" si="16"/>
        <v>123</v>
      </c>
      <c r="O126">
        <f t="shared" si="17"/>
        <v>1</v>
      </c>
      <c r="P126">
        <f t="shared" si="18"/>
        <v>1</v>
      </c>
      <c r="Q126">
        <f t="shared" si="19"/>
        <v>1</v>
      </c>
      <c r="R126">
        <f t="shared" si="20"/>
        <v>1</v>
      </c>
      <c r="S126">
        <f t="shared" si="21"/>
        <v>1</v>
      </c>
      <c r="T126">
        <f t="shared" si="22"/>
        <v>0.998</v>
      </c>
      <c r="U126">
        <f t="shared" si="23"/>
        <v>1</v>
      </c>
      <c r="V126">
        <f t="shared" si="24"/>
        <v>1</v>
      </c>
      <c r="W126">
        <f t="shared" si="25"/>
        <v>0.75800000000000001</v>
      </c>
      <c r="X126">
        <f t="shared" si="26"/>
        <v>1</v>
      </c>
      <c r="Y126">
        <f t="shared" si="27"/>
        <v>0.97560000000000002</v>
      </c>
    </row>
    <row r="127" spans="1:25" x14ac:dyDescent="0.35">
      <c r="A127">
        <v>124</v>
      </c>
      <c r="B127">
        <v>1000</v>
      </c>
      <c r="C127">
        <v>1000</v>
      </c>
      <c r="D127">
        <v>1000</v>
      </c>
      <c r="E127">
        <v>1000</v>
      </c>
      <c r="F127">
        <v>1000</v>
      </c>
      <c r="G127">
        <v>1000</v>
      </c>
      <c r="H127">
        <v>1000</v>
      </c>
      <c r="I127">
        <v>1000</v>
      </c>
      <c r="J127">
        <f>'[29]GABM_R03_SudipaAPI-data'!$G126</f>
        <v>786</v>
      </c>
      <c r="K127">
        <v>1000</v>
      </c>
      <c r="L127">
        <f t="shared" si="28"/>
        <v>978.6</v>
      </c>
      <c r="N127">
        <f t="shared" si="16"/>
        <v>124</v>
      </c>
      <c r="O127">
        <f t="shared" si="17"/>
        <v>1</v>
      </c>
      <c r="P127">
        <f t="shared" si="18"/>
        <v>1</v>
      </c>
      <c r="Q127">
        <f t="shared" si="19"/>
        <v>1</v>
      </c>
      <c r="R127">
        <f t="shared" si="20"/>
        <v>1</v>
      </c>
      <c r="S127">
        <f t="shared" si="21"/>
        <v>1</v>
      </c>
      <c r="T127">
        <f t="shared" si="22"/>
        <v>1</v>
      </c>
      <c r="U127">
        <f t="shared" si="23"/>
        <v>1</v>
      </c>
      <c r="V127">
        <f t="shared" si="24"/>
        <v>1</v>
      </c>
      <c r="W127">
        <f t="shared" si="25"/>
        <v>0.78600000000000003</v>
      </c>
      <c r="X127">
        <f t="shared" si="26"/>
        <v>1</v>
      </c>
      <c r="Y127">
        <f t="shared" si="27"/>
        <v>0.97860000000000003</v>
      </c>
    </row>
    <row r="128" spans="1:25" x14ac:dyDescent="0.35">
      <c r="A128">
        <v>125</v>
      </c>
      <c r="B128">
        <v>1000</v>
      </c>
      <c r="C128">
        <v>1000</v>
      </c>
      <c r="D128">
        <v>1000</v>
      </c>
      <c r="E128">
        <v>1000</v>
      </c>
      <c r="F128">
        <v>1000</v>
      </c>
      <c r="G128">
        <v>1000</v>
      </c>
      <c r="H128">
        <v>1000</v>
      </c>
      <c r="I128">
        <v>1000</v>
      </c>
      <c r="J128">
        <f>'[29]GABM_R03_SudipaAPI-data'!$G127</f>
        <v>806</v>
      </c>
      <c r="K128">
        <v>1000</v>
      </c>
      <c r="L128">
        <f t="shared" si="28"/>
        <v>980.6</v>
      </c>
      <c r="N128">
        <f t="shared" si="16"/>
        <v>125</v>
      </c>
      <c r="O128">
        <f t="shared" si="17"/>
        <v>1</v>
      </c>
      <c r="P128">
        <f t="shared" si="18"/>
        <v>1</v>
      </c>
      <c r="Q128">
        <f t="shared" si="19"/>
        <v>1</v>
      </c>
      <c r="R128">
        <f t="shared" si="20"/>
        <v>1</v>
      </c>
      <c r="S128">
        <f t="shared" si="21"/>
        <v>1</v>
      </c>
      <c r="T128">
        <f t="shared" si="22"/>
        <v>1</v>
      </c>
      <c r="U128">
        <f t="shared" si="23"/>
        <v>1</v>
      </c>
      <c r="V128">
        <f t="shared" si="24"/>
        <v>1</v>
      </c>
      <c r="W128">
        <f t="shared" si="25"/>
        <v>0.80600000000000005</v>
      </c>
      <c r="X128">
        <f t="shared" si="26"/>
        <v>1</v>
      </c>
      <c r="Y128">
        <f t="shared" si="27"/>
        <v>0.98060000000000003</v>
      </c>
    </row>
    <row r="129" spans="1:25" x14ac:dyDescent="0.35">
      <c r="A129">
        <v>126</v>
      </c>
      <c r="B129">
        <v>1000</v>
      </c>
      <c r="C129">
        <v>1000</v>
      </c>
      <c r="D129">
        <v>1000</v>
      </c>
      <c r="E129">
        <v>1000</v>
      </c>
      <c r="F129">
        <v>1000</v>
      </c>
      <c r="G129">
        <v>1000</v>
      </c>
      <c r="H129">
        <v>1000</v>
      </c>
      <c r="I129">
        <v>1000</v>
      </c>
      <c r="J129">
        <f>'[29]GABM_R03_SudipaAPI-data'!$G128</f>
        <v>760</v>
      </c>
      <c r="K129">
        <v>1000</v>
      </c>
      <c r="L129">
        <f t="shared" si="28"/>
        <v>976</v>
      </c>
      <c r="N129">
        <f t="shared" si="16"/>
        <v>126</v>
      </c>
      <c r="O129">
        <f t="shared" si="17"/>
        <v>1</v>
      </c>
      <c r="P129">
        <f t="shared" si="18"/>
        <v>1</v>
      </c>
      <c r="Q129">
        <f t="shared" si="19"/>
        <v>1</v>
      </c>
      <c r="R129">
        <f t="shared" si="20"/>
        <v>1</v>
      </c>
      <c r="S129">
        <f t="shared" si="21"/>
        <v>1</v>
      </c>
      <c r="T129">
        <f t="shared" si="22"/>
        <v>1</v>
      </c>
      <c r="U129">
        <f t="shared" si="23"/>
        <v>1</v>
      </c>
      <c r="V129">
        <f t="shared" si="24"/>
        <v>1</v>
      </c>
      <c r="W129">
        <f t="shared" si="25"/>
        <v>0.76</v>
      </c>
      <c r="X129">
        <f t="shared" si="26"/>
        <v>1</v>
      </c>
      <c r="Y129">
        <f t="shared" si="27"/>
        <v>0.97599999999999998</v>
      </c>
    </row>
    <row r="130" spans="1:25" x14ac:dyDescent="0.35">
      <c r="A130">
        <v>127</v>
      </c>
      <c r="B130">
        <v>1000</v>
      </c>
      <c r="C130">
        <v>1000</v>
      </c>
      <c r="D130">
        <v>1000</v>
      </c>
      <c r="E130">
        <v>1000</v>
      </c>
      <c r="F130">
        <v>1000</v>
      </c>
      <c r="G130">
        <v>1000</v>
      </c>
      <c r="H130">
        <v>1000</v>
      </c>
      <c r="I130">
        <v>1000</v>
      </c>
      <c r="J130">
        <f>'[29]GABM_R03_SudipaAPI-data'!$G129</f>
        <v>557</v>
      </c>
      <c r="K130">
        <v>1000</v>
      </c>
      <c r="L130">
        <f t="shared" si="28"/>
        <v>955.7</v>
      </c>
      <c r="N130">
        <f t="shared" si="16"/>
        <v>127</v>
      </c>
      <c r="O130">
        <f t="shared" si="17"/>
        <v>1</v>
      </c>
      <c r="P130">
        <f t="shared" si="18"/>
        <v>1</v>
      </c>
      <c r="Q130">
        <f t="shared" si="19"/>
        <v>1</v>
      </c>
      <c r="R130">
        <f t="shared" si="20"/>
        <v>1</v>
      </c>
      <c r="S130">
        <f t="shared" si="21"/>
        <v>1</v>
      </c>
      <c r="T130">
        <f t="shared" si="22"/>
        <v>1</v>
      </c>
      <c r="U130">
        <f t="shared" si="23"/>
        <v>1</v>
      </c>
      <c r="V130">
        <f t="shared" si="24"/>
        <v>1</v>
      </c>
      <c r="W130">
        <f t="shared" si="25"/>
        <v>0.55700000000000005</v>
      </c>
      <c r="X130">
        <f t="shared" si="26"/>
        <v>1</v>
      </c>
      <c r="Y130">
        <f t="shared" si="27"/>
        <v>0.95569999999999999</v>
      </c>
    </row>
    <row r="131" spans="1:25" x14ac:dyDescent="0.35">
      <c r="A131">
        <v>128</v>
      </c>
      <c r="B131">
        <v>1000</v>
      </c>
      <c r="C131">
        <v>1000</v>
      </c>
      <c r="D131">
        <v>1000</v>
      </c>
      <c r="E131">
        <v>1000</v>
      </c>
      <c r="F131">
        <v>1000</v>
      </c>
      <c r="G131">
        <v>1000</v>
      </c>
      <c r="H131">
        <v>1000</v>
      </c>
      <c r="I131">
        <v>1000</v>
      </c>
      <c r="J131">
        <f>'[29]GABM_R03_SudipaAPI-data'!$G130</f>
        <v>760</v>
      </c>
      <c r="K131">
        <v>1000</v>
      </c>
      <c r="L131">
        <f t="shared" si="28"/>
        <v>976</v>
      </c>
      <c r="N131">
        <f t="shared" ref="N131:N194" si="29">A131</f>
        <v>128</v>
      </c>
      <c r="O131">
        <f t="shared" si="17"/>
        <v>1</v>
      </c>
      <c r="P131">
        <f t="shared" si="18"/>
        <v>1</v>
      </c>
      <c r="Q131">
        <f t="shared" si="19"/>
        <v>1</v>
      </c>
      <c r="R131">
        <f t="shared" si="20"/>
        <v>1</v>
      </c>
      <c r="S131">
        <f t="shared" si="21"/>
        <v>1</v>
      </c>
      <c r="T131">
        <f t="shared" si="22"/>
        <v>1</v>
      </c>
      <c r="U131">
        <f t="shared" si="23"/>
        <v>1</v>
      </c>
      <c r="V131">
        <f t="shared" si="24"/>
        <v>1</v>
      </c>
      <c r="W131">
        <f t="shared" si="25"/>
        <v>0.76</v>
      </c>
      <c r="X131">
        <f t="shared" si="26"/>
        <v>1</v>
      </c>
      <c r="Y131">
        <f t="shared" si="27"/>
        <v>0.97599999999999998</v>
      </c>
    </row>
    <row r="132" spans="1:25" x14ac:dyDescent="0.35">
      <c r="A132">
        <v>129</v>
      </c>
      <c r="B132">
        <v>1000</v>
      </c>
      <c r="C132">
        <v>1000</v>
      </c>
      <c r="D132">
        <v>1000</v>
      </c>
      <c r="E132">
        <v>1000</v>
      </c>
      <c r="F132">
        <v>1000</v>
      </c>
      <c r="G132">
        <v>1000</v>
      </c>
      <c r="H132">
        <v>1000</v>
      </c>
      <c r="I132">
        <v>1000</v>
      </c>
      <c r="J132">
        <f>'[29]GABM_R03_SudipaAPI-data'!$G131</f>
        <v>780</v>
      </c>
      <c r="K132">
        <v>1000</v>
      </c>
      <c r="L132">
        <f t="shared" si="28"/>
        <v>978</v>
      </c>
      <c r="N132">
        <f t="shared" si="29"/>
        <v>129</v>
      </c>
      <c r="O132">
        <f t="shared" ref="O132:O195" si="30">B132/1000</f>
        <v>1</v>
      </c>
      <c r="P132">
        <f t="shared" ref="P132:P195" si="31">C132/1000</f>
        <v>1</v>
      </c>
      <c r="Q132">
        <f t="shared" ref="Q132:Q195" si="32">D132/1000</f>
        <v>1</v>
      </c>
      <c r="R132">
        <f t="shared" ref="R132:R195" si="33">E132/1000</f>
        <v>1</v>
      </c>
      <c r="S132">
        <f t="shared" ref="S132:S195" si="34">F132/1000</f>
        <v>1</v>
      </c>
      <c r="T132">
        <f t="shared" ref="T132:T195" si="35">G132/1000</f>
        <v>1</v>
      </c>
      <c r="U132">
        <f t="shared" ref="U132:U195" si="36">H132/1000</f>
        <v>1</v>
      </c>
      <c r="V132">
        <f t="shared" ref="V132:V195" si="37">I132/1000</f>
        <v>1</v>
      </c>
      <c r="W132">
        <f t="shared" ref="W132:W195" si="38">J132/1000</f>
        <v>0.78</v>
      </c>
      <c r="X132">
        <f t="shared" ref="X132:X195" si="39">K132/1000</f>
        <v>1</v>
      </c>
      <c r="Y132">
        <f t="shared" ref="Y132:Y195" si="40">L132/1000</f>
        <v>0.97799999999999998</v>
      </c>
    </row>
    <row r="133" spans="1:25" x14ac:dyDescent="0.35">
      <c r="A133">
        <v>130</v>
      </c>
      <c r="B133">
        <v>1000</v>
      </c>
      <c r="C133">
        <v>1000</v>
      </c>
      <c r="D133">
        <v>1000</v>
      </c>
      <c r="E133">
        <v>1000</v>
      </c>
      <c r="F133">
        <v>1000</v>
      </c>
      <c r="G133">
        <v>1000</v>
      </c>
      <c r="H133">
        <v>1000</v>
      </c>
      <c r="I133">
        <v>1000</v>
      </c>
      <c r="J133">
        <f>'[29]GABM_R03_SudipaAPI-data'!$G132</f>
        <v>993</v>
      </c>
      <c r="K133">
        <v>1000</v>
      </c>
      <c r="L133">
        <f t="shared" si="28"/>
        <v>999.3</v>
      </c>
      <c r="N133">
        <f t="shared" si="29"/>
        <v>130</v>
      </c>
      <c r="O133">
        <f t="shared" si="30"/>
        <v>1</v>
      </c>
      <c r="P133">
        <f t="shared" si="31"/>
        <v>1</v>
      </c>
      <c r="Q133">
        <f t="shared" si="32"/>
        <v>1</v>
      </c>
      <c r="R133">
        <f t="shared" si="33"/>
        <v>1</v>
      </c>
      <c r="S133">
        <f t="shared" si="34"/>
        <v>1</v>
      </c>
      <c r="T133">
        <f t="shared" si="35"/>
        <v>1</v>
      </c>
      <c r="U133">
        <f t="shared" si="36"/>
        <v>1</v>
      </c>
      <c r="V133">
        <f t="shared" si="37"/>
        <v>1</v>
      </c>
      <c r="W133">
        <f t="shared" si="38"/>
        <v>0.99299999999999999</v>
      </c>
      <c r="X133">
        <f t="shared" si="39"/>
        <v>1</v>
      </c>
      <c r="Y133">
        <f t="shared" si="40"/>
        <v>0.99929999999999997</v>
      </c>
    </row>
    <row r="134" spans="1:25" x14ac:dyDescent="0.35">
      <c r="A134">
        <v>131</v>
      </c>
      <c r="B134">
        <v>1000</v>
      </c>
      <c r="C134">
        <v>1000</v>
      </c>
      <c r="D134">
        <v>1000</v>
      </c>
      <c r="E134">
        <v>1000</v>
      </c>
      <c r="F134">
        <v>1000</v>
      </c>
      <c r="G134">
        <v>1000</v>
      </c>
      <c r="H134">
        <v>1000</v>
      </c>
      <c r="I134">
        <v>1000</v>
      </c>
      <c r="J134">
        <f>'[29]GABM_R03_SudipaAPI-data'!$G133</f>
        <v>997</v>
      </c>
      <c r="K134">
        <v>1000</v>
      </c>
      <c r="L134">
        <f t="shared" si="28"/>
        <v>999.7</v>
      </c>
      <c r="N134">
        <f t="shared" si="29"/>
        <v>131</v>
      </c>
      <c r="O134">
        <f t="shared" si="30"/>
        <v>1</v>
      </c>
      <c r="P134">
        <f t="shared" si="31"/>
        <v>1</v>
      </c>
      <c r="Q134">
        <f t="shared" si="32"/>
        <v>1</v>
      </c>
      <c r="R134">
        <f t="shared" si="33"/>
        <v>1</v>
      </c>
      <c r="S134">
        <f t="shared" si="34"/>
        <v>1</v>
      </c>
      <c r="T134">
        <f t="shared" si="35"/>
        <v>1</v>
      </c>
      <c r="U134">
        <f t="shared" si="36"/>
        <v>1</v>
      </c>
      <c r="V134">
        <f t="shared" si="37"/>
        <v>1</v>
      </c>
      <c r="W134">
        <f t="shared" si="38"/>
        <v>0.997</v>
      </c>
      <c r="X134">
        <f t="shared" si="39"/>
        <v>1</v>
      </c>
      <c r="Y134">
        <f t="shared" si="40"/>
        <v>0.99970000000000003</v>
      </c>
    </row>
    <row r="135" spans="1:25" x14ac:dyDescent="0.35">
      <c r="A135">
        <v>132</v>
      </c>
      <c r="B135">
        <v>1000</v>
      </c>
      <c r="C135">
        <v>1000</v>
      </c>
      <c r="D135">
        <v>1000</v>
      </c>
      <c r="E135">
        <v>1000</v>
      </c>
      <c r="F135">
        <v>1000</v>
      </c>
      <c r="G135">
        <v>1000</v>
      </c>
      <c r="H135">
        <v>1000</v>
      </c>
      <c r="I135">
        <v>1000</v>
      </c>
      <c r="J135">
        <f>'[29]GABM_R03_SudipaAPI-data'!$G134</f>
        <v>997</v>
      </c>
      <c r="K135">
        <v>1000</v>
      </c>
      <c r="L135">
        <f t="shared" si="28"/>
        <v>999.7</v>
      </c>
      <c r="N135">
        <f t="shared" si="29"/>
        <v>132</v>
      </c>
      <c r="O135">
        <f t="shared" si="30"/>
        <v>1</v>
      </c>
      <c r="P135">
        <f t="shared" si="31"/>
        <v>1</v>
      </c>
      <c r="Q135">
        <f t="shared" si="32"/>
        <v>1</v>
      </c>
      <c r="R135">
        <f t="shared" si="33"/>
        <v>1</v>
      </c>
      <c r="S135">
        <f t="shared" si="34"/>
        <v>1</v>
      </c>
      <c r="T135">
        <f t="shared" si="35"/>
        <v>1</v>
      </c>
      <c r="U135">
        <f t="shared" si="36"/>
        <v>1</v>
      </c>
      <c r="V135">
        <f t="shared" si="37"/>
        <v>1</v>
      </c>
      <c r="W135">
        <f t="shared" si="38"/>
        <v>0.997</v>
      </c>
      <c r="X135">
        <f t="shared" si="39"/>
        <v>1</v>
      </c>
      <c r="Y135">
        <f t="shared" si="40"/>
        <v>0.99970000000000003</v>
      </c>
    </row>
    <row r="136" spans="1:25" x14ac:dyDescent="0.35">
      <c r="A136">
        <v>133</v>
      </c>
      <c r="B136">
        <v>1000</v>
      </c>
      <c r="C136">
        <v>1000</v>
      </c>
      <c r="D136">
        <v>1000</v>
      </c>
      <c r="E136">
        <v>1000</v>
      </c>
      <c r="F136">
        <v>1000</v>
      </c>
      <c r="G136">
        <v>1000</v>
      </c>
      <c r="H136">
        <v>1000</v>
      </c>
      <c r="I136">
        <v>1000</v>
      </c>
      <c r="J136">
        <f>'[29]GABM_R03_SudipaAPI-data'!$G135</f>
        <v>997</v>
      </c>
      <c r="K136">
        <v>1000</v>
      </c>
      <c r="L136">
        <f t="shared" si="28"/>
        <v>999.7</v>
      </c>
      <c r="N136">
        <f t="shared" si="29"/>
        <v>133</v>
      </c>
      <c r="O136">
        <f t="shared" si="30"/>
        <v>1</v>
      </c>
      <c r="P136">
        <f t="shared" si="31"/>
        <v>1</v>
      </c>
      <c r="Q136">
        <f t="shared" si="32"/>
        <v>1</v>
      </c>
      <c r="R136">
        <f t="shared" si="33"/>
        <v>1</v>
      </c>
      <c r="S136">
        <f t="shared" si="34"/>
        <v>1</v>
      </c>
      <c r="T136">
        <f t="shared" si="35"/>
        <v>1</v>
      </c>
      <c r="U136">
        <f t="shared" si="36"/>
        <v>1</v>
      </c>
      <c r="V136">
        <f t="shared" si="37"/>
        <v>1</v>
      </c>
      <c r="W136">
        <f t="shared" si="38"/>
        <v>0.997</v>
      </c>
      <c r="X136">
        <f t="shared" si="39"/>
        <v>1</v>
      </c>
      <c r="Y136">
        <f t="shared" si="40"/>
        <v>0.99970000000000003</v>
      </c>
    </row>
    <row r="137" spans="1:25" x14ac:dyDescent="0.35">
      <c r="A137">
        <v>134</v>
      </c>
      <c r="B137">
        <v>1000</v>
      </c>
      <c r="C137">
        <v>1000</v>
      </c>
      <c r="D137">
        <v>1000</v>
      </c>
      <c r="E137">
        <v>1000</v>
      </c>
      <c r="F137">
        <v>1000</v>
      </c>
      <c r="G137">
        <v>1000</v>
      </c>
      <c r="H137">
        <v>1000</v>
      </c>
      <c r="I137">
        <v>1000</v>
      </c>
      <c r="J137">
        <f>'[29]GABM_R03_SudipaAPI-data'!$G136</f>
        <v>995</v>
      </c>
      <c r="K137">
        <v>1000</v>
      </c>
      <c r="L137">
        <f t="shared" si="28"/>
        <v>999.5</v>
      </c>
      <c r="N137">
        <f t="shared" si="29"/>
        <v>134</v>
      </c>
      <c r="O137">
        <f t="shared" si="30"/>
        <v>1</v>
      </c>
      <c r="P137">
        <f t="shared" si="31"/>
        <v>1</v>
      </c>
      <c r="Q137">
        <f t="shared" si="32"/>
        <v>1</v>
      </c>
      <c r="R137">
        <f t="shared" si="33"/>
        <v>1</v>
      </c>
      <c r="S137">
        <f t="shared" si="34"/>
        <v>1</v>
      </c>
      <c r="T137">
        <f t="shared" si="35"/>
        <v>1</v>
      </c>
      <c r="U137">
        <f t="shared" si="36"/>
        <v>1</v>
      </c>
      <c r="V137">
        <f t="shared" si="37"/>
        <v>1</v>
      </c>
      <c r="W137">
        <f t="shared" si="38"/>
        <v>0.995</v>
      </c>
      <c r="X137">
        <f t="shared" si="39"/>
        <v>1</v>
      </c>
      <c r="Y137">
        <f t="shared" si="40"/>
        <v>0.99950000000000006</v>
      </c>
    </row>
    <row r="138" spans="1:25" x14ac:dyDescent="0.35">
      <c r="A138">
        <v>135</v>
      </c>
      <c r="B138">
        <v>1000</v>
      </c>
      <c r="C138">
        <v>1000</v>
      </c>
      <c r="D138">
        <v>1000</v>
      </c>
      <c r="E138">
        <v>1000</v>
      </c>
      <c r="F138">
        <v>1000</v>
      </c>
      <c r="G138">
        <v>1000</v>
      </c>
      <c r="H138">
        <v>1000</v>
      </c>
      <c r="I138">
        <v>1000</v>
      </c>
      <c r="J138">
        <f>'[29]GABM_R03_SudipaAPI-data'!$G137</f>
        <v>786</v>
      </c>
      <c r="K138">
        <v>1000</v>
      </c>
      <c r="L138">
        <f t="shared" si="28"/>
        <v>978.6</v>
      </c>
      <c r="N138">
        <f t="shared" si="29"/>
        <v>135</v>
      </c>
      <c r="O138">
        <f t="shared" si="30"/>
        <v>1</v>
      </c>
      <c r="P138">
        <f t="shared" si="31"/>
        <v>1</v>
      </c>
      <c r="Q138">
        <f t="shared" si="32"/>
        <v>1</v>
      </c>
      <c r="R138">
        <f t="shared" si="33"/>
        <v>1</v>
      </c>
      <c r="S138">
        <f t="shared" si="34"/>
        <v>1</v>
      </c>
      <c r="T138">
        <f t="shared" si="35"/>
        <v>1</v>
      </c>
      <c r="U138">
        <f t="shared" si="36"/>
        <v>1</v>
      </c>
      <c r="V138">
        <f t="shared" si="37"/>
        <v>1</v>
      </c>
      <c r="W138">
        <f t="shared" si="38"/>
        <v>0.78600000000000003</v>
      </c>
      <c r="X138">
        <f t="shared" si="39"/>
        <v>1</v>
      </c>
      <c r="Y138">
        <f t="shared" si="40"/>
        <v>0.97860000000000003</v>
      </c>
    </row>
    <row r="139" spans="1:25" x14ac:dyDescent="0.35">
      <c r="A139">
        <v>136</v>
      </c>
      <c r="B139">
        <v>1000</v>
      </c>
      <c r="C139">
        <v>1000</v>
      </c>
      <c r="D139">
        <v>1000</v>
      </c>
      <c r="E139">
        <v>1000</v>
      </c>
      <c r="F139">
        <v>1000</v>
      </c>
      <c r="G139">
        <v>1000</v>
      </c>
      <c r="H139">
        <v>1000</v>
      </c>
      <c r="I139">
        <v>1000</v>
      </c>
      <c r="J139">
        <f>'[29]GABM_R03_SudipaAPI-data'!$G138</f>
        <v>789</v>
      </c>
      <c r="K139">
        <v>1000</v>
      </c>
      <c r="L139">
        <f t="shared" si="28"/>
        <v>978.9</v>
      </c>
      <c r="N139">
        <f t="shared" si="29"/>
        <v>136</v>
      </c>
      <c r="O139">
        <f t="shared" si="30"/>
        <v>1</v>
      </c>
      <c r="P139">
        <f t="shared" si="31"/>
        <v>1</v>
      </c>
      <c r="Q139">
        <f t="shared" si="32"/>
        <v>1</v>
      </c>
      <c r="R139">
        <f t="shared" si="33"/>
        <v>1</v>
      </c>
      <c r="S139">
        <f t="shared" si="34"/>
        <v>1</v>
      </c>
      <c r="T139">
        <f t="shared" si="35"/>
        <v>1</v>
      </c>
      <c r="U139">
        <f t="shared" si="36"/>
        <v>1</v>
      </c>
      <c r="V139">
        <f t="shared" si="37"/>
        <v>1</v>
      </c>
      <c r="W139">
        <f t="shared" si="38"/>
        <v>0.78900000000000003</v>
      </c>
      <c r="X139">
        <f t="shared" si="39"/>
        <v>1</v>
      </c>
      <c r="Y139">
        <f t="shared" si="40"/>
        <v>0.97889999999999999</v>
      </c>
    </row>
    <row r="140" spans="1:25" x14ac:dyDescent="0.35">
      <c r="A140">
        <v>137</v>
      </c>
      <c r="B140">
        <v>1000</v>
      </c>
      <c r="C140">
        <v>1000</v>
      </c>
      <c r="D140">
        <v>1000</v>
      </c>
      <c r="E140">
        <v>1000</v>
      </c>
      <c r="F140">
        <v>1000</v>
      </c>
      <c r="G140">
        <v>1000</v>
      </c>
      <c r="H140">
        <v>1000</v>
      </c>
      <c r="I140">
        <v>1000</v>
      </c>
      <c r="J140">
        <f>'[29]GABM_R03_SudipaAPI-data'!$G139</f>
        <v>782</v>
      </c>
      <c r="K140">
        <v>1000</v>
      </c>
      <c r="L140">
        <f t="shared" si="28"/>
        <v>978.2</v>
      </c>
      <c r="N140">
        <f t="shared" si="29"/>
        <v>137</v>
      </c>
      <c r="O140">
        <f t="shared" si="30"/>
        <v>1</v>
      </c>
      <c r="P140">
        <f t="shared" si="31"/>
        <v>1</v>
      </c>
      <c r="Q140">
        <f t="shared" si="32"/>
        <v>1</v>
      </c>
      <c r="R140">
        <f t="shared" si="33"/>
        <v>1</v>
      </c>
      <c r="S140">
        <f t="shared" si="34"/>
        <v>1</v>
      </c>
      <c r="T140">
        <f t="shared" si="35"/>
        <v>1</v>
      </c>
      <c r="U140">
        <f t="shared" si="36"/>
        <v>1</v>
      </c>
      <c r="V140">
        <f t="shared" si="37"/>
        <v>1</v>
      </c>
      <c r="W140">
        <f t="shared" si="38"/>
        <v>0.78200000000000003</v>
      </c>
      <c r="X140">
        <f t="shared" si="39"/>
        <v>1</v>
      </c>
      <c r="Y140">
        <f t="shared" si="40"/>
        <v>0.97820000000000007</v>
      </c>
    </row>
    <row r="141" spans="1:25" x14ac:dyDescent="0.35">
      <c r="A141">
        <v>138</v>
      </c>
      <c r="B141">
        <v>1000</v>
      </c>
      <c r="C141">
        <v>1000</v>
      </c>
      <c r="D141">
        <v>1000</v>
      </c>
      <c r="E141">
        <v>1000</v>
      </c>
      <c r="F141">
        <v>1000</v>
      </c>
      <c r="G141">
        <v>1000</v>
      </c>
      <c r="H141">
        <v>1000</v>
      </c>
      <c r="I141">
        <v>1000</v>
      </c>
      <c r="J141">
        <f>'[29]GABM_R03_SudipaAPI-data'!$G140</f>
        <v>762</v>
      </c>
      <c r="K141">
        <v>1000</v>
      </c>
      <c r="L141">
        <f t="shared" si="28"/>
        <v>976.2</v>
      </c>
      <c r="N141">
        <f t="shared" si="29"/>
        <v>138</v>
      </c>
      <c r="O141">
        <f t="shared" si="30"/>
        <v>1</v>
      </c>
      <c r="P141">
        <f t="shared" si="31"/>
        <v>1</v>
      </c>
      <c r="Q141">
        <f t="shared" si="32"/>
        <v>1</v>
      </c>
      <c r="R141">
        <f t="shared" si="33"/>
        <v>1</v>
      </c>
      <c r="S141">
        <f t="shared" si="34"/>
        <v>1</v>
      </c>
      <c r="T141">
        <f t="shared" si="35"/>
        <v>1</v>
      </c>
      <c r="U141">
        <f t="shared" si="36"/>
        <v>1</v>
      </c>
      <c r="V141">
        <f t="shared" si="37"/>
        <v>1</v>
      </c>
      <c r="W141">
        <f t="shared" si="38"/>
        <v>0.76200000000000001</v>
      </c>
      <c r="X141">
        <f t="shared" si="39"/>
        <v>1</v>
      </c>
      <c r="Y141">
        <f t="shared" si="40"/>
        <v>0.97620000000000007</v>
      </c>
    </row>
    <row r="142" spans="1:25" x14ac:dyDescent="0.35">
      <c r="A142">
        <v>139</v>
      </c>
      <c r="B142">
        <v>1000</v>
      </c>
      <c r="C142">
        <v>1000</v>
      </c>
      <c r="D142">
        <v>1000</v>
      </c>
      <c r="E142">
        <v>1000</v>
      </c>
      <c r="F142">
        <v>1000</v>
      </c>
      <c r="G142">
        <v>1000</v>
      </c>
      <c r="H142">
        <v>1000</v>
      </c>
      <c r="I142">
        <v>1000</v>
      </c>
      <c r="J142">
        <f>'[29]GABM_R03_SudipaAPI-data'!$G141</f>
        <v>992</v>
      </c>
      <c r="K142">
        <v>1000</v>
      </c>
      <c r="L142">
        <f t="shared" si="28"/>
        <v>999.2</v>
      </c>
      <c r="N142">
        <f t="shared" si="29"/>
        <v>139</v>
      </c>
      <c r="O142">
        <f t="shared" si="30"/>
        <v>1</v>
      </c>
      <c r="P142">
        <f t="shared" si="31"/>
        <v>1</v>
      </c>
      <c r="Q142">
        <f t="shared" si="32"/>
        <v>1</v>
      </c>
      <c r="R142">
        <f t="shared" si="33"/>
        <v>1</v>
      </c>
      <c r="S142">
        <f t="shared" si="34"/>
        <v>1</v>
      </c>
      <c r="T142">
        <f t="shared" si="35"/>
        <v>1</v>
      </c>
      <c r="U142">
        <f t="shared" si="36"/>
        <v>1</v>
      </c>
      <c r="V142">
        <f t="shared" si="37"/>
        <v>1</v>
      </c>
      <c r="W142">
        <f t="shared" si="38"/>
        <v>0.99199999999999999</v>
      </c>
      <c r="X142">
        <f t="shared" si="39"/>
        <v>1</v>
      </c>
      <c r="Y142">
        <f t="shared" si="40"/>
        <v>0.99920000000000009</v>
      </c>
    </row>
    <row r="143" spans="1:25" x14ac:dyDescent="0.35">
      <c r="A143">
        <v>140</v>
      </c>
      <c r="B143">
        <v>1000</v>
      </c>
      <c r="C143">
        <v>1000</v>
      </c>
      <c r="D143">
        <v>1000</v>
      </c>
      <c r="E143">
        <v>1000</v>
      </c>
      <c r="F143">
        <v>1000</v>
      </c>
      <c r="G143">
        <v>1000</v>
      </c>
      <c r="H143">
        <v>1000</v>
      </c>
      <c r="I143">
        <v>1000</v>
      </c>
      <c r="J143">
        <f>'[29]GABM_R03_SudipaAPI-data'!$G142</f>
        <v>995</v>
      </c>
      <c r="K143">
        <v>1000</v>
      </c>
      <c r="L143">
        <f t="shared" si="28"/>
        <v>999.5</v>
      </c>
      <c r="N143">
        <f t="shared" si="29"/>
        <v>140</v>
      </c>
      <c r="O143">
        <f t="shared" si="30"/>
        <v>1</v>
      </c>
      <c r="P143">
        <f t="shared" si="31"/>
        <v>1</v>
      </c>
      <c r="Q143">
        <f t="shared" si="32"/>
        <v>1</v>
      </c>
      <c r="R143">
        <f t="shared" si="33"/>
        <v>1</v>
      </c>
      <c r="S143">
        <f t="shared" si="34"/>
        <v>1</v>
      </c>
      <c r="T143">
        <f t="shared" si="35"/>
        <v>1</v>
      </c>
      <c r="U143">
        <f t="shared" si="36"/>
        <v>1</v>
      </c>
      <c r="V143">
        <f t="shared" si="37"/>
        <v>1</v>
      </c>
      <c r="W143">
        <f t="shared" si="38"/>
        <v>0.995</v>
      </c>
      <c r="X143">
        <f t="shared" si="39"/>
        <v>1</v>
      </c>
      <c r="Y143">
        <f t="shared" si="40"/>
        <v>0.99950000000000006</v>
      </c>
    </row>
    <row r="144" spans="1:25" x14ac:dyDescent="0.35">
      <c r="A144">
        <v>141</v>
      </c>
      <c r="B144">
        <v>1000</v>
      </c>
      <c r="C144">
        <v>1000</v>
      </c>
      <c r="D144">
        <v>1000</v>
      </c>
      <c r="E144">
        <v>1000</v>
      </c>
      <c r="F144">
        <v>1000</v>
      </c>
      <c r="G144">
        <v>1000</v>
      </c>
      <c r="H144">
        <v>1000</v>
      </c>
      <c r="I144">
        <v>1000</v>
      </c>
      <c r="J144">
        <f>'[29]GABM_R03_SudipaAPI-data'!$G143</f>
        <v>995</v>
      </c>
      <c r="K144">
        <v>1000</v>
      </c>
      <c r="L144">
        <f t="shared" si="28"/>
        <v>999.5</v>
      </c>
      <c r="N144">
        <f t="shared" si="29"/>
        <v>141</v>
      </c>
      <c r="O144">
        <f t="shared" si="30"/>
        <v>1</v>
      </c>
      <c r="P144">
        <f t="shared" si="31"/>
        <v>1</v>
      </c>
      <c r="Q144">
        <f t="shared" si="32"/>
        <v>1</v>
      </c>
      <c r="R144">
        <f t="shared" si="33"/>
        <v>1</v>
      </c>
      <c r="S144">
        <f t="shared" si="34"/>
        <v>1</v>
      </c>
      <c r="T144">
        <f t="shared" si="35"/>
        <v>1</v>
      </c>
      <c r="U144">
        <f t="shared" si="36"/>
        <v>1</v>
      </c>
      <c r="V144">
        <f t="shared" si="37"/>
        <v>1</v>
      </c>
      <c r="W144">
        <f t="shared" si="38"/>
        <v>0.995</v>
      </c>
      <c r="X144">
        <f t="shared" si="39"/>
        <v>1</v>
      </c>
      <c r="Y144">
        <f t="shared" si="40"/>
        <v>0.99950000000000006</v>
      </c>
    </row>
    <row r="145" spans="1:25" x14ac:dyDescent="0.35">
      <c r="A145">
        <v>142</v>
      </c>
      <c r="B145">
        <v>1000</v>
      </c>
      <c r="C145">
        <v>1000</v>
      </c>
      <c r="D145">
        <v>1000</v>
      </c>
      <c r="E145">
        <v>1000</v>
      </c>
      <c r="F145">
        <v>1000</v>
      </c>
      <c r="G145">
        <v>1000</v>
      </c>
      <c r="H145">
        <v>1000</v>
      </c>
      <c r="I145">
        <v>1000</v>
      </c>
      <c r="J145">
        <f>'[29]GABM_R03_SudipaAPI-data'!$G144</f>
        <v>996</v>
      </c>
      <c r="K145">
        <v>1000</v>
      </c>
      <c r="L145">
        <f t="shared" si="28"/>
        <v>999.6</v>
      </c>
      <c r="N145">
        <f t="shared" si="29"/>
        <v>142</v>
      </c>
      <c r="O145">
        <f t="shared" si="30"/>
        <v>1</v>
      </c>
      <c r="P145">
        <f t="shared" si="31"/>
        <v>1</v>
      </c>
      <c r="Q145">
        <f t="shared" si="32"/>
        <v>1</v>
      </c>
      <c r="R145">
        <f t="shared" si="33"/>
        <v>1</v>
      </c>
      <c r="S145">
        <f t="shared" si="34"/>
        <v>1</v>
      </c>
      <c r="T145">
        <f t="shared" si="35"/>
        <v>1</v>
      </c>
      <c r="U145">
        <f t="shared" si="36"/>
        <v>1</v>
      </c>
      <c r="V145">
        <f t="shared" si="37"/>
        <v>1</v>
      </c>
      <c r="W145">
        <f t="shared" si="38"/>
        <v>0.996</v>
      </c>
      <c r="X145">
        <f t="shared" si="39"/>
        <v>1</v>
      </c>
      <c r="Y145">
        <f t="shared" si="40"/>
        <v>0.99960000000000004</v>
      </c>
    </row>
    <row r="146" spans="1:25" x14ac:dyDescent="0.35">
      <c r="A146">
        <v>143</v>
      </c>
      <c r="B146">
        <v>1000</v>
      </c>
      <c r="C146">
        <v>1000</v>
      </c>
      <c r="D146">
        <v>1000</v>
      </c>
      <c r="E146">
        <v>1000</v>
      </c>
      <c r="F146">
        <v>1000</v>
      </c>
      <c r="G146">
        <v>1000</v>
      </c>
      <c r="H146">
        <v>1000</v>
      </c>
      <c r="I146">
        <v>1000</v>
      </c>
      <c r="J146">
        <f>'[29]GABM_R03_SudipaAPI-data'!$G145</f>
        <v>996</v>
      </c>
      <c r="K146">
        <v>1000</v>
      </c>
      <c r="L146">
        <f t="shared" si="28"/>
        <v>999.6</v>
      </c>
      <c r="N146">
        <f t="shared" si="29"/>
        <v>143</v>
      </c>
      <c r="O146">
        <f t="shared" si="30"/>
        <v>1</v>
      </c>
      <c r="P146">
        <f t="shared" si="31"/>
        <v>1</v>
      </c>
      <c r="Q146">
        <f t="shared" si="32"/>
        <v>1</v>
      </c>
      <c r="R146">
        <f t="shared" si="33"/>
        <v>1</v>
      </c>
      <c r="S146">
        <f t="shared" si="34"/>
        <v>1</v>
      </c>
      <c r="T146">
        <f t="shared" si="35"/>
        <v>1</v>
      </c>
      <c r="U146">
        <f t="shared" si="36"/>
        <v>1</v>
      </c>
      <c r="V146">
        <f t="shared" si="37"/>
        <v>1</v>
      </c>
      <c r="W146">
        <f t="shared" si="38"/>
        <v>0.996</v>
      </c>
      <c r="X146">
        <f t="shared" si="39"/>
        <v>1</v>
      </c>
      <c r="Y146">
        <f t="shared" si="40"/>
        <v>0.99960000000000004</v>
      </c>
    </row>
    <row r="147" spans="1:25" x14ac:dyDescent="0.35">
      <c r="A147">
        <v>144</v>
      </c>
      <c r="B147">
        <v>1000</v>
      </c>
      <c r="C147">
        <v>1000</v>
      </c>
      <c r="D147">
        <v>1000</v>
      </c>
      <c r="E147">
        <v>1000</v>
      </c>
      <c r="F147">
        <v>1000</v>
      </c>
      <c r="G147">
        <v>1000</v>
      </c>
      <c r="H147">
        <v>1000</v>
      </c>
      <c r="I147">
        <v>1000</v>
      </c>
      <c r="J147">
        <f>'[29]GABM_R03_SudipaAPI-data'!$G146</f>
        <v>786</v>
      </c>
      <c r="K147">
        <v>1000</v>
      </c>
      <c r="L147">
        <f t="shared" si="28"/>
        <v>978.6</v>
      </c>
      <c r="N147">
        <f t="shared" si="29"/>
        <v>144</v>
      </c>
      <c r="O147">
        <f t="shared" si="30"/>
        <v>1</v>
      </c>
      <c r="P147">
        <f t="shared" si="31"/>
        <v>1</v>
      </c>
      <c r="Q147">
        <f t="shared" si="32"/>
        <v>1</v>
      </c>
      <c r="R147">
        <f t="shared" si="33"/>
        <v>1</v>
      </c>
      <c r="S147">
        <f t="shared" si="34"/>
        <v>1</v>
      </c>
      <c r="T147">
        <f t="shared" si="35"/>
        <v>1</v>
      </c>
      <c r="U147">
        <f t="shared" si="36"/>
        <v>1</v>
      </c>
      <c r="V147">
        <f t="shared" si="37"/>
        <v>1</v>
      </c>
      <c r="W147">
        <f t="shared" si="38"/>
        <v>0.78600000000000003</v>
      </c>
      <c r="X147">
        <f t="shared" si="39"/>
        <v>1</v>
      </c>
      <c r="Y147">
        <f t="shared" si="40"/>
        <v>0.97860000000000003</v>
      </c>
    </row>
    <row r="148" spans="1:25" x14ac:dyDescent="0.35">
      <c r="A148">
        <v>145</v>
      </c>
      <c r="B148">
        <v>1000</v>
      </c>
      <c r="C148">
        <v>1000</v>
      </c>
      <c r="D148">
        <v>1000</v>
      </c>
      <c r="E148">
        <v>1000</v>
      </c>
      <c r="F148">
        <v>1000</v>
      </c>
      <c r="G148">
        <v>1000</v>
      </c>
      <c r="H148">
        <v>1000</v>
      </c>
      <c r="I148">
        <v>1000</v>
      </c>
      <c r="J148">
        <f>'[29]GABM_R03_SudipaAPI-data'!$G147</f>
        <v>793</v>
      </c>
      <c r="K148">
        <v>1000</v>
      </c>
      <c r="L148">
        <f t="shared" si="28"/>
        <v>979.3</v>
      </c>
      <c r="N148">
        <f t="shared" si="29"/>
        <v>145</v>
      </c>
      <c r="O148">
        <f t="shared" si="30"/>
        <v>1</v>
      </c>
      <c r="P148">
        <f t="shared" si="31"/>
        <v>1</v>
      </c>
      <c r="Q148">
        <f t="shared" si="32"/>
        <v>1</v>
      </c>
      <c r="R148">
        <f t="shared" si="33"/>
        <v>1</v>
      </c>
      <c r="S148">
        <f t="shared" si="34"/>
        <v>1</v>
      </c>
      <c r="T148">
        <f t="shared" si="35"/>
        <v>1</v>
      </c>
      <c r="U148">
        <f t="shared" si="36"/>
        <v>1</v>
      </c>
      <c r="V148">
        <f t="shared" si="37"/>
        <v>1</v>
      </c>
      <c r="W148">
        <f t="shared" si="38"/>
        <v>0.79300000000000004</v>
      </c>
      <c r="X148">
        <f t="shared" si="39"/>
        <v>1</v>
      </c>
      <c r="Y148">
        <f t="shared" si="40"/>
        <v>0.97929999999999995</v>
      </c>
    </row>
    <row r="149" spans="1:25" x14ac:dyDescent="0.35">
      <c r="A149">
        <v>146</v>
      </c>
      <c r="B149">
        <v>1000</v>
      </c>
      <c r="C149">
        <v>1000</v>
      </c>
      <c r="D149">
        <v>1000</v>
      </c>
      <c r="E149">
        <v>1000</v>
      </c>
      <c r="F149">
        <v>1000</v>
      </c>
      <c r="G149">
        <v>1000</v>
      </c>
      <c r="H149">
        <v>1000</v>
      </c>
      <c r="I149">
        <v>1000</v>
      </c>
      <c r="J149">
        <f>'[29]GABM_R03_SudipaAPI-data'!$G148</f>
        <v>772</v>
      </c>
      <c r="K149">
        <v>1000</v>
      </c>
      <c r="L149">
        <f t="shared" si="28"/>
        <v>977.2</v>
      </c>
      <c r="N149">
        <f t="shared" si="29"/>
        <v>146</v>
      </c>
      <c r="O149">
        <f t="shared" si="30"/>
        <v>1</v>
      </c>
      <c r="P149">
        <f t="shared" si="31"/>
        <v>1</v>
      </c>
      <c r="Q149">
        <f t="shared" si="32"/>
        <v>1</v>
      </c>
      <c r="R149">
        <f t="shared" si="33"/>
        <v>1</v>
      </c>
      <c r="S149">
        <f t="shared" si="34"/>
        <v>1</v>
      </c>
      <c r="T149">
        <f t="shared" si="35"/>
        <v>1</v>
      </c>
      <c r="U149">
        <f t="shared" si="36"/>
        <v>1</v>
      </c>
      <c r="V149">
        <f t="shared" si="37"/>
        <v>1</v>
      </c>
      <c r="W149">
        <f t="shared" si="38"/>
        <v>0.77200000000000002</v>
      </c>
      <c r="X149">
        <f t="shared" si="39"/>
        <v>1</v>
      </c>
      <c r="Y149">
        <f t="shared" si="40"/>
        <v>0.97720000000000007</v>
      </c>
    </row>
    <row r="150" spans="1:25" x14ac:dyDescent="0.35">
      <c r="A150">
        <v>147</v>
      </c>
      <c r="B150">
        <v>1000</v>
      </c>
      <c r="C150">
        <v>1000</v>
      </c>
      <c r="D150">
        <v>1000</v>
      </c>
      <c r="E150">
        <v>1000</v>
      </c>
      <c r="F150">
        <v>1000</v>
      </c>
      <c r="G150">
        <v>1000</v>
      </c>
      <c r="H150">
        <v>1000</v>
      </c>
      <c r="I150">
        <v>1000</v>
      </c>
      <c r="J150">
        <f>'[29]GABM_R03_SudipaAPI-data'!$G149</f>
        <v>570</v>
      </c>
      <c r="K150">
        <v>1000</v>
      </c>
      <c r="L150">
        <f t="shared" si="28"/>
        <v>957</v>
      </c>
      <c r="N150">
        <f t="shared" si="29"/>
        <v>147</v>
      </c>
      <c r="O150">
        <f t="shared" si="30"/>
        <v>1</v>
      </c>
      <c r="P150">
        <f t="shared" si="31"/>
        <v>1</v>
      </c>
      <c r="Q150">
        <f t="shared" si="32"/>
        <v>1</v>
      </c>
      <c r="R150">
        <f t="shared" si="33"/>
        <v>1</v>
      </c>
      <c r="S150">
        <f t="shared" si="34"/>
        <v>1</v>
      </c>
      <c r="T150">
        <f t="shared" si="35"/>
        <v>1</v>
      </c>
      <c r="U150">
        <f t="shared" si="36"/>
        <v>1</v>
      </c>
      <c r="V150">
        <f t="shared" si="37"/>
        <v>1</v>
      </c>
      <c r="W150">
        <f t="shared" si="38"/>
        <v>0.56999999999999995</v>
      </c>
      <c r="X150">
        <f t="shared" si="39"/>
        <v>1</v>
      </c>
      <c r="Y150">
        <f t="shared" si="40"/>
        <v>0.95699999999999996</v>
      </c>
    </row>
    <row r="151" spans="1:25" x14ac:dyDescent="0.35">
      <c r="A151">
        <v>148</v>
      </c>
      <c r="B151">
        <v>1000</v>
      </c>
      <c r="C151">
        <v>1000</v>
      </c>
      <c r="D151">
        <v>1000</v>
      </c>
      <c r="E151">
        <v>1000</v>
      </c>
      <c r="F151">
        <v>1000</v>
      </c>
      <c r="G151">
        <v>1000</v>
      </c>
      <c r="H151">
        <v>1000</v>
      </c>
      <c r="I151">
        <v>1000</v>
      </c>
      <c r="J151">
        <f>'[29]GABM_R03_SudipaAPI-data'!$G150</f>
        <v>805</v>
      </c>
      <c r="K151">
        <v>1000</v>
      </c>
      <c r="L151">
        <f t="shared" si="28"/>
        <v>980.5</v>
      </c>
      <c r="N151">
        <f t="shared" si="29"/>
        <v>148</v>
      </c>
      <c r="O151">
        <f t="shared" si="30"/>
        <v>1</v>
      </c>
      <c r="P151">
        <f t="shared" si="31"/>
        <v>1</v>
      </c>
      <c r="Q151">
        <f t="shared" si="32"/>
        <v>1</v>
      </c>
      <c r="R151">
        <f t="shared" si="33"/>
        <v>1</v>
      </c>
      <c r="S151">
        <f t="shared" si="34"/>
        <v>1</v>
      </c>
      <c r="T151">
        <f t="shared" si="35"/>
        <v>1</v>
      </c>
      <c r="U151">
        <f t="shared" si="36"/>
        <v>1</v>
      </c>
      <c r="V151">
        <f t="shared" si="37"/>
        <v>1</v>
      </c>
      <c r="W151">
        <f t="shared" si="38"/>
        <v>0.80500000000000005</v>
      </c>
      <c r="X151">
        <f t="shared" si="39"/>
        <v>1</v>
      </c>
      <c r="Y151">
        <f t="shared" si="40"/>
        <v>0.98050000000000004</v>
      </c>
    </row>
    <row r="152" spans="1:25" x14ac:dyDescent="0.35">
      <c r="A152">
        <v>149</v>
      </c>
      <c r="B152">
        <v>1000</v>
      </c>
      <c r="C152">
        <v>1000</v>
      </c>
      <c r="D152">
        <v>1000</v>
      </c>
      <c r="E152">
        <v>1000</v>
      </c>
      <c r="F152">
        <v>1000</v>
      </c>
      <c r="G152">
        <v>1000</v>
      </c>
      <c r="H152">
        <v>1000</v>
      </c>
      <c r="I152">
        <v>1000</v>
      </c>
      <c r="J152">
        <f>'[29]GABM_R03_SudipaAPI-data'!$G151</f>
        <v>794</v>
      </c>
      <c r="K152">
        <v>1000</v>
      </c>
      <c r="L152">
        <f t="shared" si="28"/>
        <v>979.4</v>
      </c>
      <c r="N152">
        <f t="shared" si="29"/>
        <v>149</v>
      </c>
      <c r="O152">
        <f t="shared" si="30"/>
        <v>1</v>
      </c>
      <c r="P152">
        <f t="shared" si="31"/>
        <v>1</v>
      </c>
      <c r="Q152">
        <f t="shared" si="32"/>
        <v>1</v>
      </c>
      <c r="R152">
        <f t="shared" si="33"/>
        <v>1</v>
      </c>
      <c r="S152">
        <f t="shared" si="34"/>
        <v>1</v>
      </c>
      <c r="T152">
        <f t="shared" si="35"/>
        <v>1</v>
      </c>
      <c r="U152">
        <f t="shared" si="36"/>
        <v>1</v>
      </c>
      <c r="V152">
        <f t="shared" si="37"/>
        <v>1</v>
      </c>
      <c r="W152">
        <f t="shared" si="38"/>
        <v>0.79400000000000004</v>
      </c>
      <c r="X152">
        <f t="shared" si="39"/>
        <v>1</v>
      </c>
      <c r="Y152">
        <f t="shared" si="40"/>
        <v>0.97939999999999994</v>
      </c>
    </row>
    <row r="153" spans="1:25" x14ac:dyDescent="0.35">
      <c r="A153">
        <v>150</v>
      </c>
      <c r="B153">
        <v>1000</v>
      </c>
      <c r="C153">
        <v>1000</v>
      </c>
      <c r="D153">
        <v>1000</v>
      </c>
      <c r="E153">
        <v>1000</v>
      </c>
      <c r="F153">
        <v>1000</v>
      </c>
      <c r="G153">
        <v>1000</v>
      </c>
      <c r="H153">
        <v>1000</v>
      </c>
      <c r="I153">
        <v>1000</v>
      </c>
      <c r="J153">
        <f>'[29]GABM_R03_SudipaAPI-data'!$G152</f>
        <v>565</v>
      </c>
      <c r="K153">
        <v>1000</v>
      </c>
      <c r="L153">
        <f t="shared" si="28"/>
        <v>956.5</v>
      </c>
      <c r="N153">
        <f t="shared" si="29"/>
        <v>150</v>
      </c>
      <c r="O153">
        <f t="shared" si="30"/>
        <v>1</v>
      </c>
      <c r="P153">
        <f t="shared" si="31"/>
        <v>1</v>
      </c>
      <c r="Q153">
        <f t="shared" si="32"/>
        <v>1</v>
      </c>
      <c r="R153">
        <f t="shared" si="33"/>
        <v>1</v>
      </c>
      <c r="S153">
        <f t="shared" si="34"/>
        <v>1</v>
      </c>
      <c r="T153">
        <f t="shared" si="35"/>
        <v>1</v>
      </c>
      <c r="U153">
        <f t="shared" si="36"/>
        <v>1</v>
      </c>
      <c r="V153">
        <f t="shared" si="37"/>
        <v>1</v>
      </c>
      <c r="W153">
        <f t="shared" si="38"/>
        <v>0.56499999999999995</v>
      </c>
      <c r="X153">
        <f t="shared" si="39"/>
        <v>1</v>
      </c>
      <c r="Y153">
        <f t="shared" si="40"/>
        <v>0.95650000000000002</v>
      </c>
    </row>
    <row r="154" spans="1:25" x14ac:dyDescent="0.35">
      <c r="A154">
        <v>151</v>
      </c>
      <c r="B154">
        <v>1000</v>
      </c>
      <c r="C154">
        <v>1000</v>
      </c>
      <c r="D154">
        <v>1000</v>
      </c>
      <c r="E154">
        <v>1000</v>
      </c>
      <c r="F154">
        <v>1000</v>
      </c>
      <c r="G154">
        <v>1000</v>
      </c>
      <c r="H154">
        <v>1000</v>
      </c>
      <c r="I154">
        <v>1000</v>
      </c>
      <c r="J154">
        <f>'[29]GABM_R03_SudipaAPI-data'!$G153</f>
        <v>762</v>
      </c>
      <c r="K154">
        <v>1000</v>
      </c>
      <c r="L154">
        <f t="shared" si="28"/>
        <v>976.2</v>
      </c>
      <c r="N154">
        <f t="shared" si="29"/>
        <v>151</v>
      </c>
      <c r="O154">
        <f t="shared" si="30"/>
        <v>1</v>
      </c>
      <c r="P154">
        <f t="shared" si="31"/>
        <v>1</v>
      </c>
      <c r="Q154">
        <f t="shared" si="32"/>
        <v>1</v>
      </c>
      <c r="R154">
        <f t="shared" si="33"/>
        <v>1</v>
      </c>
      <c r="S154">
        <f t="shared" si="34"/>
        <v>1</v>
      </c>
      <c r="T154">
        <f t="shared" si="35"/>
        <v>1</v>
      </c>
      <c r="U154">
        <f t="shared" si="36"/>
        <v>1</v>
      </c>
      <c r="V154">
        <f t="shared" si="37"/>
        <v>1</v>
      </c>
      <c r="W154">
        <f t="shared" si="38"/>
        <v>0.76200000000000001</v>
      </c>
      <c r="X154">
        <f t="shared" si="39"/>
        <v>1</v>
      </c>
      <c r="Y154">
        <f t="shared" si="40"/>
        <v>0.97620000000000007</v>
      </c>
    </row>
    <row r="155" spans="1:25" x14ac:dyDescent="0.35">
      <c r="A155">
        <v>152</v>
      </c>
      <c r="B155">
        <v>1000</v>
      </c>
      <c r="C155">
        <v>1000</v>
      </c>
      <c r="D155">
        <v>1000</v>
      </c>
      <c r="E155">
        <v>1000</v>
      </c>
      <c r="F155">
        <v>1000</v>
      </c>
      <c r="G155">
        <v>1000</v>
      </c>
      <c r="H155">
        <v>1000</v>
      </c>
      <c r="I155">
        <v>1000</v>
      </c>
      <c r="J155">
        <f>'[29]GABM_R03_SudipaAPI-data'!$G154</f>
        <v>806</v>
      </c>
      <c r="K155">
        <v>1000</v>
      </c>
      <c r="L155">
        <f t="shared" si="28"/>
        <v>980.6</v>
      </c>
      <c r="N155">
        <f t="shared" si="29"/>
        <v>152</v>
      </c>
      <c r="O155">
        <f t="shared" si="30"/>
        <v>1</v>
      </c>
      <c r="P155">
        <f t="shared" si="31"/>
        <v>1</v>
      </c>
      <c r="Q155">
        <f t="shared" si="32"/>
        <v>1</v>
      </c>
      <c r="R155">
        <f t="shared" si="33"/>
        <v>1</v>
      </c>
      <c r="S155">
        <f t="shared" si="34"/>
        <v>1</v>
      </c>
      <c r="T155">
        <f t="shared" si="35"/>
        <v>1</v>
      </c>
      <c r="U155">
        <f t="shared" si="36"/>
        <v>1</v>
      </c>
      <c r="V155">
        <f t="shared" si="37"/>
        <v>1</v>
      </c>
      <c r="W155">
        <f t="shared" si="38"/>
        <v>0.80600000000000005</v>
      </c>
      <c r="X155">
        <f t="shared" si="39"/>
        <v>1</v>
      </c>
      <c r="Y155">
        <f t="shared" si="40"/>
        <v>0.98060000000000003</v>
      </c>
    </row>
    <row r="156" spans="1:25" x14ac:dyDescent="0.35">
      <c r="A156">
        <v>153</v>
      </c>
      <c r="B156">
        <v>1000</v>
      </c>
      <c r="C156">
        <v>1000</v>
      </c>
      <c r="D156">
        <v>1000</v>
      </c>
      <c r="E156">
        <v>1000</v>
      </c>
      <c r="F156">
        <v>1000</v>
      </c>
      <c r="G156">
        <v>1000</v>
      </c>
      <c r="H156">
        <v>1000</v>
      </c>
      <c r="I156">
        <v>1000</v>
      </c>
      <c r="J156">
        <f>'[29]GABM_R03_SudipaAPI-data'!$G155</f>
        <v>989</v>
      </c>
      <c r="K156">
        <v>1000</v>
      </c>
      <c r="L156">
        <f t="shared" si="28"/>
        <v>998.9</v>
      </c>
      <c r="N156">
        <f t="shared" si="29"/>
        <v>153</v>
      </c>
      <c r="O156">
        <f t="shared" si="30"/>
        <v>1</v>
      </c>
      <c r="P156">
        <f t="shared" si="31"/>
        <v>1</v>
      </c>
      <c r="Q156">
        <f t="shared" si="32"/>
        <v>1</v>
      </c>
      <c r="R156">
        <f t="shared" si="33"/>
        <v>1</v>
      </c>
      <c r="S156">
        <f t="shared" si="34"/>
        <v>1</v>
      </c>
      <c r="T156">
        <f t="shared" si="35"/>
        <v>1</v>
      </c>
      <c r="U156">
        <f t="shared" si="36"/>
        <v>1</v>
      </c>
      <c r="V156">
        <f t="shared" si="37"/>
        <v>1</v>
      </c>
      <c r="W156">
        <f t="shared" si="38"/>
        <v>0.98899999999999999</v>
      </c>
      <c r="X156">
        <f t="shared" si="39"/>
        <v>1</v>
      </c>
      <c r="Y156">
        <f t="shared" si="40"/>
        <v>0.99890000000000001</v>
      </c>
    </row>
    <row r="157" spans="1:25" x14ac:dyDescent="0.35">
      <c r="A157">
        <v>154</v>
      </c>
      <c r="B157">
        <v>1000</v>
      </c>
      <c r="C157">
        <v>1000</v>
      </c>
      <c r="D157">
        <v>1000</v>
      </c>
      <c r="E157">
        <v>1000</v>
      </c>
      <c r="F157">
        <v>1000</v>
      </c>
      <c r="G157">
        <v>1000</v>
      </c>
      <c r="H157">
        <v>1000</v>
      </c>
      <c r="I157">
        <v>1000</v>
      </c>
      <c r="J157">
        <f>'[29]GABM_R03_SudipaAPI-data'!$G156</f>
        <v>801</v>
      </c>
      <c r="K157">
        <v>1000</v>
      </c>
      <c r="L157">
        <f t="shared" si="28"/>
        <v>980.1</v>
      </c>
      <c r="N157">
        <f t="shared" si="29"/>
        <v>154</v>
      </c>
      <c r="O157">
        <f t="shared" si="30"/>
        <v>1</v>
      </c>
      <c r="P157">
        <f t="shared" si="31"/>
        <v>1</v>
      </c>
      <c r="Q157">
        <f t="shared" si="32"/>
        <v>1</v>
      </c>
      <c r="R157">
        <f t="shared" si="33"/>
        <v>1</v>
      </c>
      <c r="S157">
        <f t="shared" si="34"/>
        <v>1</v>
      </c>
      <c r="T157">
        <f t="shared" si="35"/>
        <v>1</v>
      </c>
      <c r="U157">
        <f t="shared" si="36"/>
        <v>1</v>
      </c>
      <c r="V157">
        <f t="shared" si="37"/>
        <v>1</v>
      </c>
      <c r="W157">
        <f t="shared" si="38"/>
        <v>0.80100000000000005</v>
      </c>
      <c r="X157">
        <f t="shared" si="39"/>
        <v>1</v>
      </c>
      <c r="Y157">
        <f t="shared" si="40"/>
        <v>0.98009999999999997</v>
      </c>
    </row>
    <row r="158" spans="1:25" x14ac:dyDescent="0.35">
      <c r="A158">
        <v>155</v>
      </c>
      <c r="B158">
        <v>1000</v>
      </c>
      <c r="C158">
        <v>1000</v>
      </c>
      <c r="D158">
        <v>1000</v>
      </c>
      <c r="E158">
        <v>1000</v>
      </c>
      <c r="F158">
        <v>1000</v>
      </c>
      <c r="G158">
        <v>1000</v>
      </c>
      <c r="H158">
        <v>1000</v>
      </c>
      <c r="I158">
        <v>1000</v>
      </c>
      <c r="J158">
        <f>'[29]GABM_R03_SudipaAPI-data'!$G157</f>
        <v>995</v>
      </c>
      <c r="K158">
        <v>1000</v>
      </c>
      <c r="L158">
        <f t="shared" si="28"/>
        <v>999.5</v>
      </c>
      <c r="N158">
        <f t="shared" si="29"/>
        <v>155</v>
      </c>
      <c r="O158">
        <f t="shared" si="30"/>
        <v>1</v>
      </c>
      <c r="P158">
        <f t="shared" si="31"/>
        <v>1</v>
      </c>
      <c r="Q158">
        <f t="shared" si="32"/>
        <v>1</v>
      </c>
      <c r="R158">
        <f t="shared" si="33"/>
        <v>1</v>
      </c>
      <c r="S158">
        <f t="shared" si="34"/>
        <v>1</v>
      </c>
      <c r="T158">
        <f t="shared" si="35"/>
        <v>1</v>
      </c>
      <c r="U158">
        <f t="shared" si="36"/>
        <v>1</v>
      </c>
      <c r="V158">
        <f t="shared" si="37"/>
        <v>1</v>
      </c>
      <c r="W158">
        <f t="shared" si="38"/>
        <v>0.995</v>
      </c>
      <c r="X158">
        <f t="shared" si="39"/>
        <v>1</v>
      </c>
      <c r="Y158">
        <f t="shared" si="40"/>
        <v>0.99950000000000006</v>
      </c>
    </row>
    <row r="159" spans="1:25" x14ac:dyDescent="0.35">
      <c r="A159">
        <v>156</v>
      </c>
      <c r="B159">
        <v>1000</v>
      </c>
      <c r="C159">
        <v>1000</v>
      </c>
      <c r="D159">
        <v>1000</v>
      </c>
      <c r="E159">
        <v>1000</v>
      </c>
      <c r="F159">
        <v>1000</v>
      </c>
      <c r="G159">
        <v>1000</v>
      </c>
      <c r="H159">
        <v>1000</v>
      </c>
      <c r="I159">
        <v>1000</v>
      </c>
      <c r="J159">
        <f>'[29]GABM_R03_SudipaAPI-data'!$G158</f>
        <v>785</v>
      </c>
      <c r="K159">
        <v>1000</v>
      </c>
      <c r="L159">
        <f t="shared" si="28"/>
        <v>978.5</v>
      </c>
      <c r="N159">
        <f t="shared" si="29"/>
        <v>156</v>
      </c>
      <c r="O159">
        <f t="shared" si="30"/>
        <v>1</v>
      </c>
      <c r="P159">
        <f t="shared" si="31"/>
        <v>1</v>
      </c>
      <c r="Q159">
        <f t="shared" si="32"/>
        <v>1</v>
      </c>
      <c r="R159">
        <f t="shared" si="33"/>
        <v>1</v>
      </c>
      <c r="S159">
        <f t="shared" si="34"/>
        <v>1</v>
      </c>
      <c r="T159">
        <f t="shared" si="35"/>
        <v>1</v>
      </c>
      <c r="U159">
        <f t="shared" si="36"/>
        <v>1</v>
      </c>
      <c r="V159">
        <f t="shared" si="37"/>
        <v>1</v>
      </c>
      <c r="W159">
        <f t="shared" si="38"/>
        <v>0.78500000000000003</v>
      </c>
      <c r="X159">
        <f t="shared" si="39"/>
        <v>1</v>
      </c>
      <c r="Y159">
        <f t="shared" si="40"/>
        <v>0.97850000000000004</v>
      </c>
    </row>
    <row r="160" spans="1:25" x14ac:dyDescent="0.35">
      <c r="A160">
        <v>157</v>
      </c>
      <c r="B160">
        <v>1000</v>
      </c>
      <c r="C160">
        <v>1000</v>
      </c>
      <c r="D160">
        <v>1000</v>
      </c>
      <c r="E160">
        <v>1000</v>
      </c>
      <c r="F160">
        <v>1000</v>
      </c>
      <c r="G160">
        <v>1000</v>
      </c>
      <c r="H160">
        <v>1000</v>
      </c>
      <c r="I160">
        <v>1000</v>
      </c>
      <c r="J160">
        <f>'[29]GABM_R03_SudipaAPI-data'!$G159</f>
        <v>784</v>
      </c>
      <c r="K160">
        <v>1000</v>
      </c>
      <c r="L160">
        <f t="shared" si="28"/>
        <v>978.4</v>
      </c>
      <c r="N160">
        <f t="shared" si="29"/>
        <v>157</v>
      </c>
      <c r="O160">
        <f t="shared" si="30"/>
        <v>1</v>
      </c>
      <c r="P160">
        <f t="shared" si="31"/>
        <v>1</v>
      </c>
      <c r="Q160">
        <f t="shared" si="32"/>
        <v>1</v>
      </c>
      <c r="R160">
        <f t="shared" si="33"/>
        <v>1</v>
      </c>
      <c r="S160">
        <f t="shared" si="34"/>
        <v>1</v>
      </c>
      <c r="T160">
        <f t="shared" si="35"/>
        <v>1</v>
      </c>
      <c r="U160">
        <f t="shared" si="36"/>
        <v>1</v>
      </c>
      <c r="V160">
        <f t="shared" si="37"/>
        <v>1</v>
      </c>
      <c r="W160">
        <f t="shared" si="38"/>
        <v>0.78400000000000003</v>
      </c>
      <c r="X160">
        <f t="shared" si="39"/>
        <v>1</v>
      </c>
      <c r="Y160">
        <f t="shared" si="40"/>
        <v>0.97839999999999994</v>
      </c>
    </row>
    <row r="161" spans="1:25" x14ac:dyDescent="0.35">
      <c r="A161">
        <v>158</v>
      </c>
      <c r="B161">
        <v>1000</v>
      </c>
      <c r="C161">
        <v>1000</v>
      </c>
      <c r="D161">
        <v>1000</v>
      </c>
      <c r="E161">
        <v>1000</v>
      </c>
      <c r="F161">
        <v>1000</v>
      </c>
      <c r="G161">
        <v>1000</v>
      </c>
      <c r="H161">
        <v>1000</v>
      </c>
      <c r="I161">
        <v>1000</v>
      </c>
      <c r="J161">
        <f>'[29]GABM_R03_SudipaAPI-data'!$G160</f>
        <v>791</v>
      </c>
      <c r="K161">
        <v>1000</v>
      </c>
      <c r="L161">
        <f t="shared" si="28"/>
        <v>979.1</v>
      </c>
      <c r="N161">
        <f t="shared" si="29"/>
        <v>158</v>
      </c>
      <c r="O161">
        <f t="shared" si="30"/>
        <v>1</v>
      </c>
      <c r="P161">
        <f t="shared" si="31"/>
        <v>1</v>
      </c>
      <c r="Q161">
        <f t="shared" si="32"/>
        <v>1</v>
      </c>
      <c r="R161">
        <f t="shared" si="33"/>
        <v>1</v>
      </c>
      <c r="S161">
        <f t="shared" si="34"/>
        <v>1</v>
      </c>
      <c r="T161">
        <f t="shared" si="35"/>
        <v>1</v>
      </c>
      <c r="U161">
        <f t="shared" si="36"/>
        <v>1</v>
      </c>
      <c r="V161">
        <f t="shared" si="37"/>
        <v>1</v>
      </c>
      <c r="W161">
        <f t="shared" si="38"/>
        <v>0.79100000000000004</v>
      </c>
      <c r="X161">
        <f t="shared" si="39"/>
        <v>1</v>
      </c>
      <c r="Y161">
        <f t="shared" si="40"/>
        <v>0.97909999999999997</v>
      </c>
    </row>
    <row r="162" spans="1:25" x14ac:dyDescent="0.35">
      <c r="A162">
        <v>159</v>
      </c>
      <c r="B162">
        <v>1000</v>
      </c>
      <c r="C162">
        <v>1000</v>
      </c>
      <c r="D162">
        <v>1000</v>
      </c>
      <c r="E162">
        <v>1000</v>
      </c>
      <c r="F162">
        <v>1000</v>
      </c>
      <c r="G162">
        <v>1000</v>
      </c>
      <c r="H162">
        <v>1000</v>
      </c>
      <c r="I162">
        <v>1000</v>
      </c>
      <c r="J162">
        <f>'[29]GABM_R03_SudipaAPI-data'!$G161</f>
        <v>995</v>
      </c>
      <c r="K162">
        <v>1000</v>
      </c>
      <c r="L162">
        <f t="shared" si="28"/>
        <v>999.5</v>
      </c>
      <c r="N162">
        <f t="shared" si="29"/>
        <v>159</v>
      </c>
      <c r="O162">
        <f t="shared" si="30"/>
        <v>1</v>
      </c>
      <c r="P162">
        <f t="shared" si="31"/>
        <v>1</v>
      </c>
      <c r="Q162">
        <f t="shared" si="32"/>
        <v>1</v>
      </c>
      <c r="R162">
        <f t="shared" si="33"/>
        <v>1</v>
      </c>
      <c r="S162">
        <f t="shared" si="34"/>
        <v>1</v>
      </c>
      <c r="T162">
        <f t="shared" si="35"/>
        <v>1</v>
      </c>
      <c r="U162">
        <f t="shared" si="36"/>
        <v>1</v>
      </c>
      <c r="V162">
        <f t="shared" si="37"/>
        <v>1</v>
      </c>
      <c r="W162">
        <f t="shared" si="38"/>
        <v>0.995</v>
      </c>
      <c r="X162">
        <f t="shared" si="39"/>
        <v>1</v>
      </c>
      <c r="Y162">
        <f t="shared" si="40"/>
        <v>0.99950000000000006</v>
      </c>
    </row>
    <row r="163" spans="1:25" x14ac:dyDescent="0.35">
      <c r="A163">
        <v>160</v>
      </c>
      <c r="B163">
        <v>1000</v>
      </c>
      <c r="C163">
        <v>1000</v>
      </c>
      <c r="D163">
        <v>1000</v>
      </c>
      <c r="E163">
        <v>1000</v>
      </c>
      <c r="F163">
        <v>1000</v>
      </c>
      <c r="G163">
        <v>1000</v>
      </c>
      <c r="H163">
        <v>1000</v>
      </c>
      <c r="I163">
        <v>1000</v>
      </c>
      <c r="J163">
        <f>'[29]GABM_R03_SudipaAPI-data'!$G162</f>
        <v>996</v>
      </c>
      <c r="K163">
        <v>1000</v>
      </c>
      <c r="L163">
        <f t="shared" si="28"/>
        <v>999.6</v>
      </c>
      <c r="N163">
        <f t="shared" si="29"/>
        <v>160</v>
      </c>
      <c r="O163">
        <f t="shared" si="30"/>
        <v>1</v>
      </c>
      <c r="P163">
        <f t="shared" si="31"/>
        <v>1</v>
      </c>
      <c r="Q163">
        <f t="shared" si="32"/>
        <v>1</v>
      </c>
      <c r="R163">
        <f t="shared" si="33"/>
        <v>1</v>
      </c>
      <c r="S163">
        <f t="shared" si="34"/>
        <v>1</v>
      </c>
      <c r="T163">
        <f t="shared" si="35"/>
        <v>1</v>
      </c>
      <c r="U163">
        <f t="shared" si="36"/>
        <v>1</v>
      </c>
      <c r="V163">
        <f t="shared" si="37"/>
        <v>1</v>
      </c>
      <c r="W163">
        <f t="shared" si="38"/>
        <v>0.996</v>
      </c>
      <c r="X163">
        <f t="shared" si="39"/>
        <v>1</v>
      </c>
      <c r="Y163">
        <f t="shared" si="40"/>
        <v>0.99960000000000004</v>
      </c>
    </row>
    <row r="164" spans="1:25" x14ac:dyDescent="0.35">
      <c r="A164">
        <v>161</v>
      </c>
      <c r="B164">
        <v>1000</v>
      </c>
      <c r="C164">
        <v>1000</v>
      </c>
      <c r="D164">
        <v>1000</v>
      </c>
      <c r="E164">
        <v>1000</v>
      </c>
      <c r="F164">
        <v>1000</v>
      </c>
      <c r="G164">
        <v>1000</v>
      </c>
      <c r="H164">
        <v>1000</v>
      </c>
      <c r="I164">
        <v>1000</v>
      </c>
      <c r="J164">
        <f>'[29]GABM_R03_SudipaAPI-data'!$G163</f>
        <v>996</v>
      </c>
      <c r="K164">
        <v>1000</v>
      </c>
      <c r="L164">
        <f t="shared" si="28"/>
        <v>999.6</v>
      </c>
      <c r="N164">
        <f t="shared" si="29"/>
        <v>161</v>
      </c>
      <c r="O164">
        <f t="shared" si="30"/>
        <v>1</v>
      </c>
      <c r="P164">
        <f t="shared" si="31"/>
        <v>1</v>
      </c>
      <c r="Q164">
        <f t="shared" si="32"/>
        <v>1</v>
      </c>
      <c r="R164">
        <f t="shared" si="33"/>
        <v>1</v>
      </c>
      <c r="S164">
        <f t="shared" si="34"/>
        <v>1</v>
      </c>
      <c r="T164">
        <f t="shared" si="35"/>
        <v>1</v>
      </c>
      <c r="U164">
        <f t="shared" si="36"/>
        <v>1</v>
      </c>
      <c r="V164">
        <f t="shared" si="37"/>
        <v>1</v>
      </c>
      <c r="W164">
        <f t="shared" si="38"/>
        <v>0.996</v>
      </c>
      <c r="X164">
        <f t="shared" si="39"/>
        <v>1</v>
      </c>
      <c r="Y164">
        <f t="shared" si="40"/>
        <v>0.99960000000000004</v>
      </c>
    </row>
    <row r="165" spans="1:25" x14ac:dyDescent="0.35">
      <c r="A165">
        <v>162</v>
      </c>
      <c r="B165">
        <v>1000</v>
      </c>
      <c r="C165">
        <v>1000</v>
      </c>
      <c r="D165">
        <v>1000</v>
      </c>
      <c r="E165">
        <v>1000</v>
      </c>
      <c r="F165">
        <v>1000</v>
      </c>
      <c r="G165">
        <v>1000</v>
      </c>
      <c r="H165">
        <v>1000</v>
      </c>
      <c r="I165">
        <v>1000</v>
      </c>
      <c r="J165">
        <f>'[29]GABM_R03_SudipaAPI-data'!$G164</f>
        <v>996</v>
      </c>
      <c r="K165">
        <v>1000</v>
      </c>
      <c r="L165">
        <f t="shared" si="28"/>
        <v>999.6</v>
      </c>
      <c r="N165">
        <f t="shared" si="29"/>
        <v>162</v>
      </c>
      <c r="O165">
        <f t="shared" si="30"/>
        <v>1</v>
      </c>
      <c r="P165">
        <f t="shared" si="31"/>
        <v>1</v>
      </c>
      <c r="Q165">
        <f t="shared" si="32"/>
        <v>1</v>
      </c>
      <c r="R165">
        <f t="shared" si="33"/>
        <v>1</v>
      </c>
      <c r="S165">
        <f t="shared" si="34"/>
        <v>1</v>
      </c>
      <c r="T165">
        <f t="shared" si="35"/>
        <v>1</v>
      </c>
      <c r="U165">
        <f t="shared" si="36"/>
        <v>1</v>
      </c>
      <c r="V165">
        <f t="shared" si="37"/>
        <v>1</v>
      </c>
      <c r="W165">
        <f t="shared" si="38"/>
        <v>0.996</v>
      </c>
      <c r="X165">
        <f t="shared" si="39"/>
        <v>1</v>
      </c>
      <c r="Y165">
        <f t="shared" si="40"/>
        <v>0.99960000000000004</v>
      </c>
    </row>
    <row r="166" spans="1:25" x14ac:dyDescent="0.35">
      <c r="A166">
        <v>163</v>
      </c>
      <c r="B166">
        <v>1000</v>
      </c>
      <c r="C166">
        <v>1000</v>
      </c>
      <c r="D166">
        <v>1000</v>
      </c>
      <c r="E166">
        <v>1000</v>
      </c>
      <c r="F166">
        <v>1000</v>
      </c>
      <c r="G166">
        <v>1000</v>
      </c>
      <c r="H166">
        <v>1000</v>
      </c>
      <c r="I166">
        <v>1000</v>
      </c>
      <c r="J166">
        <f>'[29]GABM_R03_SudipaAPI-data'!$G165</f>
        <v>997</v>
      </c>
      <c r="K166">
        <v>1000</v>
      </c>
      <c r="L166">
        <f t="shared" si="28"/>
        <v>999.7</v>
      </c>
      <c r="N166">
        <f t="shared" si="29"/>
        <v>163</v>
      </c>
      <c r="O166">
        <f t="shared" si="30"/>
        <v>1</v>
      </c>
      <c r="P166">
        <f t="shared" si="31"/>
        <v>1</v>
      </c>
      <c r="Q166">
        <f t="shared" si="32"/>
        <v>1</v>
      </c>
      <c r="R166">
        <f t="shared" si="33"/>
        <v>1</v>
      </c>
      <c r="S166">
        <f t="shared" si="34"/>
        <v>1</v>
      </c>
      <c r="T166">
        <f t="shared" si="35"/>
        <v>1</v>
      </c>
      <c r="U166">
        <f t="shared" si="36"/>
        <v>1</v>
      </c>
      <c r="V166">
        <f t="shared" si="37"/>
        <v>1</v>
      </c>
      <c r="W166">
        <f t="shared" si="38"/>
        <v>0.997</v>
      </c>
      <c r="X166">
        <f t="shared" si="39"/>
        <v>1</v>
      </c>
      <c r="Y166">
        <f t="shared" si="40"/>
        <v>0.99970000000000003</v>
      </c>
    </row>
    <row r="167" spans="1:25" x14ac:dyDescent="0.35">
      <c r="A167">
        <v>164</v>
      </c>
      <c r="B167">
        <v>1000</v>
      </c>
      <c r="C167">
        <v>1000</v>
      </c>
      <c r="D167">
        <v>1000</v>
      </c>
      <c r="E167">
        <v>1000</v>
      </c>
      <c r="F167">
        <v>1000</v>
      </c>
      <c r="G167">
        <v>1000</v>
      </c>
      <c r="H167">
        <v>1000</v>
      </c>
      <c r="I167">
        <v>1000</v>
      </c>
      <c r="J167">
        <f>'[29]GABM_R03_SudipaAPI-data'!$G166</f>
        <v>792</v>
      </c>
      <c r="K167">
        <v>1000</v>
      </c>
      <c r="L167">
        <f t="shared" si="28"/>
        <v>979.2</v>
      </c>
      <c r="N167">
        <f t="shared" si="29"/>
        <v>164</v>
      </c>
      <c r="O167">
        <f t="shared" si="30"/>
        <v>1</v>
      </c>
      <c r="P167">
        <f t="shared" si="31"/>
        <v>1</v>
      </c>
      <c r="Q167">
        <f t="shared" si="32"/>
        <v>1</v>
      </c>
      <c r="R167">
        <f t="shared" si="33"/>
        <v>1</v>
      </c>
      <c r="S167">
        <f t="shared" si="34"/>
        <v>1</v>
      </c>
      <c r="T167">
        <f t="shared" si="35"/>
        <v>1</v>
      </c>
      <c r="U167">
        <f t="shared" si="36"/>
        <v>1</v>
      </c>
      <c r="V167">
        <f t="shared" si="37"/>
        <v>1</v>
      </c>
      <c r="W167">
        <f t="shared" si="38"/>
        <v>0.79200000000000004</v>
      </c>
      <c r="X167">
        <f t="shared" si="39"/>
        <v>1</v>
      </c>
      <c r="Y167">
        <f t="shared" si="40"/>
        <v>0.97920000000000007</v>
      </c>
    </row>
    <row r="168" spans="1:25" x14ac:dyDescent="0.35">
      <c r="A168">
        <v>165</v>
      </c>
      <c r="B168">
        <v>1000</v>
      </c>
      <c r="C168">
        <v>1000</v>
      </c>
      <c r="D168">
        <v>1000</v>
      </c>
      <c r="E168">
        <v>1000</v>
      </c>
      <c r="F168">
        <v>1000</v>
      </c>
      <c r="G168">
        <v>1000</v>
      </c>
      <c r="H168">
        <v>1000</v>
      </c>
      <c r="I168">
        <v>1000</v>
      </c>
      <c r="J168">
        <f>'[29]GABM_R03_SudipaAPI-data'!$G167</f>
        <v>995</v>
      </c>
      <c r="K168">
        <v>1000</v>
      </c>
      <c r="L168">
        <f t="shared" si="28"/>
        <v>999.5</v>
      </c>
      <c r="N168">
        <f t="shared" si="29"/>
        <v>165</v>
      </c>
      <c r="O168">
        <f t="shared" si="30"/>
        <v>1</v>
      </c>
      <c r="P168">
        <f t="shared" si="31"/>
        <v>1</v>
      </c>
      <c r="Q168">
        <f t="shared" si="32"/>
        <v>1</v>
      </c>
      <c r="R168">
        <f t="shared" si="33"/>
        <v>1</v>
      </c>
      <c r="S168">
        <f t="shared" si="34"/>
        <v>1</v>
      </c>
      <c r="T168">
        <f t="shared" si="35"/>
        <v>1</v>
      </c>
      <c r="U168">
        <f t="shared" si="36"/>
        <v>1</v>
      </c>
      <c r="V168">
        <f t="shared" si="37"/>
        <v>1</v>
      </c>
      <c r="W168">
        <f t="shared" si="38"/>
        <v>0.995</v>
      </c>
      <c r="X168">
        <f t="shared" si="39"/>
        <v>1</v>
      </c>
      <c r="Y168">
        <f t="shared" si="40"/>
        <v>0.99950000000000006</v>
      </c>
    </row>
    <row r="169" spans="1:25" x14ac:dyDescent="0.35">
      <c r="A169">
        <v>166</v>
      </c>
      <c r="B169">
        <v>1000</v>
      </c>
      <c r="C169">
        <v>1000</v>
      </c>
      <c r="D169">
        <v>1000</v>
      </c>
      <c r="E169">
        <v>1000</v>
      </c>
      <c r="F169">
        <v>1000</v>
      </c>
      <c r="G169">
        <v>1000</v>
      </c>
      <c r="H169">
        <v>1000</v>
      </c>
      <c r="I169">
        <v>1000</v>
      </c>
      <c r="J169">
        <f>'[29]GABM_R03_SudipaAPI-data'!$G168</f>
        <v>783</v>
      </c>
      <c r="K169">
        <v>1000</v>
      </c>
      <c r="L169">
        <f t="shared" si="28"/>
        <v>978.3</v>
      </c>
      <c r="N169">
        <f t="shared" si="29"/>
        <v>166</v>
      </c>
      <c r="O169">
        <f t="shared" si="30"/>
        <v>1</v>
      </c>
      <c r="P169">
        <f t="shared" si="31"/>
        <v>1</v>
      </c>
      <c r="Q169">
        <f t="shared" si="32"/>
        <v>1</v>
      </c>
      <c r="R169">
        <f t="shared" si="33"/>
        <v>1</v>
      </c>
      <c r="S169">
        <f t="shared" si="34"/>
        <v>1</v>
      </c>
      <c r="T169">
        <f t="shared" si="35"/>
        <v>1</v>
      </c>
      <c r="U169">
        <f t="shared" si="36"/>
        <v>1</v>
      </c>
      <c r="V169">
        <f t="shared" si="37"/>
        <v>1</v>
      </c>
      <c r="W169">
        <f t="shared" si="38"/>
        <v>0.78300000000000003</v>
      </c>
      <c r="X169">
        <f t="shared" si="39"/>
        <v>1</v>
      </c>
      <c r="Y169">
        <f t="shared" si="40"/>
        <v>0.97829999999999995</v>
      </c>
    </row>
    <row r="170" spans="1:25" x14ac:dyDescent="0.35">
      <c r="A170">
        <v>167</v>
      </c>
      <c r="B170">
        <v>1000</v>
      </c>
      <c r="C170">
        <v>1000</v>
      </c>
      <c r="D170">
        <v>1000</v>
      </c>
      <c r="E170">
        <v>1000</v>
      </c>
      <c r="F170">
        <v>1000</v>
      </c>
      <c r="G170">
        <v>1000</v>
      </c>
      <c r="H170">
        <v>1000</v>
      </c>
      <c r="I170">
        <v>1000</v>
      </c>
      <c r="J170">
        <f>'[29]GABM_R03_SudipaAPI-data'!$G169</f>
        <v>766</v>
      </c>
      <c r="K170">
        <v>1000</v>
      </c>
      <c r="L170">
        <f t="shared" si="28"/>
        <v>976.6</v>
      </c>
      <c r="N170">
        <f t="shared" si="29"/>
        <v>167</v>
      </c>
      <c r="O170">
        <f t="shared" si="30"/>
        <v>1</v>
      </c>
      <c r="P170">
        <f t="shared" si="31"/>
        <v>1</v>
      </c>
      <c r="Q170">
        <f t="shared" si="32"/>
        <v>1</v>
      </c>
      <c r="R170">
        <f t="shared" si="33"/>
        <v>1</v>
      </c>
      <c r="S170">
        <f t="shared" si="34"/>
        <v>1</v>
      </c>
      <c r="T170">
        <f t="shared" si="35"/>
        <v>1</v>
      </c>
      <c r="U170">
        <f t="shared" si="36"/>
        <v>1</v>
      </c>
      <c r="V170">
        <f t="shared" si="37"/>
        <v>1</v>
      </c>
      <c r="W170">
        <f t="shared" si="38"/>
        <v>0.76600000000000001</v>
      </c>
      <c r="X170">
        <f t="shared" si="39"/>
        <v>1</v>
      </c>
      <c r="Y170">
        <f t="shared" si="40"/>
        <v>0.97660000000000002</v>
      </c>
    </row>
    <row r="171" spans="1:25" x14ac:dyDescent="0.35">
      <c r="A171">
        <v>168</v>
      </c>
      <c r="B171">
        <v>1000</v>
      </c>
      <c r="C171">
        <v>1000</v>
      </c>
      <c r="D171">
        <v>1000</v>
      </c>
      <c r="E171">
        <v>1000</v>
      </c>
      <c r="F171">
        <v>1000</v>
      </c>
      <c r="G171">
        <v>1000</v>
      </c>
      <c r="H171">
        <v>1000</v>
      </c>
      <c r="I171">
        <v>1000</v>
      </c>
      <c r="J171">
        <f>'[29]GABM_R03_SudipaAPI-data'!$G170</f>
        <v>766</v>
      </c>
      <c r="K171">
        <v>1000</v>
      </c>
      <c r="L171">
        <f t="shared" si="28"/>
        <v>976.6</v>
      </c>
      <c r="N171">
        <f t="shared" si="29"/>
        <v>168</v>
      </c>
      <c r="O171">
        <f t="shared" si="30"/>
        <v>1</v>
      </c>
      <c r="P171">
        <f t="shared" si="31"/>
        <v>1</v>
      </c>
      <c r="Q171">
        <f t="shared" si="32"/>
        <v>1</v>
      </c>
      <c r="R171">
        <f t="shared" si="33"/>
        <v>1</v>
      </c>
      <c r="S171">
        <f t="shared" si="34"/>
        <v>1</v>
      </c>
      <c r="T171">
        <f t="shared" si="35"/>
        <v>1</v>
      </c>
      <c r="U171">
        <f t="shared" si="36"/>
        <v>1</v>
      </c>
      <c r="V171">
        <f t="shared" si="37"/>
        <v>1</v>
      </c>
      <c r="W171">
        <f t="shared" si="38"/>
        <v>0.76600000000000001</v>
      </c>
      <c r="X171">
        <f t="shared" si="39"/>
        <v>1</v>
      </c>
      <c r="Y171">
        <f t="shared" si="40"/>
        <v>0.97660000000000002</v>
      </c>
    </row>
    <row r="172" spans="1:25" x14ac:dyDescent="0.35">
      <c r="A172">
        <v>169</v>
      </c>
      <c r="B172">
        <v>1000</v>
      </c>
      <c r="C172">
        <v>1000</v>
      </c>
      <c r="D172">
        <v>1000</v>
      </c>
      <c r="E172">
        <v>1000</v>
      </c>
      <c r="F172">
        <v>1000</v>
      </c>
      <c r="G172">
        <v>1000</v>
      </c>
      <c r="H172">
        <v>1000</v>
      </c>
      <c r="I172">
        <v>1000</v>
      </c>
      <c r="J172">
        <f>'[29]GABM_R03_SudipaAPI-data'!$G171</f>
        <v>748</v>
      </c>
      <c r="K172">
        <v>1000</v>
      </c>
      <c r="L172">
        <f t="shared" si="28"/>
        <v>974.8</v>
      </c>
      <c r="N172">
        <f t="shared" si="29"/>
        <v>169</v>
      </c>
      <c r="O172">
        <f t="shared" si="30"/>
        <v>1</v>
      </c>
      <c r="P172">
        <f t="shared" si="31"/>
        <v>1</v>
      </c>
      <c r="Q172">
        <f t="shared" si="32"/>
        <v>1</v>
      </c>
      <c r="R172">
        <f t="shared" si="33"/>
        <v>1</v>
      </c>
      <c r="S172">
        <f t="shared" si="34"/>
        <v>1</v>
      </c>
      <c r="T172">
        <f t="shared" si="35"/>
        <v>1</v>
      </c>
      <c r="U172">
        <f t="shared" si="36"/>
        <v>1</v>
      </c>
      <c r="V172">
        <f t="shared" si="37"/>
        <v>1</v>
      </c>
      <c r="W172">
        <f t="shared" si="38"/>
        <v>0.748</v>
      </c>
      <c r="X172">
        <f t="shared" si="39"/>
        <v>1</v>
      </c>
      <c r="Y172">
        <f t="shared" si="40"/>
        <v>0.9748</v>
      </c>
    </row>
    <row r="173" spans="1:25" x14ac:dyDescent="0.35">
      <c r="A173">
        <v>170</v>
      </c>
      <c r="B173">
        <v>1000</v>
      </c>
      <c r="C173">
        <v>1000</v>
      </c>
      <c r="D173">
        <v>1000</v>
      </c>
      <c r="E173">
        <v>1000</v>
      </c>
      <c r="F173">
        <v>1000</v>
      </c>
      <c r="G173">
        <v>1000</v>
      </c>
      <c r="H173">
        <v>1000</v>
      </c>
      <c r="I173">
        <v>1000</v>
      </c>
      <c r="J173">
        <f>'[29]GABM_R03_SudipaAPI-data'!$G172</f>
        <v>736</v>
      </c>
      <c r="K173">
        <v>1000</v>
      </c>
      <c r="L173">
        <f t="shared" si="28"/>
        <v>973.6</v>
      </c>
      <c r="N173">
        <f t="shared" si="29"/>
        <v>170</v>
      </c>
      <c r="O173">
        <f t="shared" si="30"/>
        <v>1</v>
      </c>
      <c r="P173">
        <f t="shared" si="31"/>
        <v>1</v>
      </c>
      <c r="Q173">
        <f t="shared" si="32"/>
        <v>1</v>
      </c>
      <c r="R173">
        <f t="shared" si="33"/>
        <v>1</v>
      </c>
      <c r="S173">
        <f t="shared" si="34"/>
        <v>1</v>
      </c>
      <c r="T173">
        <f t="shared" si="35"/>
        <v>1</v>
      </c>
      <c r="U173">
        <f t="shared" si="36"/>
        <v>1</v>
      </c>
      <c r="V173">
        <f t="shared" si="37"/>
        <v>1</v>
      </c>
      <c r="W173">
        <f t="shared" si="38"/>
        <v>0.73599999999999999</v>
      </c>
      <c r="X173">
        <f t="shared" si="39"/>
        <v>1</v>
      </c>
      <c r="Y173">
        <f t="shared" si="40"/>
        <v>0.97360000000000002</v>
      </c>
    </row>
    <row r="174" spans="1:25" x14ac:dyDescent="0.35">
      <c r="A174">
        <v>171</v>
      </c>
      <c r="B174">
        <v>1000</v>
      </c>
      <c r="C174">
        <v>1000</v>
      </c>
      <c r="D174">
        <v>1000</v>
      </c>
      <c r="E174">
        <v>1000</v>
      </c>
      <c r="F174">
        <v>1000</v>
      </c>
      <c r="G174">
        <v>1000</v>
      </c>
      <c r="H174">
        <v>1000</v>
      </c>
      <c r="I174">
        <v>1000</v>
      </c>
      <c r="J174">
        <f>'[29]GABM_R03_SudipaAPI-data'!$G173</f>
        <v>799</v>
      </c>
      <c r="K174">
        <v>1000</v>
      </c>
      <c r="L174">
        <f t="shared" si="28"/>
        <v>979.9</v>
      </c>
      <c r="N174">
        <f t="shared" si="29"/>
        <v>171</v>
      </c>
      <c r="O174">
        <f t="shared" si="30"/>
        <v>1</v>
      </c>
      <c r="P174">
        <f t="shared" si="31"/>
        <v>1</v>
      </c>
      <c r="Q174">
        <f t="shared" si="32"/>
        <v>1</v>
      </c>
      <c r="R174">
        <f t="shared" si="33"/>
        <v>1</v>
      </c>
      <c r="S174">
        <f t="shared" si="34"/>
        <v>1</v>
      </c>
      <c r="T174">
        <f t="shared" si="35"/>
        <v>1</v>
      </c>
      <c r="U174">
        <f t="shared" si="36"/>
        <v>1</v>
      </c>
      <c r="V174">
        <f t="shared" si="37"/>
        <v>1</v>
      </c>
      <c r="W174">
        <f t="shared" si="38"/>
        <v>0.79900000000000004</v>
      </c>
      <c r="X174">
        <f t="shared" si="39"/>
        <v>1</v>
      </c>
      <c r="Y174">
        <f t="shared" si="40"/>
        <v>0.97989999999999999</v>
      </c>
    </row>
    <row r="175" spans="1:25" x14ac:dyDescent="0.35">
      <c r="A175">
        <v>172</v>
      </c>
      <c r="B175">
        <v>1000</v>
      </c>
      <c r="C175">
        <v>1000</v>
      </c>
      <c r="D175">
        <v>1000</v>
      </c>
      <c r="E175">
        <v>1000</v>
      </c>
      <c r="F175">
        <v>1000</v>
      </c>
      <c r="G175">
        <v>1000</v>
      </c>
      <c r="H175">
        <v>1000</v>
      </c>
      <c r="I175">
        <v>1000</v>
      </c>
      <c r="J175">
        <f>'[29]GABM_R03_SudipaAPI-data'!$G174</f>
        <v>739</v>
      </c>
      <c r="K175">
        <v>1000</v>
      </c>
      <c r="L175">
        <f t="shared" si="28"/>
        <v>973.9</v>
      </c>
      <c r="N175">
        <f t="shared" si="29"/>
        <v>172</v>
      </c>
      <c r="O175">
        <f t="shared" si="30"/>
        <v>1</v>
      </c>
      <c r="P175">
        <f t="shared" si="31"/>
        <v>1</v>
      </c>
      <c r="Q175">
        <f t="shared" si="32"/>
        <v>1</v>
      </c>
      <c r="R175">
        <f t="shared" si="33"/>
        <v>1</v>
      </c>
      <c r="S175">
        <f t="shared" si="34"/>
        <v>1</v>
      </c>
      <c r="T175">
        <f t="shared" si="35"/>
        <v>1</v>
      </c>
      <c r="U175">
        <f t="shared" si="36"/>
        <v>1</v>
      </c>
      <c r="V175">
        <f t="shared" si="37"/>
        <v>1</v>
      </c>
      <c r="W175">
        <f t="shared" si="38"/>
        <v>0.73899999999999999</v>
      </c>
      <c r="X175">
        <f t="shared" si="39"/>
        <v>1</v>
      </c>
      <c r="Y175">
        <f t="shared" si="40"/>
        <v>0.97389999999999999</v>
      </c>
    </row>
    <row r="176" spans="1:25" x14ac:dyDescent="0.35">
      <c r="A176">
        <v>173</v>
      </c>
      <c r="B176">
        <v>1000</v>
      </c>
      <c r="C176">
        <v>1000</v>
      </c>
      <c r="D176">
        <v>1000</v>
      </c>
      <c r="E176">
        <v>1000</v>
      </c>
      <c r="F176">
        <v>1000</v>
      </c>
      <c r="G176">
        <v>1000</v>
      </c>
      <c r="H176">
        <v>1000</v>
      </c>
      <c r="I176">
        <v>1000</v>
      </c>
      <c r="J176">
        <f>'[29]GABM_R03_SudipaAPI-data'!$G175</f>
        <v>787</v>
      </c>
      <c r="K176">
        <v>1000</v>
      </c>
      <c r="L176">
        <f t="shared" si="28"/>
        <v>978.7</v>
      </c>
      <c r="N176">
        <f t="shared" si="29"/>
        <v>173</v>
      </c>
      <c r="O176">
        <f t="shared" si="30"/>
        <v>1</v>
      </c>
      <c r="P176">
        <f t="shared" si="31"/>
        <v>1</v>
      </c>
      <c r="Q176">
        <f t="shared" si="32"/>
        <v>1</v>
      </c>
      <c r="R176">
        <f t="shared" si="33"/>
        <v>1</v>
      </c>
      <c r="S176">
        <f t="shared" si="34"/>
        <v>1</v>
      </c>
      <c r="T176">
        <f t="shared" si="35"/>
        <v>1</v>
      </c>
      <c r="U176">
        <f t="shared" si="36"/>
        <v>1</v>
      </c>
      <c r="V176">
        <f t="shared" si="37"/>
        <v>1</v>
      </c>
      <c r="W176">
        <f t="shared" si="38"/>
        <v>0.78700000000000003</v>
      </c>
      <c r="X176">
        <f t="shared" si="39"/>
        <v>1</v>
      </c>
      <c r="Y176">
        <f t="shared" si="40"/>
        <v>0.97870000000000001</v>
      </c>
    </row>
    <row r="177" spans="1:25" x14ac:dyDescent="0.35">
      <c r="A177">
        <v>174</v>
      </c>
      <c r="B177">
        <v>1000</v>
      </c>
      <c r="C177">
        <v>1000</v>
      </c>
      <c r="D177">
        <v>1000</v>
      </c>
      <c r="E177">
        <v>1000</v>
      </c>
      <c r="F177">
        <v>1000</v>
      </c>
      <c r="G177">
        <v>1000</v>
      </c>
      <c r="H177">
        <v>1000</v>
      </c>
      <c r="I177">
        <v>1000</v>
      </c>
      <c r="J177">
        <f>'[29]GABM_R03_SudipaAPI-data'!$G176</f>
        <v>994</v>
      </c>
      <c r="K177">
        <v>1000</v>
      </c>
      <c r="L177">
        <f t="shared" si="28"/>
        <v>999.4</v>
      </c>
      <c r="N177">
        <f t="shared" si="29"/>
        <v>174</v>
      </c>
      <c r="O177">
        <f t="shared" si="30"/>
        <v>1</v>
      </c>
      <c r="P177">
        <f t="shared" si="31"/>
        <v>1</v>
      </c>
      <c r="Q177">
        <f t="shared" si="32"/>
        <v>1</v>
      </c>
      <c r="R177">
        <f t="shared" si="33"/>
        <v>1</v>
      </c>
      <c r="S177">
        <f t="shared" si="34"/>
        <v>1</v>
      </c>
      <c r="T177">
        <f t="shared" si="35"/>
        <v>1</v>
      </c>
      <c r="U177">
        <f t="shared" si="36"/>
        <v>1</v>
      </c>
      <c r="V177">
        <f t="shared" si="37"/>
        <v>1</v>
      </c>
      <c r="W177">
        <f t="shared" si="38"/>
        <v>0.99399999999999999</v>
      </c>
      <c r="X177">
        <f t="shared" si="39"/>
        <v>1</v>
      </c>
      <c r="Y177">
        <f t="shared" si="40"/>
        <v>0.99939999999999996</v>
      </c>
    </row>
    <row r="178" spans="1:25" x14ac:dyDescent="0.35">
      <c r="A178">
        <v>175</v>
      </c>
      <c r="B178">
        <v>1000</v>
      </c>
      <c r="C178">
        <v>1000</v>
      </c>
      <c r="D178">
        <v>1000</v>
      </c>
      <c r="E178">
        <v>1000</v>
      </c>
      <c r="F178">
        <v>1000</v>
      </c>
      <c r="G178">
        <v>1000</v>
      </c>
      <c r="H178">
        <v>1000</v>
      </c>
      <c r="I178">
        <v>1000</v>
      </c>
      <c r="J178">
        <f>'[29]GABM_R03_SudipaAPI-data'!$G177</f>
        <v>997</v>
      </c>
      <c r="K178">
        <v>1000</v>
      </c>
      <c r="L178">
        <f t="shared" si="28"/>
        <v>999.7</v>
      </c>
      <c r="N178">
        <f t="shared" si="29"/>
        <v>175</v>
      </c>
      <c r="O178">
        <f t="shared" si="30"/>
        <v>1</v>
      </c>
      <c r="P178">
        <f t="shared" si="31"/>
        <v>1</v>
      </c>
      <c r="Q178">
        <f t="shared" si="32"/>
        <v>1</v>
      </c>
      <c r="R178">
        <f t="shared" si="33"/>
        <v>1</v>
      </c>
      <c r="S178">
        <f t="shared" si="34"/>
        <v>1</v>
      </c>
      <c r="T178">
        <f t="shared" si="35"/>
        <v>1</v>
      </c>
      <c r="U178">
        <f t="shared" si="36"/>
        <v>1</v>
      </c>
      <c r="V178">
        <f t="shared" si="37"/>
        <v>1</v>
      </c>
      <c r="W178">
        <f t="shared" si="38"/>
        <v>0.997</v>
      </c>
      <c r="X178">
        <f t="shared" si="39"/>
        <v>1</v>
      </c>
      <c r="Y178">
        <f t="shared" si="40"/>
        <v>0.99970000000000003</v>
      </c>
    </row>
    <row r="179" spans="1:25" x14ac:dyDescent="0.35">
      <c r="A179">
        <v>176</v>
      </c>
      <c r="B179">
        <v>1000</v>
      </c>
      <c r="C179">
        <v>1000</v>
      </c>
      <c r="D179">
        <v>1000</v>
      </c>
      <c r="E179">
        <v>1000</v>
      </c>
      <c r="F179">
        <v>1000</v>
      </c>
      <c r="G179">
        <v>1000</v>
      </c>
      <c r="H179">
        <v>1000</v>
      </c>
      <c r="I179">
        <v>1000</v>
      </c>
      <c r="J179">
        <f>'[29]GABM_R03_SudipaAPI-data'!$G178</f>
        <v>996</v>
      </c>
      <c r="K179">
        <v>1000</v>
      </c>
      <c r="L179">
        <f t="shared" si="28"/>
        <v>999.6</v>
      </c>
      <c r="N179">
        <f t="shared" si="29"/>
        <v>176</v>
      </c>
      <c r="O179">
        <f t="shared" si="30"/>
        <v>1</v>
      </c>
      <c r="P179">
        <f t="shared" si="31"/>
        <v>1</v>
      </c>
      <c r="Q179">
        <f t="shared" si="32"/>
        <v>1</v>
      </c>
      <c r="R179">
        <f t="shared" si="33"/>
        <v>1</v>
      </c>
      <c r="S179">
        <f t="shared" si="34"/>
        <v>1</v>
      </c>
      <c r="T179">
        <f t="shared" si="35"/>
        <v>1</v>
      </c>
      <c r="U179">
        <f t="shared" si="36"/>
        <v>1</v>
      </c>
      <c r="V179">
        <f t="shared" si="37"/>
        <v>1</v>
      </c>
      <c r="W179">
        <f t="shared" si="38"/>
        <v>0.996</v>
      </c>
      <c r="X179">
        <f t="shared" si="39"/>
        <v>1</v>
      </c>
      <c r="Y179">
        <f t="shared" si="40"/>
        <v>0.99960000000000004</v>
      </c>
    </row>
    <row r="180" spans="1:25" x14ac:dyDescent="0.35">
      <c r="A180">
        <v>177</v>
      </c>
      <c r="B180">
        <v>1000</v>
      </c>
      <c r="C180">
        <v>1000</v>
      </c>
      <c r="D180">
        <v>1000</v>
      </c>
      <c r="E180">
        <v>1000</v>
      </c>
      <c r="F180">
        <v>1000</v>
      </c>
      <c r="G180">
        <v>1000</v>
      </c>
      <c r="H180">
        <v>1000</v>
      </c>
      <c r="I180">
        <v>1000</v>
      </c>
      <c r="J180">
        <f>'[29]GABM_R03_SudipaAPI-data'!$G179</f>
        <v>999</v>
      </c>
      <c r="K180">
        <v>1000</v>
      </c>
      <c r="L180">
        <f t="shared" si="28"/>
        <v>999.9</v>
      </c>
      <c r="N180">
        <f t="shared" si="29"/>
        <v>177</v>
      </c>
      <c r="O180">
        <f t="shared" si="30"/>
        <v>1</v>
      </c>
      <c r="P180">
        <f t="shared" si="31"/>
        <v>1</v>
      </c>
      <c r="Q180">
        <f t="shared" si="32"/>
        <v>1</v>
      </c>
      <c r="R180">
        <f t="shared" si="33"/>
        <v>1</v>
      </c>
      <c r="S180">
        <f t="shared" si="34"/>
        <v>1</v>
      </c>
      <c r="T180">
        <f t="shared" si="35"/>
        <v>1</v>
      </c>
      <c r="U180">
        <f t="shared" si="36"/>
        <v>1</v>
      </c>
      <c r="V180">
        <f t="shared" si="37"/>
        <v>1</v>
      </c>
      <c r="W180">
        <f t="shared" si="38"/>
        <v>0.999</v>
      </c>
      <c r="X180">
        <f t="shared" si="39"/>
        <v>1</v>
      </c>
      <c r="Y180">
        <f t="shared" si="40"/>
        <v>0.99990000000000001</v>
      </c>
    </row>
    <row r="181" spans="1:25" x14ac:dyDescent="0.35">
      <c r="A181">
        <v>178</v>
      </c>
      <c r="B181">
        <v>1000</v>
      </c>
      <c r="C181">
        <v>1000</v>
      </c>
      <c r="D181">
        <v>1000</v>
      </c>
      <c r="E181">
        <v>1000</v>
      </c>
      <c r="F181">
        <v>1000</v>
      </c>
      <c r="G181">
        <v>1000</v>
      </c>
      <c r="H181">
        <v>1000</v>
      </c>
      <c r="I181">
        <v>1000</v>
      </c>
      <c r="J181">
        <f>'[29]GABM_R03_SudipaAPI-data'!$G180</f>
        <v>786</v>
      </c>
      <c r="K181">
        <v>1000</v>
      </c>
      <c r="L181">
        <f t="shared" si="28"/>
        <v>978.6</v>
      </c>
      <c r="N181">
        <f t="shared" si="29"/>
        <v>178</v>
      </c>
      <c r="O181">
        <f t="shared" si="30"/>
        <v>1</v>
      </c>
      <c r="P181">
        <f t="shared" si="31"/>
        <v>1</v>
      </c>
      <c r="Q181">
        <f t="shared" si="32"/>
        <v>1</v>
      </c>
      <c r="R181">
        <f t="shared" si="33"/>
        <v>1</v>
      </c>
      <c r="S181">
        <f t="shared" si="34"/>
        <v>1</v>
      </c>
      <c r="T181">
        <f t="shared" si="35"/>
        <v>1</v>
      </c>
      <c r="U181">
        <f t="shared" si="36"/>
        <v>1</v>
      </c>
      <c r="V181">
        <f t="shared" si="37"/>
        <v>1</v>
      </c>
      <c r="W181">
        <f t="shared" si="38"/>
        <v>0.78600000000000003</v>
      </c>
      <c r="X181">
        <f t="shared" si="39"/>
        <v>1</v>
      </c>
      <c r="Y181">
        <f t="shared" si="40"/>
        <v>0.97860000000000003</v>
      </c>
    </row>
    <row r="182" spans="1:25" x14ac:dyDescent="0.35">
      <c r="A182">
        <v>179</v>
      </c>
      <c r="B182">
        <v>1000</v>
      </c>
      <c r="C182">
        <v>1000</v>
      </c>
      <c r="D182">
        <v>1000</v>
      </c>
      <c r="E182">
        <v>1000</v>
      </c>
      <c r="F182">
        <v>1000</v>
      </c>
      <c r="G182">
        <v>1000</v>
      </c>
      <c r="H182">
        <v>1000</v>
      </c>
      <c r="I182">
        <v>1000</v>
      </c>
      <c r="J182">
        <f>'[29]GABM_R03_SudipaAPI-data'!$G181</f>
        <v>790</v>
      </c>
      <c r="K182">
        <v>1000</v>
      </c>
      <c r="L182">
        <f t="shared" si="28"/>
        <v>979</v>
      </c>
      <c r="N182">
        <f t="shared" si="29"/>
        <v>179</v>
      </c>
      <c r="O182">
        <f t="shared" si="30"/>
        <v>1</v>
      </c>
      <c r="P182">
        <f t="shared" si="31"/>
        <v>1</v>
      </c>
      <c r="Q182">
        <f t="shared" si="32"/>
        <v>1</v>
      </c>
      <c r="R182">
        <f t="shared" si="33"/>
        <v>1</v>
      </c>
      <c r="S182">
        <f t="shared" si="34"/>
        <v>1</v>
      </c>
      <c r="T182">
        <f t="shared" si="35"/>
        <v>1</v>
      </c>
      <c r="U182">
        <f t="shared" si="36"/>
        <v>1</v>
      </c>
      <c r="V182">
        <f t="shared" si="37"/>
        <v>1</v>
      </c>
      <c r="W182">
        <f t="shared" si="38"/>
        <v>0.79</v>
      </c>
      <c r="X182">
        <f t="shared" si="39"/>
        <v>1</v>
      </c>
      <c r="Y182">
        <f t="shared" si="40"/>
        <v>0.97899999999999998</v>
      </c>
    </row>
    <row r="183" spans="1:25" x14ac:dyDescent="0.35">
      <c r="A183">
        <v>180</v>
      </c>
      <c r="B183">
        <v>1000</v>
      </c>
      <c r="C183">
        <v>1000</v>
      </c>
      <c r="D183">
        <v>1000</v>
      </c>
      <c r="E183">
        <v>1000</v>
      </c>
      <c r="F183">
        <v>1000</v>
      </c>
      <c r="G183">
        <v>1000</v>
      </c>
      <c r="H183">
        <v>1000</v>
      </c>
      <c r="I183">
        <v>1000</v>
      </c>
      <c r="J183">
        <f>'[29]GABM_R03_SudipaAPI-data'!$G182</f>
        <v>794</v>
      </c>
      <c r="K183">
        <v>1000</v>
      </c>
      <c r="L183">
        <f t="shared" si="28"/>
        <v>979.4</v>
      </c>
      <c r="N183">
        <f t="shared" si="29"/>
        <v>180</v>
      </c>
      <c r="O183">
        <f t="shared" si="30"/>
        <v>1</v>
      </c>
      <c r="P183">
        <f t="shared" si="31"/>
        <v>1</v>
      </c>
      <c r="Q183">
        <f t="shared" si="32"/>
        <v>1</v>
      </c>
      <c r="R183">
        <f t="shared" si="33"/>
        <v>1</v>
      </c>
      <c r="S183">
        <f t="shared" si="34"/>
        <v>1</v>
      </c>
      <c r="T183">
        <f t="shared" si="35"/>
        <v>1</v>
      </c>
      <c r="U183">
        <f t="shared" si="36"/>
        <v>1</v>
      </c>
      <c r="V183">
        <f t="shared" si="37"/>
        <v>1</v>
      </c>
      <c r="W183">
        <f t="shared" si="38"/>
        <v>0.79400000000000004</v>
      </c>
      <c r="X183">
        <f t="shared" si="39"/>
        <v>1</v>
      </c>
      <c r="Y183">
        <f t="shared" si="40"/>
        <v>0.97939999999999994</v>
      </c>
    </row>
    <row r="184" spans="1:25" x14ac:dyDescent="0.35">
      <c r="A184">
        <v>181</v>
      </c>
      <c r="B184">
        <v>1000</v>
      </c>
      <c r="C184">
        <v>1000</v>
      </c>
      <c r="D184">
        <v>1000</v>
      </c>
      <c r="E184">
        <v>1000</v>
      </c>
      <c r="F184">
        <v>1000</v>
      </c>
      <c r="G184">
        <v>1000</v>
      </c>
      <c r="H184">
        <v>1000</v>
      </c>
      <c r="I184">
        <v>1000</v>
      </c>
      <c r="J184">
        <f>'[29]GABM_R03_SudipaAPI-data'!$G183</f>
        <v>789</v>
      </c>
      <c r="K184">
        <v>1000</v>
      </c>
      <c r="L184">
        <f t="shared" si="28"/>
        <v>978.9</v>
      </c>
      <c r="N184">
        <f t="shared" si="29"/>
        <v>181</v>
      </c>
      <c r="O184">
        <f t="shared" si="30"/>
        <v>1</v>
      </c>
      <c r="P184">
        <f t="shared" si="31"/>
        <v>1</v>
      </c>
      <c r="Q184">
        <f t="shared" si="32"/>
        <v>1</v>
      </c>
      <c r="R184">
        <f t="shared" si="33"/>
        <v>1</v>
      </c>
      <c r="S184">
        <f t="shared" si="34"/>
        <v>1</v>
      </c>
      <c r="T184">
        <f t="shared" si="35"/>
        <v>1</v>
      </c>
      <c r="U184">
        <f t="shared" si="36"/>
        <v>1</v>
      </c>
      <c r="V184">
        <f t="shared" si="37"/>
        <v>1</v>
      </c>
      <c r="W184">
        <f t="shared" si="38"/>
        <v>0.78900000000000003</v>
      </c>
      <c r="X184">
        <f t="shared" si="39"/>
        <v>1</v>
      </c>
      <c r="Y184">
        <f t="shared" si="40"/>
        <v>0.97889999999999999</v>
      </c>
    </row>
    <row r="185" spans="1:25" x14ac:dyDescent="0.35">
      <c r="A185">
        <v>182</v>
      </c>
      <c r="B185">
        <v>1000</v>
      </c>
      <c r="C185">
        <v>1000</v>
      </c>
      <c r="D185">
        <v>1000</v>
      </c>
      <c r="E185">
        <v>1000</v>
      </c>
      <c r="F185">
        <v>1000</v>
      </c>
      <c r="G185">
        <v>1000</v>
      </c>
      <c r="H185">
        <v>1000</v>
      </c>
      <c r="I185">
        <v>1000</v>
      </c>
      <c r="J185">
        <f>'[29]GABM_R03_SudipaAPI-data'!$G184</f>
        <v>993</v>
      </c>
      <c r="K185">
        <v>1000</v>
      </c>
      <c r="L185">
        <f t="shared" ref="L185:L200" si="41">AVERAGE(B185:K185)</f>
        <v>999.3</v>
      </c>
      <c r="N185">
        <f t="shared" si="29"/>
        <v>182</v>
      </c>
      <c r="O185">
        <f t="shared" si="30"/>
        <v>1</v>
      </c>
      <c r="P185">
        <f t="shared" si="31"/>
        <v>1</v>
      </c>
      <c r="Q185">
        <f t="shared" si="32"/>
        <v>1</v>
      </c>
      <c r="R185">
        <f t="shared" si="33"/>
        <v>1</v>
      </c>
      <c r="S185">
        <f t="shared" si="34"/>
        <v>1</v>
      </c>
      <c r="T185">
        <f t="shared" si="35"/>
        <v>1</v>
      </c>
      <c r="U185">
        <f t="shared" si="36"/>
        <v>1</v>
      </c>
      <c r="V185">
        <f t="shared" si="37"/>
        <v>1</v>
      </c>
      <c r="W185">
        <f t="shared" si="38"/>
        <v>0.99299999999999999</v>
      </c>
      <c r="X185">
        <f t="shared" si="39"/>
        <v>1</v>
      </c>
      <c r="Y185">
        <f t="shared" si="40"/>
        <v>0.99929999999999997</v>
      </c>
    </row>
    <row r="186" spans="1:25" x14ac:dyDescent="0.35">
      <c r="A186">
        <v>183</v>
      </c>
      <c r="B186">
        <v>1000</v>
      </c>
      <c r="C186">
        <v>1000</v>
      </c>
      <c r="D186">
        <v>1000</v>
      </c>
      <c r="E186">
        <v>1000</v>
      </c>
      <c r="F186">
        <v>1000</v>
      </c>
      <c r="G186">
        <v>1000</v>
      </c>
      <c r="H186">
        <v>1000</v>
      </c>
      <c r="I186">
        <v>1000</v>
      </c>
      <c r="J186">
        <f>'[29]GABM_R03_SudipaAPI-data'!$G185</f>
        <v>783</v>
      </c>
      <c r="K186">
        <v>1000</v>
      </c>
      <c r="L186">
        <f t="shared" si="41"/>
        <v>978.3</v>
      </c>
      <c r="N186">
        <f t="shared" si="29"/>
        <v>183</v>
      </c>
      <c r="O186">
        <f t="shared" si="30"/>
        <v>1</v>
      </c>
      <c r="P186">
        <f t="shared" si="31"/>
        <v>1</v>
      </c>
      <c r="Q186">
        <f t="shared" si="32"/>
        <v>1</v>
      </c>
      <c r="R186">
        <f t="shared" si="33"/>
        <v>1</v>
      </c>
      <c r="S186">
        <f t="shared" si="34"/>
        <v>1</v>
      </c>
      <c r="T186">
        <f t="shared" si="35"/>
        <v>1</v>
      </c>
      <c r="U186">
        <f t="shared" si="36"/>
        <v>1</v>
      </c>
      <c r="V186">
        <f t="shared" si="37"/>
        <v>1</v>
      </c>
      <c r="W186">
        <f t="shared" si="38"/>
        <v>0.78300000000000003</v>
      </c>
      <c r="X186">
        <f t="shared" si="39"/>
        <v>1</v>
      </c>
      <c r="Y186">
        <f t="shared" si="40"/>
        <v>0.97829999999999995</v>
      </c>
    </row>
    <row r="187" spans="1:25" x14ac:dyDescent="0.35">
      <c r="A187">
        <v>184</v>
      </c>
      <c r="B187">
        <v>1000</v>
      </c>
      <c r="C187">
        <v>1000</v>
      </c>
      <c r="D187">
        <v>1000</v>
      </c>
      <c r="E187">
        <v>1000</v>
      </c>
      <c r="F187">
        <v>1000</v>
      </c>
      <c r="G187">
        <v>1000</v>
      </c>
      <c r="H187">
        <v>1000</v>
      </c>
      <c r="I187">
        <v>1000</v>
      </c>
      <c r="J187">
        <f>'[29]GABM_R03_SudipaAPI-data'!$G186</f>
        <v>790</v>
      </c>
      <c r="K187">
        <v>1000</v>
      </c>
      <c r="L187">
        <f t="shared" si="41"/>
        <v>979</v>
      </c>
      <c r="N187">
        <f t="shared" si="29"/>
        <v>184</v>
      </c>
      <c r="O187">
        <f t="shared" si="30"/>
        <v>1</v>
      </c>
      <c r="P187">
        <f t="shared" si="31"/>
        <v>1</v>
      </c>
      <c r="Q187">
        <f t="shared" si="32"/>
        <v>1</v>
      </c>
      <c r="R187">
        <f t="shared" si="33"/>
        <v>1</v>
      </c>
      <c r="S187">
        <f t="shared" si="34"/>
        <v>1</v>
      </c>
      <c r="T187">
        <f t="shared" si="35"/>
        <v>1</v>
      </c>
      <c r="U187">
        <f t="shared" si="36"/>
        <v>1</v>
      </c>
      <c r="V187">
        <f t="shared" si="37"/>
        <v>1</v>
      </c>
      <c r="W187">
        <f t="shared" si="38"/>
        <v>0.79</v>
      </c>
      <c r="X187">
        <f t="shared" si="39"/>
        <v>1</v>
      </c>
      <c r="Y187">
        <f t="shared" si="40"/>
        <v>0.97899999999999998</v>
      </c>
    </row>
    <row r="188" spans="1:25" x14ac:dyDescent="0.35">
      <c r="A188">
        <v>185</v>
      </c>
      <c r="B188">
        <v>1000</v>
      </c>
      <c r="C188">
        <v>1000</v>
      </c>
      <c r="D188">
        <v>1000</v>
      </c>
      <c r="E188">
        <v>1000</v>
      </c>
      <c r="F188">
        <v>1000</v>
      </c>
      <c r="G188">
        <v>1000</v>
      </c>
      <c r="H188">
        <v>1000</v>
      </c>
      <c r="I188">
        <v>1000</v>
      </c>
      <c r="J188">
        <f>'[29]GABM_R03_SudipaAPI-data'!$G187</f>
        <v>994</v>
      </c>
      <c r="K188">
        <v>1000</v>
      </c>
      <c r="L188">
        <f t="shared" si="41"/>
        <v>999.4</v>
      </c>
      <c r="N188">
        <f t="shared" si="29"/>
        <v>185</v>
      </c>
      <c r="O188">
        <f t="shared" si="30"/>
        <v>1</v>
      </c>
      <c r="P188">
        <f t="shared" si="31"/>
        <v>1</v>
      </c>
      <c r="Q188">
        <f t="shared" si="32"/>
        <v>1</v>
      </c>
      <c r="R188">
        <f t="shared" si="33"/>
        <v>1</v>
      </c>
      <c r="S188">
        <f t="shared" si="34"/>
        <v>1</v>
      </c>
      <c r="T188">
        <f t="shared" si="35"/>
        <v>1</v>
      </c>
      <c r="U188">
        <f t="shared" si="36"/>
        <v>1</v>
      </c>
      <c r="V188">
        <f t="shared" si="37"/>
        <v>1</v>
      </c>
      <c r="W188">
        <f t="shared" si="38"/>
        <v>0.99399999999999999</v>
      </c>
      <c r="X188">
        <f t="shared" si="39"/>
        <v>1</v>
      </c>
      <c r="Y188">
        <f t="shared" si="40"/>
        <v>0.99939999999999996</v>
      </c>
    </row>
    <row r="189" spans="1:25" x14ac:dyDescent="0.35">
      <c r="A189">
        <v>186</v>
      </c>
      <c r="B189">
        <v>1000</v>
      </c>
      <c r="C189">
        <v>1000</v>
      </c>
      <c r="D189">
        <v>1000</v>
      </c>
      <c r="E189">
        <v>1000</v>
      </c>
      <c r="F189">
        <v>1000</v>
      </c>
      <c r="G189">
        <v>1000</v>
      </c>
      <c r="H189">
        <v>1000</v>
      </c>
      <c r="I189">
        <v>1000</v>
      </c>
      <c r="J189">
        <f>'[29]GABM_R03_SudipaAPI-data'!$G188</f>
        <v>788</v>
      </c>
      <c r="K189">
        <v>1000</v>
      </c>
      <c r="L189">
        <f t="shared" si="41"/>
        <v>978.8</v>
      </c>
      <c r="N189">
        <f t="shared" si="29"/>
        <v>186</v>
      </c>
      <c r="O189">
        <f t="shared" si="30"/>
        <v>1</v>
      </c>
      <c r="P189">
        <f t="shared" si="31"/>
        <v>1</v>
      </c>
      <c r="Q189">
        <f t="shared" si="32"/>
        <v>1</v>
      </c>
      <c r="R189">
        <f t="shared" si="33"/>
        <v>1</v>
      </c>
      <c r="S189">
        <f t="shared" si="34"/>
        <v>1</v>
      </c>
      <c r="T189">
        <f t="shared" si="35"/>
        <v>1</v>
      </c>
      <c r="U189">
        <f t="shared" si="36"/>
        <v>1</v>
      </c>
      <c r="V189">
        <f t="shared" si="37"/>
        <v>1</v>
      </c>
      <c r="W189">
        <f t="shared" si="38"/>
        <v>0.78800000000000003</v>
      </c>
      <c r="X189">
        <f t="shared" si="39"/>
        <v>1</v>
      </c>
      <c r="Y189">
        <f t="shared" si="40"/>
        <v>0.9788</v>
      </c>
    </row>
    <row r="190" spans="1:25" x14ac:dyDescent="0.35">
      <c r="A190">
        <v>187</v>
      </c>
      <c r="B190">
        <v>1000</v>
      </c>
      <c r="C190">
        <v>1000</v>
      </c>
      <c r="D190">
        <v>1000</v>
      </c>
      <c r="E190">
        <v>1000</v>
      </c>
      <c r="F190">
        <v>1000</v>
      </c>
      <c r="G190">
        <v>1000</v>
      </c>
      <c r="H190">
        <v>1000</v>
      </c>
      <c r="I190">
        <v>1000</v>
      </c>
      <c r="J190">
        <f>'[29]GABM_R03_SudipaAPI-data'!$G189</f>
        <v>786</v>
      </c>
      <c r="K190">
        <v>1000</v>
      </c>
      <c r="L190">
        <f t="shared" si="41"/>
        <v>978.6</v>
      </c>
      <c r="N190">
        <f t="shared" si="29"/>
        <v>187</v>
      </c>
      <c r="O190">
        <f t="shared" si="30"/>
        <v>1</v>
      </c>
      <c r="P190">
        <f t="shared" si="31"/>
        <v>1</v>
      </c>
      <c r="Q190">
        <f t="shared" si="32"/>
        <v>1</v>
      </c>
      <c r="R190">
        <f t="shared" si="33"/>
        <v>1</v>
      </c>
      <c r="S190">
        <f t="shared" si="34"/>
        <v>1</v>
      </c>
      <c r="T190">
        <f t="shared" si="35"/>
        <v>1</v>
      </c>
      <c r="U190">
        <f t="shared" si="36"/>
        <v>1</v>
      </c>
      <c r="V190">
        <f t="shared" si="37"/>
        <v>1</v>
      </c>
      <c r="W190">
        <f t="shared" si="38"/>
        <v>0.78600000000000003</v>
      </c>
      <c r="X190">
        <f t="shared" si="39"/>
        <v>1</v>
      </c>
      <c r="Y190">
        <f t="shared" si="40"/>
        <v>0.97860000000000003</v>
      </c>
    </row>
    <row r="191" spans="1:25" x14ac:dyDescent="0.35">
      <c r="A191">
        <v>188</v>
      </c>
      <c r="B191">
        <v>1000</v>
      </c>
      <c r="C191">
        <v>1000</v>
      </c>
      <c r="D191">
        <v>1000</v>
      </c>
      <c r="E191">
        <v>1000</v>
      </c>
      <c r="F191">
        <v>1000</v>
      </c>
      <c r="G191">
        <v>1000</v>
      </c>
      <c r="H191">
        <v>1000</v>
      </c>
      <c r="I191">
        <v>1000</v>
      </c>
      <c r="J191">
        <f>'[29]GABM_R03_SudipaAPI-data'!$G190</f>
        <v>779</v>
      </c>
      <c r="K191">
        <v>1000</v>
      </c>
      <c r="L191">
        <f t="shared" si="41"/>
        <v>977.9</v>
      </c>
      <c r="N191">
        <f t="shared" si="29"/>
        <v>188</v>
      </c>
      <c r="O191">
        <f t="shared" si="30"/>
        <v>1</v>
      </c>
      <c r="P191">
        <f t="shared" si="31"/>
        <v>1</v>
      </c>
      <c r="Q191">
        <f t="shared" si="32"/>
        <v>1</v>
      </c>
      <c r="R191">
        <f t="shared" si="33"/>
        <v>1</v>
      </c>
      <c r="S191">
        <f t="shared" si="34"/>
        <v>1</v>
      </c>
      <c r="T191">
        <f t="shared" si="35"/>
        <v>1</v>
      </c>
      <c r="U191">
        <f t="shared" si="36"/>
        <v>1</v>
      </c>
      <c r="V191">
        <f t="shared" si="37"/>
        <v>1</v>
      </c>
      <c r="W191">
        <f t="shared" si="38"/>
        <v>0.77900000000000003</v>
      </c>
      <c r="X191">
        <f t="shared" si="39"/>
        <v>1</v>
      </c>
      <c r="Y191">
        <f t="shared" si="40"/>
        <v>0.97789999999999999</v>
      </c>
    </row>
    <row r="192" spans="1:25" x14ac:dyDescent="0.35">
      <c r="A192">
        <v>189</v>
      </c>
      <c r="B192">
        <v>1000</v>
      </c>
      <c r="C192">
        <v>1000</v>
      </c>
      <c r="D192">
        <v>1000</v>
      </c>
      <c r="E192">
        <v>1000</v>
      </c>
      <c r="F192">
        <v>1000</v>
      </c>
      <c r="G192">
        <v>1000</v>
      </c>
      <c r="H192">
        <v>1000</v>
      </c>
      <c r="I192">
        <v>1000</v>
      </c>
      <c r="J192">
        <f>'[29]GABM_R03_SudipaAPI-data'!$G191</f>
        <v>772</v>
      </c>
      <c r="K192">
        <v>1000</v>
      </c>
      <c r="L192">
        <f t="shared" si="41"/>
        <v>977.2</v>
      </c>
      <c r="N192">
        <f t="shared" si="29"/>
        <v>189</v>
      </c>
      <c r="O192">
        <f t="shared" si="30"/>
        <v>1</v>
      </c>
      <c r="P192">
        <f t="shared" si="31"/>
        <v>1</v>
      </c>
      <c r="Q192">
        <f t="shared" si="32"/>
        <v>1</v>
      </c>
      <c r="R192">
        <f t="shared" si="33"/>
        <v>1</v>
      </c>
      <c r="S192">
        <f t="shared" si="34"/>
        <v>1</v>
      </c>
      <c r="T192">
        <f t="shared" si="35"/>
        <v>1</v>
      </c>
      <c r="U192">
        <f t="shared" si="36"/>
        <v>1</v>
      </c>
      <c r="V192">
        <f t="shared" si="37"/>
        <v>1</v>
      </c>
      <c r="W192">
        <f t="shared" si="38"/>
        <v>0.77200000000000002</v>
      </c>
      <c r="X192">
        <f t="shared" si="39"/>
        <v>1</v>
      </c>
      <c r="Y192">
        <f t="shared" si="40"/>
        <v>0.97720000000000007</v>
      </c>
    </row>
    <row r="193" spans="1:25" x14ac:dyDescent="0.35">
      <c r="A193">
        <v>190</v>
      </c>
      <c r="B193">
        <v>1000</v>
      </c>
      <c r="C193">
        <v>1000</v>
      </c>
      <c r="D193">
        <v>1000</v>
      </c>
      <c r="E193">
        <v>1000</v>
      </c>
      <c r="F193">
        <v>1000</v>
      </c>
      <c r="G193">
        <v>1000</v>
      </c>
      <c r="H193">
        <v>1000</v>
      </c>
      <c r="I193">
        <v>1000</v>
      </c>
      <c r="J193">
        <f>'[29]GABM_R03_SudipaAPI-data'!$G192</f>
        <v>783</v>
      </c>
      <c r="K193">
        <v>1000</v>
      </c>
      <c r="L193">
        <f t="shared" si="41"/>
        <v>978.3</v>
      </c>
      <c r="N193">
        <f t="shared" si="29"/>
        <v>190</v>
      </c>
      <c r="O193">
        <f t="shared" si="30"/>
        <v>1</v>
      </c>
      <c r="P193">
        <f t="shared" si="31"/>
        <v>1</v>
      </c>
      <c r="Q193">
        <f t="shared" si="32"/>
        <v>1</v>
      </c>
      <c r="R193">
        <f t="shared" si="33"/>
        <v>1</v>
      </c>
      <c r="S193">
        <f t="shared" si="34"/>
        <v>1</v>
      </c>
      <c r="T193">
        <f t="shared" si="35"/>
        <v>1</v>
      </c>
      <c r="U193">
        <f t="shared" si="36"/>
        <v>1</v>
      </c>
      <c r="V193">
        <f t="shared" si="37"/>
        <v>1</v>
      </c>
      <c r="W193">
        <f t="shared" si="38"/>
        <v>0.78300000000000003</v>
      </c>
      <c r="X193">
        <f t="shared" si="39"/>
        <v>1</v>
      </c>
      <c r="Y193">
        <f t="shared" si="40"/>
        <v>0.97829999999999995</v>
      </c>
    </row>
    <row r="194" spans="1:25" x14ac:dyDescent="0.35">
      <c r="A194">
        <v>191</v>
      </c>
      <c r="B194">
        <v>1000</v>
      </c>
      <c r="C194">
        <v>1000</v>
      </c>
      <c r="D194">
        <v>1000</v>
      </c>
      <c r="E194">
        <v>1000</v>
      </c>
      <c r="F194">
        <v>1000</v>
      </c>
      <c r="G194">
        <v>1000</v>
      </c>
      <c r="H194">
        <v>1000</v>
      </c>
      <c r="I194">
        <v>1000</v>
      </c>
      <c r="J194">
        <f>'[29]GABM_R03_SudipaAPI-data'!$G193</f>
        <v>781</v>
      </c>
      <c r="K194">
        <v>1000</v>
      </c>
      <c r="L194">
        <f t="shared" si="41"/>
        <v>978.1</v>
      </c>
      <c r="N194">
        <f t="shared" si="29"/>
        <v>191</v>
      </c>
      <c r="O194">
        <f t="shared" si="30"/>
        <v>1</v>
      </c>
      <c r="P194">
        <f t="shared" si="31"/>
        <v>1</v>
      </c>
      <c r="Q194">
        <f t="shared" si="32"/>
        <v>1</v>
      </c>
      <c r="R194">
        <f t="shared" si="33"/>
        <v>1</v>
      </c>
      <c r="S194">
        <f t="shared" si="34"/>
        <v>1</v>
      </c>
      <c r="T194">
        <f t="shared" si="35"/>
        <v>1</v>
      </c>
      <c r="U194">
        <f t="shared" si="36"/>
        <v>1</v>
      </c>
      <c r="V194">
        <f t="shared" si="37"/>
        <v>1</v>
      </c>
      <c r="W194">
        <f t="shared" si="38"/>
        <v>0.78100000000000003</v>
      </c>
      <c r="X194">
        <f t="shared" si="39"/>
        <v>1</v>
      </c>
      <c r="Y194">
        <f t="shared" si="40"/>
        <v>0.97809999999999997</v>
      </c>
    </row>
    <row r="195" spans="1:25" x14ac:dyDescent="0.35">
      <c r="A195">
        <v>192</v>
      </c>
      <c r="B195">
        <v>1000</v>
      </c>
      <c r="C195">
        <v>1000</v>
      </c>
      <c r="D195">
        <v>1000</v>
      </c>
      <c r="E195">
        <v>1000</v>
      </c>
      <c r="F195">
        <v>1000</v>
      </c>
      <c r="G195">
        <v>1000</v>
      </c>
      <c r="H195">
        <v>1000</v>
      </c>
      <c r="I195">
        <v>1000</v>
      </c>
      <c r="J195">
        <f>'[29]GABM_R03_SudipaAPI-data'!$G194</f>
        <v>787</v>
      </c>
      <c r="K195">
        <v>1000</v>
      </c>
      <c r="L195">
        <f t="shared" si="41"/>
        <v>978.7</v>
      </c>
      <c r="N195">
        <f t="shared" ref="N195:N200" si="42">A195</f>
        <v>192</v>
      </c>
      <c r="O195">
        <f t="shared" si="30"/>
        <v>1</v>
      </c>
      <c r="P195">
        <f t="shared" si="31"/>
        <v>1</v>
      </c>
      <c r="Q195">
        <f t="shared" si="32"/>
        <v>1</v>
      </c>
      <c r="R195">
        <f t="shared" si="33"/>
        <v>1</v>
      </c>
      <c r="S195">
        <f t="shared" si="34"/>
        <v>1</v>
      </c>
      <c r="T195">
        <f t="shared" si="35"/>
        <v>1</v>
      </c>
      <c r="U195">
        <f t="shared" si="36"/>
        <v>1</v>
      </c>
      <c r="V195">
        <f t="shared" si="37"/>
        <v>1</v>
      </c>
      <c r="W195">
        <f t="shared" si="38"/>
        <v>0.78700000000000003</v>
      </c>
      <c r="X195">
        <f t="shared" si="39"/>
        <v>1</v>
      </c>
      <c r="Y195">
        <f t="shared" si="40"/>
        <v>0.97870000000000001</v>
      </c>
    </row>
    <row r="196" spans="1:25" x14ac:dyDescent="0.35">
      <c r="A196">
        <v>193</v>
      </c>
      <c r="B196">
        <v>1000</v>
      </c>
      <c r="C196">
        <v>1000</v>
      </c>
      <c r="D196">
        <v>1000</v>
      </c>
      <c r="E196">
        <v>1000</v>
      </c>
      <c r="F196">
        <v>1000</v>
      </c>
      <c r="G196">
        <v>1000</v>
      </c>
      <c r="H196">
        <v>1000</v>
      </c>
      <c r="I196">
        <v>1000</v>
      </c>
      <c r="J196">
        <f>'[29]GABM_R03_SudipaAPI-data'!$G195</f>
        <v>786</v>
      </c>
      <c r="K196">
        <v>1000</v>
      </c>
      <c r="L196">
        <f t="shared" si="41"/>
        <v>978.6</v>
      </c>
      <c r="N196">
        <f t="shared" si="42"/>
        <v>193</v>
      </c>
      <c r="O196">
        <f t="shared" ref="O196:O200" si="43">B196/1000</f>
        <v>1</v>
      </c>
      <c r="P196">
        <f t="shared" ref="P196:P200" si="44">C196/1000</f>
        <v>1</v>
      </c>
      <c r="Q196">
        <f t="shared" ref="Q196:Q200" si="45">D196/1000</f>
        <v>1</v>
      </c>
      <c r="R196">
        <f t="shared" ref="R196:R200" si="46">E196/1000</f>
        <v>1</v>
      </c>
      <c r="S196">
        <f t="shared" ref="S196:S200" si="47">F196/1000</f>
        <v>1</v>
      </c>
      <c r="T196">
        <f t="shared" ref="T196:T200" si="48">G196/1000</f>
        <v>1</v>
      </c>
      <c r="U196">
        <f t="shared" ref="U196:U200" si="49">H196/1000</f>
        <v>1</v>
      </c>
      <c r="V196">
        <f t="shared" ref="V196:V200" si="50">I196/1000</f>
        <v>1</v>
      </c>
      <c r="W196">
        <f t="shared" ref="W196:W200" si="51">J196/1000</f>
        <v>0.78600000000000003</v>
      </c>
      <c r="X196">
        <f t="shared" ref="X196:X200" si="52">K196/1000</f>
        <v>1</v>
      </c>
      <c r="Y196">
        <f t="shared" ref="Y196:Y200" si="53">L196/1000</f>
        <v>0.97860000000000003</v>
      </c>
    </row>
    <row r="197" spans="1:25" x14ac:dyDescent="0.35">
      <c r="A197">
        <v>194</v>
      </c>
      <c r="B197">
        <v>1000</v>
      </c>
      <c r="C197">
        <v>1000</v>
      </c>
      <c r="D197">
        <v>1000</v>
      </c>
      <c r="E197">
        <v>1000</v>
      </c>
      <c r="F197">
        <v>1000</v>
      </c>
      <c r="G197">
        <v>1000</v>
      </c>
      <c r="H197">
        <v>1000</v>
      </c>
      <c r="I197">
        <v>1000</v>
      </c>
      <c r="J197">
        <f>'[29]GABM_R03_SudipaAPI-data'!$G196</f>
        <v>796</v>
      </c>
      <c r="K197">
        <v>1000</v>
      </c>
      <c r="L197">
        <f t="shared" si="41"/>
        <v>979.6</v>
      </c>
      <c r="N197">
        <f t="shared" si="42"/>
        <v>194</v>
      </c>
      <c r="O197">
        <f t="shared" si="43"/>
        <v>1</v>
      </c>
      <c r="P197">
        <f t="shared" si="44"/>
        <v>1</v>
      </c>
      <c r="Q197">
        <f t="shared" si="45"/>
        <v>1</v>
      </c>
      <c r="R197">
        <f t="shared" si="46"/>
        <v>1</v>
      </c>
      <c r="S197">
        <f t="shared" si="47"/>
        <v>1</v>
      </c>
      <c r="T197">
        <f t="shared" si="48"/>
        <v>1</v>
      </c>
      <c r="U197">
        <f t="shared" si="49"/>
        <v>1</v>
      </c>
      <c r="V197">
        <f t="shared" si="50"/>
        <v>1</v>
      </c>
      <c r="W197">
        <f t="shared" si="51"/>
        <v>0.79600000000000004</v>
      </c>
      <c r="X197">
        <f t="shared" si="52"/>
        <v>1</v>
      </c>
      <c r="Y197">
        <f t="shared" si="53"/>
        <v>0.97960000000000003</v>
      </c>
    </row>
    <row r="198" spans="1:25" x14ac:dyDescent="0.35">
      <c r="A198">
        <v>195</v>
      </c>
      <c r="B198">
        <v>1000</v>
      </c>
      <c r="C198">
        <v>1000</v>
      </c>
      <c r="D198">
        <v>1000</v>
      </c>
      <c r="E198">
        <v>1000</v>
      </c>
      <c r="F198">
        <v>1000</v>
      </c>
      <c r="G198">
        <v>1000</v>
      </c>
      <c r="H198">
        <v>1000</v>
      </c>
      <c r="I198">
        <v>1000</v>
      </c>
      <c r="J198">
        <f>'[29]GABM_R03_SudipaAPI-data'!$G197</f>
        <v>788</v>
      </c>
      <c r="K198">
        <v>1000</v>
      </c>
      <c r="L198">
        <f t="shared" si="41"/>
        <v>978.8</v>
      </c>
      <c r="N198">
        <f t="shared" si="42"/>
        <v>195</v>
      </c>
      <c r="O198">
        <f t="shared" si="43"/>
        <v>1</v>
      </c>
      <c r="P198">
        <f t="shared" si="44"/>
        <v>1</v>
      </c>
      <c r="Q198">
        <f t="shared" si="45"/>
        <v>1</v>
      </c>
      <c r="R198">
        <f t="shared" si="46"/>
        <v>1</v>
      </c>
      <c r="S198">
        <f t="shared" si="47"/>
        <v>1</v>
      </c>
      <c r="T198">
        <f t="shared" si="48"/>
        <v>1</v>
      </c>
      <c r="U198">
        <f t="shared" si="49"/>
        <v>1</v>
      </c>
      <c r="V198">
        <f t="shared" si="50"/>
        <v>1</v>
      </c>
      <c r="W198">
        <f t="shared" si="51"/>
        <v>0.78800000000000003</v>
      </c>
      <c r="X198">
        <f t="shared" si="52"/>
        <v>1</v>
      </c>
      <c r="Y198">
        <f t="shared" si="53"/>
        <v>0.9788</v>
      </c>
    </row>
    <row r="199" spans="1:25" x14ac:dyDescent="0.35">
      <c r="A199">
        <v>196</v>
      </c>
      <c r="B199">
        <v>1000</v>
      </c>
      <c r="C199">
        <v>1000</v>
      </c>
      <c r="D199">
        <v>1000</v>
      </c>
      <c r="E199">
        <v>1000</v>
      </c>
      <c r="F199">
        <v>1000</v>
      </c>
      <c r="G199">
        <v>1000</v>
      </c>
      <c r="H199">
        <v>1000</v>
      </c>
      <c r="I199">
        <v>1000</v>
      </c>
      <c r="J199">
        <f>'[29]GABM_R03_SudipaAPI-data'!$G198</f>
        <v>994</v>
      </c>
      <c r="K199">
        <v>1000</v>
      </c>
      <c r="L199">
        <f t="shared" si="41"/>
        <v>999.4</v>
      </c>
      <c r="N199">
        <f t="shared" si="42"/>
        <v>196</v>
      </c>
      <c r="O199">
        <f t="shared" si="43"/>
        <v>1</v>
      </c>
      <c r="P199">
        <f t="shared" si="44"/>
        <v>1</v>
      </c>
      <c r="Q199">
        <f t="shared" si="45"/>
        <v>1</v>
      </c>
      <c r="R199">
        <f t="shared" si="46"/>
        <v>1</v>
      </c>
      <c r="S199">
        <f t="shared" si="47"/>
        <v>1</v>
      </c>
      <c r="T199">
        <f t="shared" si="48"/>
        <v>1</v>
      </c>
      <c r="U199">
        <f t="shared" si="49"/>
        <v>1</v>
      </c>
      <c r="V199">
        <f t="shared" si="50"/>
        <v>1</v>
      </c>
      <c r="W199">
        <f t="shared" si="51"/>
        <v>0.99399999999999999</v>
      </c>
      <c r="X199">
        <f t="shared" si="52"/>
        <v>1</v>
      </c>
      <c r="Y199">
        <f t="shared" si="53"/>
        <v>0.99939999999999996</v>
      </c>
    </row>
    <row r="200" spans="1:25" x14ac:dyDescent="0.35">
      <c r="A200">
        <v>197</v>
      </c>
      <c r="B200">
        <v>1000</v>
      </c>
      <c r="C200">
        <v>1000</v>
      </c>
      <c r="D200">
        <v>1000</v>
      </c>
      <c r="E200">
        <v>1000</v>
      </c>
      <c r="F200">
        <v>1000</v>
      </c>
      <c r="G200">
        <v>1000</v>
      </c>
      <c r="H200">
        <v>1000</v>
      </c>
      <c r="I200">
        <v>1000</v>
      </c>
      <c r="J200">
        <f>'[29]GABM_R03_SudipaAPI-data'!$G199</f>
        <v>996</v>
      </c>
      <c r="K200">
        <v>1000</v>
      </c>
      <c r="L200">
        <f t="shared" si="41"/>
        <v>999.6</v>
      </c>
      <c r="N200">
        <f t="shared" si="42"/>
        <v>197</v>
      </c>
      <c r="O200">
        <f t="shared" si="43"/>
        <v>1</v>
      </c>
      <c r="P200">
        <f t="shared" si="44"/>
        <v>1</v>
      </c>
      <c r="Q200">
        <f t="shared" si="45"/>
        <v>1</v>
      </c>
      <c r="R200">
        <f t="shared" si="46"/>
        <v>1</v>
      </c>
      <c r="S200">
        <f t="shared" si="47"/>
        <v>1</v>
      </c>
      <c r="T200">
        <f t="shared" si="48"/>
        <v>1</v>
      </c>
      <c r="U200">
        <f t="shared" si="49"/>
        <v>1</v>
      </c>
      <c r="V200">
        <f t="shared" si="50"/>
        <v>1</v>
      </c>
      <c r="W200">
        <f t="shared" si="51"/>
        <v>0.996</v>
      </c>
      <c r="X200">
        <f t="shared" si="52"/>
        <v>1</v>
      </c>
      <c r="Y200">
        <f t="shared" si="53"/>
        <v>0.99960000000000004</v>
      </c>
    </row>
    <row r="202" spans="1:25" x14ac:dyDescent="0.35">
      <c r="N202" t="s">
        <v>25</v>
      </c>
      <c r="O202">
        <f>AVERAGE(O4:O28)</f>
        <v>0.65159999999999996</v>
      </c>
      <c r="P202">
        <f t="shared" ref="P202:X202" si="54">AVERAGE(P4:P28)</f>
        <v>0.71631999999999996</v>
      </c>
      <c r="Q202">
        <f t="shared" si="54"/>
        <v>0.71519999999999995</v>
      </c>
      <c r="R202">
        <f t="shared" si="54"/>
        <v>0.71779999999999977</v>
      </c>
      <c r="S202">
        <f t="shared" si="54"/>
        <v>0.69931999999999983</v>
      </c>
      <c r="T202">
        <f t="shared" si="54"/>
        <v>0.73820000000000008</v>
      </c>
      <c r="U202">
        <f t="shared" si="54"/>
        <v>0.75092000000000003</v>
      </c>
      <c r="V202">
        <f t="shared" si="54"/>
        <v>0.71983999999999992</v>
      </c>
      <c r="W202">
        <f t="shared" si="54"/>
        <v>0.73884000000000005</v>
      </c>
      <c r="X202">
        <f t="shared" si="54"/>
        <v>0.71852000000000005</v>
      </c>
    </row>
    <row r="204" spans="1:25" x14ac:dyDescent="0.35">
      <c r="N204" t="s">
        <v>26</v>
      </c>
      <c r="O204">
        <f>AVERAGE(O202:X202)</f>
        <v>0.71665599999999985</v>
      </c>
    </row>
    <row r="205" spans="1:25" x14ac:dyDescent="0.35">
      <c r="N205" t="s">
        <v>28</v>
      </c>
      <c r="O205">
        <f>MIN(O202:X202)</f>
        <v>0.65159999999999996</v>
      </c>
    </row>
    <row r="206" spans="1:25" x14ac:dyDescent="0.35">
      <c r="N206" t="s">
        <v>27</v>
      </c>
      <c r="O206">
        <f>MAX(O202:X202)</f>
        <v>0.75092000000000003</v>
      </c>
    </row>
    <row r="209" spans="14:15" x14ac:dyDescent="0.35">
      <c r="N209" t="s">
        <v>53</v>
      </c>
      <c r="O209">
        <f>MEDIAN(O202:X202)</f>
        <v>0.71815999999999991</v>
      </c>
    </row>
    <row r="210" spans="14:15" x14ac:dyDescent="0.35">
      <c r="N210" t="s">
        <v>54</v>
      </c>
      <c r="O210">
        <f>S202</f>
        <v>0.69931999999999983</v>
      </c>
    </row>
    <row r="211" spans="14:15" x14ac:dyDescent="0.35">
      <c r="N211" t="s">
        <v>55</v>
      </c>
      <c r="O211">
        <f>W202</f>
        <v>0.73884000000000005</v>
      </c>
    </row>
  </sheetData>
  <mergeCells count="2">
    <mergeCell ref="A1:L1"/>
    <mergeCell ref="N1:Y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7DC40-89DD-4E6B-BCAD-E0399946DF2A}">
  <dimension ref="A1:P46"/>
  <sheetViews>
    <sheetView zoomScale="145" zoomScaleNormal="145" workbookViewId="0">
      <selection activeCell="L3" sqref="L3"/>
    </sheetView>
  </sheetViews>
  <sheetFormatPr defaultRowHeight="14.5" x14ac:dyDescent="0.35"/>
  <sheetData>
    <row r="1" spans="1:16" x14ac:dyDescent="0.35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6" x14ac:dyDescent="0.35">
      <c r="A2" t="s">
        <v>10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12</v>
      </c>
      <c r="N2" t="s">
        <v>32</v>
      </c>
      <c r="P2">
        <f>MAX(B3:K29)</f>
        <v>202</v>
      </c>
    </row>
    <row r="3" spans="1:16" x14ac:dyDescent="0.35">
      <c r="A3">
        <v>0</v>
      </c>
      <c r="B3">
        <f>'[1]GABM_R03_Terry_no_fb-data'!$H2</f>
        <v>2</v>
      </c>
      <c r="C3">
        <f>'[2]GABM_R03_MitchellAPI_no_fb-data'!$H2</f>
        <v>2</v>
      </c>
      <c r="D3">
        <f>'[3]GABM_R03_NavidAPI_no_fb-data'!$H2</f>
        <v>2</v>
      </c>
      <c r="E3">
        <f>'[4]GABM_R03_RandiAPI_no_fb_runtwo-'!$H2</f>
        <v>2</v>
      </c>
      <c r="F3">
        <f>'[5]GABM_R03_SudipaAPI_no_fb-data'!$H2</f>
        <v>2</v>
      </c>
      <c r="G3">
        <f>'[6]GABM_R03_NavidAPI_no_fb_runtwo-'!$H2</f>
        <v>2</v>
      </c>
      <c r="H3">
        <f>'[7]GABM_R03_savannah_no_fb-data'!$H2</f>
        <v>2</v>
      </c>
      <c r="I3">
        <f>'[8]GABM_R03_Terry_no_fb_run_two-da'!$H2</f>
        <v>2</v>
      </c>
      <c r="J3">
        <f>[9]GABM_R03_MitchellAPI_no_fb_runt!$H2</f>
        <v>2</v>
      </c>
      <c r="K3">
        <f>'[10]R03_GABM_NiyoushaAPI_no_fb-data'!$H2</f>
        <v>2</v>
      </c>
      <c r="L3">
        <f>AVERAGE(B3:K3)</f>
        <v>2</v>
      </c>
      <c r="N3">
        <f>L3</f>
        <v>2</v>
      </c>
    </row>
    <row r="4" spans="1:16" x14ac:dyDescent="0.35">
      <c r="A4">
        <v>1</v>
      </c>
      <c r="B4">
        <f>'[1]GABM_R03_Terry_no_fb-data'!$H3</f>
        <v>4</v>
      </c>
      <c r="C4">
        <f>'[2]GABM_R03_MitchellAPI_no_fb-data'!$H3</f>
        <v>2</v>
      </c>
      <c r="D4">
        <f>'[3]GABM_R03_NavidAPI_no_fb-data'!$H3</f>
        <v>2</v>
      </c>
      <c r="E4">
        <f>'[4]GABM_R03_RandiAPI_no_fb_runtwo-'!$H3</f>
        <v>0</v>
      </c>
      <c r="F4">
        <f>'[5]GABM_R03_SudipaAPI_no_fb-data'!$H3</f>
        <v>2</v>
      </c>
      <c r="G4">
        <f>'[6]GABM_R03_NavidAPI_no_fb_runtwo-'!$H3</f>
        <v>5</v>
      </c>
      <c r="H4">
        <f>'[7]GABM_R03_savannah_no_fb-data'!$H3</f>
        <v>0</v>
      </c>
      <c r="I4">
        <f>'[8]GABM_R03_Terry_no_fb_run_two-da'!$H3</f>
        <v>2</v>
      </c>
      <c r="J4">
        <f>[9]GABM_R03_MitchellAPI_no_fb_runt!$H3</f>
        <v>1</v>
      </c>
      <c r="K4">
        <f>'[10]R03_GABM_NiyoushaAPI_no_fb-data'!$H3</f>
        <v>3</v>
      </c>
      <c r="L4">
        <f t="shared" ref="L4:L29" si="0">AVERAGE(B4:K4)</f>
        <v>2.1</v>
      </c>
      <c r="N4">
        <f>N3+L4</f>
        <v>4.0999999999999996</v>
      </c>
    </row>
    <row r="5" spans="1:16" x14ac:dyDescent="0.35">
      <c r="A5">
        <v>2</v>
      </c>
      <c r="B5">
        <f>'[1]GABM_R03_Terry_no_fb-data'!$H4</f>
        <v>3</v>
      </c>
      <c r="C5">
        <f>'[2]GABM_R03_MitchellAPI_no_fb-data'!$H4</f>
        <v>4</v>
      </c>
      <c r="D5">
        <f>'[3]GABM_R03_NavidAPI_no_fb-data'!$H4</f>
        <v>3</v>
      </c>
      <c r="E5">
        <f>'[4]GABM_R03_RandiAPI_no_fb_runtwo-'!$H4</f>
        <v>4</v>
      </c>
      <c r="F5">
        <f>'[5]GABM_R03_SudipaAPI_no_fb-data'!$H4</f>
        <v>3</v>
      </c>
      <c r="G5">
        <f>'[6]GABM_R03_NavidAPI_no_fb_runtwo-'!$H4</f>
        <v>6</v>
      </c>
      <c r="H5">
        <f>'[7]GABM_R03_savannah_no_fb-data'!$H4</f>
        <v>4</v>
      </c>
      <c r="I5">
        <f>'[8]GABM_R03_Terry_no_fb_run_two-da'!$H4</f>
        <v>2</v>
      </c>
      <c r="J5">
        <f>[9]GABM_R03_MitchellAPI_no_fb_runt!$H4</f>
        <v>1</v>
      </c>
      <c r="K5">
        <f>'[10]R03_GABM_NiyoushaAPI_no_fb-data'!$H4</f>
        <v>7</v>
      </c>
      <c r="L5">
        <f t="shared" si="0"/>
        <v>3.7</v>
      </c>
      <c r="N5">
        <f t="shared" ref="N5:N29" si="1">N4+L5</f>
        <v>7.8</v>
      </c>
    </row>
    <row r="6" spans="1:16" x14ac:dyDescent="0.35">
      <c r="A6">
        <v>3</v>
      </c>
      <c r="B6">
        <f>'[1]GABM_R03_Terry_no_fb-data'!$H5</f>
        <v>6</v>
      </c>
      <c r="C6">
        <f>'[2]GABM_R03_MitchellAPI_no_fb-data'!$H5</f>
        <v>7</v>
      </c>
      <c r="D6">
        <f>'[3]GABM_R03_NavidAPI_no_fb-data'!$H5</f>
        <v>5</v>
      </c>
      <c r="E6">
        <f>'[4]GABM_R03_RandiAPI_no_fb_runtwo-'!$H5</f>
        <v>7</v>
      </c>
      <c r="F6">
        <f>'[5]GABM_R03_SudipaAPI_no_fb-data'!$H5</f>
        <v>8</v>
      </c>
      <c r="G6">
        <f>'[6]GABM_R03_NavidAPI_no_fb_runtwo-'!$H5</f>
        <v>12</v>
      </c>
      <c r="H6">
        <f>'[7]GABM_R03_savannah_no_fb-data'!$H5</f>
        <v>8</v>
      </c>
      <c r="I6">
        <f>'[8]GABM_R03_Terry_no_fb_run_two-da'!$H5</f>
        <v>6</v>
      </c>
      <c r="J6">
        <f>[9]GABM_R03_MitchellAPI_no_fb_runt!$H5</f>
        <v>6</v>
      </c>
      <c r="K6">
        <f>'[10]R03_GABM_NiyoushaAPI_no_fb-data'!$H5</f>
        <v>7</v>
      </c>
      <c r="L6">
        <f t="shared" si="0"/>
        <v>7.2</v>
      </c>
      <c r="N6">
        <f t="shared" si="1"/>
        <v>15</v>
      </c>
    </row>
    <row r="7" spans="1:16" x14ac:dyDescent="0.35">
      <c r="A7">
        <v>4</v>
      </c>
      <c r="B7">
        <f>'[1]GABM_R03_Terry_no_fb-data'!$H6</f>
        <v>25</v>
      </c>
      <c r="C7">
        <f>'[2]GABM_R03_MitchellAPI_no_fb-data'!$H6</f>
        <v>9</v>
      </c>
      <c r="D7">
        <f>'[3]GABM_R03_NavidAPI_no_fb-data'!$H6</f>
        <v>9</v>
      </c>
      <c r="E7">
        <f>'[4]GABM_R03_RandiAPI_no_fb_runtwo-'!$H6</f>
        <v>13</v>
      </c>
      <c r="F7">
        <f>'[5]GABM_R03_SudipaAPI_no_fb-data'!$H6</f>
        <v>18</v>
      </c>
      <c r="G7">
        <f>'[6]GABM_R03_NavidAPI_no_fb_runtwo-'!$H6</f>
        <v>22</v>
      </c>
      <c r="H7">
        <f>'[7]GABM_R03_savannah_no_fb-data'!$H6</f>
        <v>13</v>
      </c>
      <c r="I7">
        <f>'[8]GABM_R03_Terry_no_fb_run_two-da'!$H6</f>
        <v>12</v>
      </c>
      <c r="J7">
        <f>[9]GABM_R03_MitchellAPI_no_fb_runt!$H6</f>
        <v>7</v>
      </c>
      <c r="K7">
        <f>'[10]R03_GABM_NiyoushaAPI_no_fb-data'!$H6</f>
        <v>25</v>
      </c>
      <c r="L7">
        <f t="shared" si="0"/>
        <v>15.3</v>
      </c>
      <c r="N7">
        <f t="shared" si="1"/>
        <v>30.3</v>
      </c>
    </row>
    <row r="8" spans="1:16" x14ac:dyDescent="0.35">
      <c r="A8">
        <v>5</v>
      </c>
      <c r="B8">
        <f>'[1]GABM_R03_Terry_no_fb-data'!$H7</f>
        <v>38</v>
      </c>
      <c r="C8">
        <f>'[2]GABM_R03_MitchellAPI_no_fb-data'!$H7</f>
        <v>34</v>
      </c>
      <c r="D8">
        <f>'[3]GABM_R03_NavidAPI_no_fb-data'!$H7</f>
        <v>22</v>
      </c>
      <c r="E8">
        <f>'[4]GABM_R03_RandiAPI_no_fb_runtwo-'!$H7</f>
        <v>16</v>
      </c>
      <c r="F8">
        <f>'[5]GABM_R03_SudipaAPI_no_fb-data'!$H7</f>
        <v>27</v>
      </c>
      <c r="G8">
        <f>'[6]GABM_R03_NavidAPI_no_fb_runtwo-'!$H7</f>
        <v>45</v>
      </c>
      <c r="H8">
        <f>'[7]GABM_R03_savannah_no_fb-data'!$H7</f>
        <v>25</v>
      </c>
      <c r="I8">
        <f>'[8]GABM_R03_Terry_no_fb_run_two-da'!$H7</f>
        <v>14</v>
      </c>
      <c r="J8">
        <f>[9]GABM_R03_MitchellAPI_no_fb_runt!$H7</f>
        <v>13</v>
      </c>
      <c r="K8">
        <f>'[10]R03_GABM_NiyoushaAPI_no_fb-data'!$H7</f>
        <v>39</v>
      </c>
      <c r="L8">
        <f t="shared" si="0"/>
        <v>27.3</v>
      </c>
      <c r="N8">
        <f t="shared" si="1"/>
        <v>57.6</v>
      </c>
    </row>
    <row r="9" spans="1:16" x14ac:dyDescent="0.35">
      <c r="A9">
        <v>6</v>
      </c>
      <c r="B9">
        <f>'[1]GABM_R03_Terry_no_fb-data'!$H8</f>
        <v>70</v>
      </c>
      <c r="C9">
        <f>'[2]GABM_R03_MitchellAPI_no_fb-data'!$H8</f>
        <v>65</v>
      </c>
      <c r="D9">
        <f>'[3]GABM_R03_NavidAPI_no_fb-data'!$H8</f>
        <v>32</v>
      </c>
      <c r="E9">
        <f>'[4]GABM_R03_RandiAPI_no_fb_runtwo-'!$H8</f>
        <v>44</v>
      </c>
      <c r="F9">
        <f>'[5]GABM_R03_SudipaAPI_no_fb-data'!$H8</f>
        <v>63</v>
      </c>
      <c r="G9">
        <f>'[6]GABM_R03_NavidAPI_no_fb_runtwo-'!$H8</f>
        <v>76</v>
      </c>
      <c r="H9">
        <f>'[7]GABM_R03_savannah_no_fb-data'!$H8</f>
        <v>37</v>
      </c>
      <c r="I9">
        <f>'[8]GABM_R03_Terry_no_fb_run_two-da'!$H8</f>
        <v>44</v>
      </c>
      <c r="J9">
        <f>[9]GABM_R03_MitchellAPI_no_fb_runt!$H8</f>
        <v>32</v>
      </c>
      <c r="K9">
        <f>'[10]R03_GABM_NiyoushaAPI_no_fb-data'!$H8</f>
        <v>83</v>
      </c>
      <c r="L9">
        <f t="shared" si="0"/>
        <v>54.6</v>
      </c>
      <c r="N9">
        <f t="shared" si="1"/>
        <v>112.2</v>
      </c>
    </row>
    <row r="10" spans="1:16" x14ac:dyDescent="0.35">
      <c r="A10">
        <v>7</v>
      </c>
      <c r="B10">
        <f>'[1]GABM_R03_Terry_no_fb-data'!$H9</f>
        <v>92</v>
      </c>
      <c r="C10">
        <f>'[2]GABM_R03_MitchellAPI_no_fb-data'!$H9</f>
        <v>93</v>
      </c>
      <c r="D10">
        <f>'[3]GABM_R03_NavidAPI_no_fb-data'!$H9</f>
        <v>62</v>
      </c>
      <c r="E10">
        <f>'[4]GABM_R03_RandiAPI_no_fb_runtwo-'!$H9</f>
        <v>62</v>
      </c>
      <c r="F10">
        <f>'[5]GABM_R03_SudipaAPI_no_fb-data'!$H9</f>
        <v>91</v>
      </c>
      <c r="G10">
        <f>'[6]GABM_R03_NavidAPI_no_fb_runtwo-'!$H9</f>
        <v>132</v>
      </c>
      <c r="H10">
        <f>'[7]GABM_R03_savannah_no_fb-data'!$H9</f>
        <v>73</v>
      </c>
      <c r="I10">
        <f>'[8]GABM_R03_Terry_no_fb_run_two-da'!$H9</f>
        <v>59</v>
      </c>
      <c r="J10">
        <f>[9]GABM_R03_MitchellAPI_no_fb_runt!$H9</f>
        <v>51</v>
      </c>
      <c r="K10">
        <f>'[10]R03_GABM_NiyoushaAPI_no_fb-data'!$H9</f>
        <v>128</v>
      </c>
      <c r="L10">
        <f t="shared" si="0"/>
        <v>84.3</v>
      </c>
      <c r="N10">
        <f t="shared" si="1"/>
        <v>196.5</v>
      </c>
    </row>
    <row r="11" spans="1:16" x14ac:dyDescent="0.35">
      <c r="A11">
        <v>8</v>
      </c>
      <c r="B11">
        <f>'[1]GABM_R03_Terry_no_fb-data'!$H10</f>
        <v>158</v>
      </c>
      <c r="C11">
        <f>'[2]GABM_R03_MitchellAPI_no_fb-data'!$H10</f>
        <v>164</v>
      </c>
      <c r="D11">
        <f>'[3]GABM_R03_NavidAPI_no_fb-data'!$H10</f>
        <v>101</v>
      </c>
      <c r="E11">
        <f>'[4]GABM_R03_RandiAPI_no_fb_runtwo-'!$H10</f>
        <v>123</v>
      </c>
      <c r="F11">
        <f>'[5]GABM_R03_SudipaAPI_no_fb-data'!$H10</f>
        <v>156</v>
      </c>
      <c r="G11">
        <f>'[6]GABM_R03_NavidAPI_no_fb_runtwo-'!$H10</f>
        <v>162</v>
      </c>
      <c r="H11">
        <f>'[7]GABM_R03_savannah_no_fb-data'!$H10</f>
        <v>119</v>
      </c>
      <c r="I11">
        <f>'[8]GABM_R03_Terry_no_fb_run_two-da'!$H10</f>
        <v>100</v>
      </c>
      <c r="J11">
        <f>[9]GABM_R03_MitchellAPI_no_fb_runt!$H10</f>
        <v>76</v>
      </c>
      <c r="K11">
        <f>'[10]R03_GABM_NiyoushaAPI_no_fb-data'!$H10</f>
        <v>166</v>
      </c>
      <c r="L11">
        <f t="shared" si="0"/>
        <v>132.5</v>
      </c>
      <c r="N11">
        <f t="shared" si="1"/>
        <v>329</v>
      </c>
    </row>
    <row r="12" spans="1:16" x14ac:dyDescent="0.35">
      <c r="A12">
        <v>9</v>
      </c>
      <c r="B12">
        <f>'[1]GABM_R03_Terry_no_fb-data'!$H11</f>
        <v>198</v>
      </c>
      <c r="C12">
        <f>'[2]GABM_R03_MitchellAPI_no_fb-data'!$H11</f>
        <v>190</v>
      </c>
      <c r="D12">
        <f>'[3]GABM_R03_NavidAPI_no_fb-data'!$H11</f>
        <v>164</v>
      </c>
      <c r="E12">
        <f>'[4]GABM_R03_RandiAPI_no_fb_runtwo-'!$H11</f>
        <v>176</v>
      </c>
      <c r="F12">
        <f>'[5]GABM_R03_SudipaAPI_no_fb-data'!$H11</f>
        <v>176</v>
      </c>
      <c r="G12">
        <f>'[6]GABM_R03_NavidAPI_no_fb_runtwo-'!$H11</f>
        <v>178</v>
      </c>
      <c r="H12">
        <f>'[7]GABM_R03_savannah_no_fb-data'!$H11</f>
        <v>176</v>
      </c>
      <c r="I12">
        <f>'[8]GABM_R03_Terry_no_fb_run_two-da'!$H11</f>
        <v>155</v>
      </c>
      <c r="J12">
        <f>[9]GABM_R03_MitchellAPI_no_fb_runt!$H11</f>
        <v>139</v>
      </c>
      <c r="K12">
        <f>'[10]R03_GABM_NiyoushaAPI_no_fb-data'!$H11</f>
        <v>202</v>
      </c>
      <c r="L12">
        <f t="shared" si="0"/>
        <v>175.4</v>
      </c>
      <c r="N12">
        <f t="shared" si="1"/>
        <v>504.4</v>
      </c>
    </row>
    <row r="13" spans="1:16" x14ac:dyDescent="0.35">
      <c r="A13">
        <v>10</v>
      </c>
      <c r="B13">
        <f>'[1]GABM_R03_Terry_no_fb-data'!$H12</f>
        <v>183</v>
      </c>
      <c r="C13">
        <f>'[2]GABM_R03_MitchellAPI_no_fb-data'!$H12</f>
        <v>186</v>
      </c>
      <c r="D13">
        <f>'[3]GABM_R03_NavidAPI_no_fb-data'!$H12</f>
        <v>184</v>
      </c>
      <c r="E13">
        <f>'[4]GABM_R03_RandiAPI_no_fb_runtwo-'!$H12</f>
        <v>178</v>
      </c>
      <c r="F13">
        <f>'[5]GABM_R03_SudipaAPI_no_fb-data'!$H12</f>
        <v>189</v>
      </c>
      <c r="G13">
        <f>'[6]GABM_R03_NavidAPI_no_fb_runtwo-'!$H12</f>
        <v>164</v>
      </c>
      <c r="H13">
        <f>'[7]GABM_R03_savannah_no_fb-data'!$H12</f>
        <v>195</v>
      </c>
      <c r="I13">
        <f>'[8]GABM_R03_Terry_no_fb_run_two-da'!$H12</f>
        <v>184</v>
      </c>
      <c r="J13">
        <f>[9]GABM_R03_MitchellAPI_no_fb_runt!$H12</f>
        <v>178</v>
      </c>
      <c r="K13">
        <f>'[10]R03_GABM_NiyoushaAPI_no_fb-data'!$H12</f>
        <v>175</v>
      </c>
      <c r="L13">
        <f t="shared" si="0"/>
        <v>181.6</v>
      </c>
      <c r="N13">
        <f t="shared" si="1"/>
        <v>686</v>
      </c>
    </row>
    <row r="14" spans="1:16" x14ac:dyDescent="0.35">
      <c r="A14">
        <v>11</v>
      </c>
      <c r="B14">
        <f>'[1]GABM_R03_Terry_no_fb-data'!$H13</f>
        <v>113</v>
      </c>
      <c r="C14">
        <f>'[2]GABM_R03_MitchellAPI_no_fb-data'!$H13</f>
        <v>131</v>
      </c>
      <c r="D14">
        <f>'[3]GABM_R03_NavidAPI_no_fb-data'!$H13</f>
        <v>173</v>
      </c>
      <c r="E14">
        <f>'[4]GABM_R03_RandiAPI_no_fb_runtwo-'!$H13</f>
        <v>165</v>
      </c>
      <c r="F14">
        <f>'[5]GABM_R03_SudipaAPI_no_fb-data'!$H13</f>
        <v>140</v>
      </c>
      <c r="G14">
        <f>'[6]GABM_R03_NavidAPI_no_fb_runtwo-'!$H13</f>
        <v>113</v>
      </c>
      <c r="H14">
        <f>'[7]GABM_R03_savannah_no_fb-data'!$H13</f>
        <v>157</v>
      </c>
      <c r="I14">
        <f>'[8]GABM_R03_Terry_no_fb_run_two-da'!$H13</f>
        <v>178</v>
      </c>
      <c r="J14">
        <f>[9]GABM_R03_MitchellAPI_no_fb_runt!$H13</f>
        <v>194</v>
      </c>
      <c r="K14">
        <f>'[10]R03_GABM_NiyoushaAPI_no_fb-data'!$H13</f>
        <v>102</v>
      </c>
      <c r="L14">
        <f t="shared" si="0"/>
        <v>146.6</v>
      </c>
      <c r="N14">
        <f t="shared" si="1"/>
        <v>832.6</v>
      </c>
    </row>
    <row r="15" spans="1:16" x14ac:dyDescent="0.35">
      <c r="A15">
        <v>12</v>
      </c>
      <c r="B15">
        <f>'[1]GABM_R03_Terry_no_fb-data'!$H14</f>
        <v>61</v>
      </c>
      <c r="C15">
        <f>'[2]GABM_R03_MitchellAPI_no_fb-data'!$H14</f>
        <v>69</v>
      </c>
      <c r="D15">
        <f>'[3]GABM_R03_NavidAPI_no_fb-data'!$H14</f>
        <v>120</v>
      </c>
      <c r="E15">
        <f>'[4]GABM_R03_RandiAPI_no_fb_runtwo-'!$H14</f>
        <v>97</v>
      </c>
      <c r="F15">
        <f>'[5]GABM_R03_SudipaAPI_no_fb-data'!$H14</f>
        <v>72</v>
      </c>
      <c r="G15">
        <f>'[6]GABM_R03_NavidAPI_no_fb_runtwo-'!$H14</f>
        <v>53</v>
      </c>
      <c r="H15">
        <f>'[7]GABM_R03_savannah_no_fb-data'!$H14</f>
        <v>101</v>
      </c>
      <c r="I15">
        <f>'[8]GABM_R03_Terry_no_fb_run_two-da'!$H14</f>
        <v>134</v>
      </c>
      <c r="J15">
        <f>[9]GABM_R03_MitchellAPI_no_fb_runt!$H14</f>
        <v>146</v>
      </c>
      <c r="K15">
        <f>'[10]R03_GABM_NiyoushaAPI_no_fb-data'!$H14</f>
        <v>40</v>
      </c>
      <c r="L15">
        <f t="shared" si="0"/>
        <v>89.3</v>
      </c>
      <c r="N15">
        <f t="shared" si="1"/>
        <v>921.9</v>
      </c>
    </row>
    <row r="16" spans="1:16" x14ac:dyDescent="0.35">
      <c r="A16">
        <v>13</v>
      </c>
      <c r="B16">
        <f>'[1]GABM_R03_Terry_no_fb-data'!$H15</f>
        <v>28</v>
      </c>
      <c r="C16">
        <f>'[2]GABM_R03_MitchellAPI_no_fb-data'!$H15</f>
        <v>24</v>
      </c>
      <c r="D16">
        <f>'[3]GABM_R03_NavidAPI_no_fb-data'!$H15</f>
        <v>69</v>
      </c>
      <c r="E16">
        <f>'[4]GABM_R03_RandiAPI_no_fb_runtwo-'!$H15</f>
        <v>73</v>
      </c>
      <c r="F16">
        <f>'[5]GABM_R03_SudipaAPI_no_fb-data'!$H15</f>
        <v>27</v>
      </c>
      <c r="G16">
        <f>'[6]GABM_R03_NavidAPI_no_fb_runtwo-'!$H15</f>
        <v>18</v>
      </c>
      <c r="H16">
        <f>'[7]GABM_R03_savannah_no_fb-data'!$H15</f>
        <v>42</v>
      </c>
      <c r="I16">
        <f>'[8]GABM_R03_Terry_no_fb_run_two-da'!$H15</f>
        <v>51</v>
      </c>
      <c r="J16">
        <f>[9]GABM_R03_MitchellAPI_no_fb_runt!$H15</f>
        <v>93</v>
      </c>
      <c r="K16">
        <f>'[10]R03_GABM_NiyoushaAPI_no_fb-data'!$H15</f>
        <v>14</v>
      </c>
      <c r="L16">
        <f t="shared" si="0"/>
        <v>43.9</v>
      </c>
      <c r="N16">
        <f t="shared" si="1"/>
        <v>965.8</v>
      </c>
    </row>
    <row r="17" spans="1:14" x14ac:dyDescent="0.35">
      <c r="A17">
        <v>14</v>
      </c>
      <c r="B17">
        <f>'[1]GABM_R03_Terry_no_fb-data'!$H16</f>
        <v>12</v>
      </c>
      <c r="C17">
        <f>'[2]GABM_R03_MitchellAPI_no_fb-data'!$H16</f>
        <v>11</v>
      </c>
      <c r="D17">
        <f>'[3]GABM_R03_NavidAPI_no_fb-data'!$H16</f>
        <v>32</v>
      </c>
      <c r="E17">
        <f>'[4]GABM_R03_RandiAPI_no_fb_runtwo-'!$H16</f>
        <v>17</v>
      </c>
      <c r="F17">
        <f>'[5]GABM_R03_SudipaAPI_no_fb-data'!$H16</f>
        <v>13</v>
      </c>
      <c r="G17">
        <f>'[6]GABM_R03_NavidAPI_no_fb_runtwo-'!$H16</f>
        <v>5</v>
      </c>
      <c r="H17">
        <f>'[7]GABM_R03_savannah_no_fb-data'!$H16</f>
        <v>31</v>
      </c>
      <c r="I17">
        <f>'[8]GABM_R03_Terry_no_fb_run_two-da'!$H16</f>
        <v>38</v>
      </c>
      <c r="J17">
        <f>[9]GABM_R03_MitchellAPI_no_fb_runt!$H16</f>
        <v>38</v>
      </c>
      <c r="K17">
        <f>'[10]R03_GABM_NiyoushaAPI_no_fb-data'!$H16</f>
        <v>3</v>
      </c>
      <c r="L17">
        <f t="shared" si="0"/>
        <v>20</v>
      </c>
      <c r="N17">
        <f t="shared" si="1"/>
        <v>985.8</v>
      </c>
    </row>
    <row r="18" spans="1:14" x14ac:dyDescent="0.35">
      <c r="A18">
        <v>15</v>
      </c>
      <c r="B18">
        <f>'[1]GABM_R03_Terry_no_fb-data'!$H17</f>
        <v>3</v>
      </c>
      <c r="C18">
        <f>'[2]GABM_R03_MitchellAPI_no_fb-data'!$H17</f>
        <v>4</v>
      </c>
      <c r="D18">
        <f>'[3]GABM_R03_NavidAPI_no_fb-data'!$H17</f>
        <v>7</v>
      </c>
      <c r="E18">
        <f>'[4]GABM_R03_RandiAPI_no_fb_runtwo-'!$H17</f>
        <v>12</v>
      </c>
      <c r="F18">
        <f>'[5]GABM_R03_SudipaAPI_no_fb-data'!$H17</f>
        <v>5</v>
      </c>
      <c r="G18">
        <f>'[6]GABM_R03_NavidAPI_no_fb_runtwo-'!$H17</f>
        <v>2</v>
      </c>
      <c r="H18">
        <f>'[7]GABM_R03_savannah_no_fb-data'!$H17</f>
        <v>9</v>
      </c>
      <c r="I18">
        <f>'[8]GABM_R03_Terry_no_fb_run_two-da'!$H17</f>
        <v>9</v>
      </c>
      <c r="J18">
        <f>[9]GABM_R03_MitchellAPI_no_fb_runt!$H17</f>
        <v>16</v>
      </c>
      <c r="K18">
        <f>'[10]R03_GABM_NiyoushaAPI_no_fb-data'!$H17</f>
        <v>1</v>
      </c>
      <c r="L18">
        <f t="shared" si="0"/>
        <v>6.8</v>
      </c>
      <c r="N18">
        <f t="shared" si="1"/>
        <v>992.59999999999991</v>
      </c>
    </row>
    <row r="19" spans="1:14" x14ac:dyDescent="0.35">
      <c r="A19">
        <v>16</v>
      </c>
      <c r="B19">
        <f>'[1]GABM_R03_Terry_no_fb-data'!$H18</f>
        <v>1</v>
      </c>
      <c r="C19">
        <f>'[2]GABM_R03_MitchellAPI_no_fb-data'!$H18</f>
        <v>1</v>
      </c>
      <c r="D19">
        <f>'[3]GABM_R03_NavidAPI_no_fb-data'!$H18</f>
        <v>7</v>
      </c>
      <c r="E19">
        <f>'[4]GABM_R03_RandiAPI_no_fb_runtwo-'!$H18</f>
        <v>3</v>
      </c>
      <c r="F19">
        <f>'[5]GABM_R03_SudipaAPI_no_fb-data'!$H18</f>
        <v>5</v>
      </c>
      <c r="G19">
        <f>'[6]GABM_R03_NavidAPI_no_fb_runtwo-'!$H18</f>
        <v>2</v>
      </c>
      <c r="H19">
        <f>'[7]GABM_R03_savannah_no_fb-data'!$H18</f>
        <v>2</v>
      </c>
      <c r="I19">
        <f>'[8]GABM_R03_Terry_no_fb_run_two-da'!$H18</f>
        <v>1</v>
      </c>
      <c r="J19">
        <f>[9]GABM_R03_MitchellAPI_no_fb_runt!$H18</f>
        <v>3</v>
      </c>
      <c r="K19">
        <f>'[10]R03_GABM_NiyoushaAPI_no_fb-data'!$H18</f>
        <v>1</v>
      </c>
      <c r="L19">
        <f t="shared" si="0"/>
        <v>2.6</v>
      </c>
      <c r="N19">
        <f t="shared" si="1"/>
        <v>995.19999999999993</v>
      </c>
    </row>
    <row r="20" spans="1:14" x14ac:dyDescent="0.35">
      <c r="A20">
        <v>17</v>
      </c>
      <c r="B20">
        <f>'[1]GABM_R03_Terry_no_fb-data'!$H19</f>
        <v>0</v>
      </c>
      <c r="C20">
        <f>'[2]GABM_R03_MitchellAPI_no_fb-data'!$H19</f>
        <v>0</v>
      </c>
      <c r="D20">
        <f>'[3]GABM_R03_NavidAPI_no_fb-data'!$H19</f>
        <v>2</v>
      </c>
      <c r="E20">
        <f>'[4]GABM_R03_RandiAPI_no_fb_runtwo-'!$H19</f>
        <v>1</v>
      </c>
      <c r="F20">
        <f>'[5]GABM_R03_SudipaAPI_no_fb-data'!$H19</f>
        <v>1</v>
      </c>
      <c r="G20">
        <f>'[6]GABM_R03_NavidAPI_no_fb_runtwo-'!$H19</f>
        <v>1</v>
      </c>
      <c r="H20">
        <f>'[7]GABM_R03_savannah_no_fb-data'!$H19</f>
        <v>4</v>
      </c>
      <c r="I20">
        <f>'[8]GABM_R03_Terry_no_fb_run_two-da'!$H19</f>
        <v>5</v>
      </c>
      <c r="J20">
        <f>[9]GABM_R03_MitchellAPI_no_fb_runt!$H19</f>
        <v>2</v>
      </c>
      <c r="K20">
        <f>'[10]R03_GABM_NiyoushaAPI_no_fb-data'!$H19</f>
        <v>0</v>
      </c>
      <c r="L20">
        <f t="shared" si="0"/>
        <v>1.6</v>
      </c>
      <c r="N20">
        <f t="shared" si="1"/>
        <v>996.8</v>
      </c>
    </row>
    <row r="21" spans="1:14" x14ac:dyDescent="0.35">
      <c r="A21">
        <v>18</v>
      </c>
      <c r="B21">
        <f>'[1]GABM_R03_Terry_no_fb-data'!$H20</f>
        <v>0</v>
      </c>
      <c r="C21">
        <f>'[2]GABM_R03_MitchellAPI_no_fb-data'!$H20</f>
        <v>1</v>
      </c>
      <c r="D21">
        <f>'[3]GABM_R03_NavidAPI_no_fb-data'!$H20</f>
        <v>0</v>
      </c>
      <c r="E21">
        <f>'[4]GABM_R03_RandiAPI_no_fb_runtwo-'!$H20</f>
        <v>0</v>
      </c>
      <c r="F21">
        <f>'[5]GABM_R03_SudipaAPI_no_fb-data'!$H20</f>
        <v>0</v>
      </c>
      <c r="G21">
        <f>'[6]GABM_R03_NavidAPI_no_fb_runtwo-'!$H20</f>
        <v>0</v>
      </c>
      <c r="H21">
        <f>'[7]GABM_R03_savannah_no_fb-data'!$H20</f>
        <v>0</v>
      </c>
      <c r="I21">
        <f>'[8]GABM_R03_Terry_no_fb_run_two-da'!$H20</f>
        <v>0</v>
      </c>
      <c r="J21">
        <f>[9]GABM_R03_MitchellAPI_no_fb_runt!$H20</f>
        <v>2</v>
      </c>
      <c r="K21">
        <f>'[10]R03_GABM_NiyoushaAPI_no_fb-data'!$H20</f>
        <v>0</v>
      </c>
      <c r="L21">
        <f t="shared" si="0"/>
        <v>0.3</v>
      </c>
      <c r="N21">
        <f t="shared" si="1"/>
        <v>997.09999999999991</v>
      </c>
    </row>
    <row r="22" spans="1:14" x14ac:dyDescent="0.35">
      <c r="A22">
        <v>19</v>
      </c>
      <c r="B22">
        <f>'[1]GABM_R03_Terry_no_fb-data'!$H21</f>
        <v>0</v>
      </c>
      <c r="C22">
        <f>'[2]GABM_R03_MitchellAPI_no_fb-data'!$H21</f>
        <v>0</v>
      </c>
      <c r="D22">
        <f>'[3]GABM_R03_NavidAPI_no_fb-data'!$H21</f>
        <v>2</v>
      </c>
      <c r="E22">
        <f>'[4]GABM_R03_RandiAPI_no_fb_runtwo-'!$H21</f>
        <v>0</v>
      </c>
      <c r="F22">
        <f>'[5]GABM_R03_SudipaAPI_no_fb-data'!$H21</f>
        <v>0</v>
      </c>
      <c r="G22">
        <f>'[6]GABM_R03_NavidAPI_no_fb_runtwo-'!$H21</f>
        <v>0</v>
      </c>
      <c r="H22">
        <f>'[7]GABM_R03_savannah_no_fb-data'!$H21</f>
        <v>1</v>
      </c>
      <c r="I22">
        <f>'[8]GABM_R03_Terry_no_fb_run_two-da'!$H21</f>
        <v>1</v>
      </c>
      <c r="J22">
        <f>[9]GABM_R03_MitchellAPI_no_fb_runt!$H21</f>
        <v>0</v>
      </c>
      <c r="K22">
        <f>'[10]R03_GABM_NiyoushaAPI_no_fb-data'!$H21</f>
        <v>0</v>
      </c>
      <c r="L22">
        <f t="shared" si="0"/>
        <v>0.4</v>
      </c>
      <c r="N22">
        <f t="shared" si="1"/>
        <v>997.49999999999989</v>
      </c>
    </row>
    <row r="23" spans="1:14" x14ac:dyDescent="0.35">
      <c r="A23">
        <v>20</v>
      </c>
      <c r="B23">
        <f>'[1]GABM_R03_Terry_no_fb-data'!$H22</f>
        <v>0</v>
      </c>
      <c r="C23">
        <f>'[2]GABM_R03_MitchellAPI_no_fb-data'!$H22</f>
        <v>0</v>
      </c>
      <c r="D23">
        <f>'[3]GABM_R03_NavidAPI_no_fb-data'!$H22</f>
        <v>0</v>
      </c>
      <c r="E23">
        <f>'[4]GABM_R03_RandiAPI_no_fb_runtwo-'!$H22</f>
        <v>0</v>
      </c>
      <c r="F23">
        <f>'[5]GABM_R03_SudipaAPI_no_fb-data'!$H22</f>
        <v>1</v>
      </c>
      <c r="G23">
        <f>'[6]GABM_R03_NavidAPI_no_fb_runtwo-'!$H22</f>
        <v>0</v>
      </c>
      <c r="H23">
        <f>'[7]GABM_R03_savannah_no_fb-data'!$H22</f>
        <v>0</v>
      </c>
      <c r="I23">
        <f>'[8]GABM_R03_Terry_no_fb_run_two-da'!$H22</f>
        <v>0</v>
      </c>
      <c r="J23">
        <f>[9]GABM_R03_MitchellAPI_no_fb_runt!$H22</f>
        <v>0</v>
      </c>
      <c r="K23">
        <f>'[10]R03_GABM_NiyoushaAPI_no_fb-data'!$H22</f>
        <v>0</v>
      </c>
      <c r="L23">
        <f t="shared" si="0"/>
        <v>0.1</v>
      </c>
      <c r="N23">
        <f t="shared" si="1"/>
        <v>997.59999999999991</v>
      </c>
    </row>
    <row r="24" spans="1:14" x14ac:dyDescent="0.35">
      <c r="A24">
        <v>21</v>
      </c>
      <c r="B24">
        <f>'[1]GABM_R03_Terry_no_fb-data'!$H23</f>
        <v>0</v>
      </c>
      <c r="C24">
        <f>'[2]GABM_R03_MitchellAPI_no_fb-data'!$H23</f>
        <v>0</v>
      </c>
      <c r="D24">
        <f>'[3]GABM_R03_NavidAPI_no_fb-data'!$H23</f>
        <v>0</v>
      </c>
      <c r="E24">
        <f>'[4]GABM_R03_RandiAPI_no_fb_runtwo-'!$H23</f>
        <v>0</v>
      </c>
      <c r="F24">
        <f>'[5]GABM_R03_SudipaAPI_no_fb-data'!$H23</f>
        <v>0</v>
      </c>
      <c r="G24">
        <f>'[6]GABM_R03_NavidAPI_no_fb_runtwo-'!$H23</f>
        <v>0</v>
      </c>
      <c r="H24">
        <f>'[7]GABM_R03_savannah_no_fb-data'!$H23</f>
        <v>0</v>
      </c>
      <c r="I24">
        <f>'[8]GABM_R03_Terry_no_fb_run_two-da'!$H23</f>
        <v>0</v>
      </c>
      <c r="J24">
        <f>[9]GABM_R03_MitchellAPI_no_fb_runt!$H23</f>
        <v>0</v>
      </c>
      <c r="K24">
        <f>'[10]R03_GABM_NiyoushaAPI_no_fb-data'!$H23</f>
        <v>0</v>
      </c>
      <c r="L24">
        <f t="shared" si="0"/>
        <v>0</v>
      </c>
      <c r="N24">
        <f t="shared" si="1"/>
        <v>997.59999999999991</v>
      </c>
    </row>
    <row r="25" spans="1:14" x14ac:dyDescent="0.35">
      <c r="A25">
        <v>22</v>
      </c>
      <c r="B25">
        <f>'[1]GABM_R03_Terry_no_fb-data'!$H24</f>
        <v>0</v>
      </c>
      <c r="C25">
        <f>'[2]GABM_R03_MitchellAPI_no_fb-data'!$H24</f>
        <v>0</v>
      </c>
      <c r="D25">
        <f>'[3]GABM_R03_NavidAPI_no_fb-data'!$H24</f>
        <v>0</v>
      </c>
      <c r="E25">
        <f>'[4]GABM_R03_RandiAPI_no_fb_runtwo-'!$H24</f>
        <v>0</v>
      </c>
      <c r="F25">
        <f>'[5]GABM_R03_SudipaAPI_no_fb-data'!$H24</f>
        <v>0</v>
      </c>
      <c r="G25">
        <f>'[6]GABM_R03_NavidAPI_no_fb_runtwo-'!$H24</f>
        <v>0</v>
      </c>
      <c r="H25">
        <f>'[7]GABM_R03_savannah_no_fb-data'!$H24</f>
        <v>0</v>
      </c>
      <c r="I25">
        <f>'[8]GABM_R03_Terry_no_fb_run_two-da'!$H24</f>
        <v>0</v>
      </c>
      <c r="J25">
        <f>[9]GABM_R03_MitchellAPI_no_fb_runt!$H24</f>
        <v>0</v>
      </c>
      <c r="K25">
        <f>'[10]R03_GABM_NiyoushaAPI_no_fb-data'!$H24</f>
        <v>0</v>
      </c>
      <c r="L25">
        <f t="shared" si="0"/>
        <v>0</v>
      </c>
      <c r="N25">
        <f t="shared" si="1"/>
        <v>997.59999999999991</v>
      </c>
    </row>
    <row r="26" spans="1:14" x14ac:dyDescent="0.35">
      <c r="A26">
        <v>23</v>
      </c>
      <c r="B26">
        <f>'[1]GABM_R03_Terry_no_fb-data'!$H25</f>
        <v>0</v>
      </c>
      <c r="C26">
        <f>'[2]GABM_R03_MitchellAPI_no_fb-data'!$H25</f>
        <v>0</v>
      </c>
      <c r="D26">
        <f>'[3]GABM_R03_NavidAPI_no_fb-data'!$H25</f>
        <v>0</v>
      </c>
      <c r="E26">
        <f>'[4]GABM_R03_RandiAPI_no_fb_runtwo-'!$H25</f>
        <v>0</v>
      </c>
      <c r="F26">
        <f>'[5]GABM_R03_SudipaAPI_no_fb-data'!$H25</f>
        <v>0</v>
      </c>
      <c r="G26">
        <f>'[6]GABM_R03_NavidAPI_no_fb_runtwo-'!$H25</f>
        <v>0</v>
      </c>
      <c r="H26">
        <f>'[7]GABM_R03_savannah_no_fb-data'!$H25</f>
        <v>0</v>
      </c>
      <c r="I26">
        <f>'[8]GABM_R03_Terry_no_fb_run_two-da'!$H25</f>
        <v>0</v>
      </c>
      <c r="J26">
        <f>[9]GABM_R03_MitchellAPI_no_fb_runt!$H25</f>
        <v>0</v>
      </c>
      <c r="K26">
        <f>'[10]R03_GABM_NiyoushaAPI_no_fb-data'!$H25</f>
        <v>0</v>
      </c>
      <c r="L26">
        <f t="shared" si="0"/>
        <v>0</v>
      </c>
      <c r="N26">
        <f t="shared" si="1"/>
        <v>997.59999999999991</v>
      </c>
    </row>
    <row r="27" spans="1:14" x14ac:dyDescent="0.35">
      <c r="A27">
        <v>24</v>
      </c>
      <c r="B27">
        <f>'[1]GABM_R03_Terry_no_fb-data'!$H26</f>
        <v>0</v>
      </c>
      <c r="C27">
        <f>'[2]GABM_R03_MitchellAPI_no_fb-data'!$H26</f>
        <v>0</v>
      </c>
      <c r="D27">
        <f>'[3]GABM_R03_NavidAPI_no_fb-data'!$H26</f>
        <v>0</v>
      </c>
      <c r="E27">
        <f>'[4]GABM_R03_RandiAPI_no_fb_runtwo-'!$H26</f>
        <v>0</v>
      </c>
      <c r="F27">
        <f>'[5]GABM_R03_SudipaAPI_no_fb-data'!$H26</f>
        <v>0</v>
      </c>
      <c r="G27">
        <f>'[6]GABM_R03_NavidAPI_no_fb_runtwo-'!$H26</f>
        <v>0</v>
      </c>
      <c r="H27">
        <f>'[7]GABM_R03_savannah_no_fb-data'!$H26</f>
        <v>0</v>
      </c>
      <c r="I27">
        <f>'[8]GABM_R03_Terry_no_fb_run_two-da'!$H26</f>
        <v>0</v>
      </c>
      <c r="J27">
        <f>[9]GABM_R03_MitchellAPI_no_fb_runt!$H26</f>
        <v>0</v>
      </c>
      <c r="K27">
        <f>'[10]R03_GABM_NiyoushaAPI_no_fb-data'!$H26</f>
        <v>0</v>
      </c>
      <c r="L27">
        <f t="shared" si="0"/>
        <v>0</v>
      </c>
      <c r="N27">
        <f t="shared" si="1"/>
        <v>997.59999999999991</v>
      </c>
    </row>
    <row r="28" spans="1:14" x14ac:dyDescent="0.35">
      <c r="A28">
        <v>25</v>
      </c>
      <c r="B28">
        <f>'[1]GABM_R03_Terry_no_fb-data'!$H27</f>
        <v>0</v>
      </c>
      <c r="C28">
        <f>'[2]GABM_R03_MitchellAPI_no_fb-data'!$H27</f>
        <v>0</v>
      </c>
      <c r="D28">
        <f>'[3]GABM_R03_NavidAPI_no_fb-data'!$H27</f>
        <v>0</v>
      </c>
      <c r="E28">
        <f>'[4]GABM_R03_RandiAPI_no_fb_runtwo-'!$H27</f>
        <v>0</v>
      </c>
      <c r="F28">
        <f>'[5]GABM_R03_SudipaAPI_no_fb-data'!$H27</f>
        <v>0</v>
      </c>
      <c r="G28">
        <f>'[6]GABM_R03_NavidAPI_no_fb_runtwo-'!$H27</f>
        <v>0</v>
      </c>
      <c r="H28">
        <f>'[7]GABM_R03_savannah_no_fb-data'!$H27</f>
        <v>0</v>
      </c>
      <c r="I28">
        <f>'[8]GABM_R03_Terry_no_fb_run_two-da'!$H27</f>
        <v>0</v>
      </c>
      <c r="J28">
        <f>[9]GABM_R03_MitchellAPI_no_fb_runt!$H27</f>
        <v>0</v>
      </c>
      <c r="K28">
        <f>'[10]R03_GABM_NiyoushaAPI_no_fb-data'!$H27</f>
        <v>0</v>
      </c>
      <c r="L28">
        <f t="shared" si="0"/>
        <v>0</v>
      </c>
      <c r="N28">
        <f t="shared" si="1"/>
        <v>997.59999999999991</v>
      </c>
    </row>
    <row r="29" spans="1:14" x14ac:dyDescent="0.35">
      <c r="A29">
        <v>26</v>
      </c>
      <c r="B29">
        <f>'[1]GABM_R03_Terry_no_fb-data'!$H28</f>
        <v>0</v>
      </c>
      <c r="C29">
        <f>'[2]GABM_R03_MitchellAPI_no_fb-data'!$H28</f>
        <v>0</v>
      </c>
      <c r="D29">
        <f>'[3]GABM_R03_NavidAPI_no_fb-data'!$H28</f>
        <v>0</v>
      </c>
      <c r="E29">
        <f>'[4]GABM_R03_RandiAPI_no_fb_runtwo-'!$H28</f>
        <v>0</v>
      </c>
      <c r="F29">
        <f>'[5]GABM_R03_SudipaAPI_no_fb-data'!$H28</f>
        <v>0</v>
      </c>
      <c r="G29">
        <f>'[6]GABM_R03_NavidAPI_no_fb_runtwo-'!$H28</f>
        <v>0</v>
      </c>
      <c r="H29">
        <f>'[7]GABM_R03_savannah_no_fb-data'!$H28</f>
        <v>0</v>
      </c>
      <c r="I29">
        <f>'[8]GABM_R03_Terry_no_fb_run_two-da'!$H28</f>
        <v>0</v>
      </c>
      <c r="J29">
        <f>[9]GABM_R03_MitchellAPI_no_fb_runt!$H28</f>
        <v>0</v>
      </c>
      <c r="K29">
        <f>'[10]R03_GABM_NiyoushaAPI_no_fb-data'!$H28</f>
        <v>0</v>
      </c>
      <c r="L29">
        <f t="shared" si="0"/>
        <v>0</v>
      </c>
      <c r="N29">
        <f t="shared" si="1"/>
        <v>997.59999999999991</v>
      </c>
    </row>
    <row r="32" spans="1:14" x14ac:dyDescent="0.35">
      <c r="A32" t="s">
        <v>23</v>
      </c>
      <c r="B32">
        <f>SUM(B3:B29)</f>
        <v>997</v>
      </c>
      <c r="C32">
        <f t="shared" ref="C32:K32" si="2">SUM(C3:C29)</f>
        <v>997</v>
      </c>
      <c r="D32">
        <f t="shared" si="2"/>
        <v>998</v>
      </c>
      <c r="E32">
        <f t="shared" si="2"/>
        <v>993</v>
      </c>
      <c r="F32">
        <f t="shared" si="2"/>
        <v>999</v>
      </c>
      <c r="G32">
        <f t="shared" si="2"/>
        <v>998</v>
      </c>
      <c r="H32">
        <f t="shared" si="2"/>
        <v>999</v>
      </c>
      <c r="I32">
        <f t="shared" si="2"/>
        <v>997</v>
      </c>
      <c r="J32">
        <f t="shared" si="2"/>
        <v>1000</v>
      </c>
      <c r="K32">
        <f t="shared" si="2"/>
        <v>998</v>
      </c>
    </row>
    <row r="34" spans="1:11" x14ac:dyDescent="0.35">
      <c r="A34" t="s">
        <v>26</v>
      </c>
      <c r="B34">
        <f>AVERAGE(B32:K32)</f>
        <v>997.6</v>
      </c>
    </row>
    <row r="35" spans="1:11" x14ac:dyDescent="0.35">
      <c r="A35" t="s">
        <v>28</v>
      </c>
      <c r="B35">
        <f>MIN(B32:K32)</f>
        <v>993</v>
      </c>
    </row>
    <row r="36" spans="1:11" x14ac:dyDescent="0.35">
      <c r="A36" t="s">
        <v>27</v>
      </c>
      <c r="B36">
        <f>MAX(B32:K32)</f>
        <v>1000</v>
      </c>
    </row>
    <row r="39" spans="1:11" x14ac:dyDescent="0.35">
      <c r="A39" t="s">
        <v>52</v>
      </c>
      <c r="B39">
        <f>MAX(B3:B29)</f>
        <v>198</v>
      </c>
      <c r="C39">
        <f t="shared" ref="C39:K39" si="3">MAX(C3:C29)</f>
        <v>190</v>
      </c>
      <c r="D39">
        <f t="shared" si="3"/>
        <v>184</v>
      </c>
      <c r="E39">
        <f t="shared" si="3"/>
        <v>178</v>
      </c>
      <c r="F39">
        <f t="shared" si="3"/>
        <v>189</v>
      </c>
      <c r="G39">
        <f t="shared" si="3"/>
        <v>178</v>
      </c>
      <c r="H39">
        <f t="shared" si="3"/>
        <v>195</v>
      </c>
      <c r="I39">
        <f t="shared" si="3"/>
        <v>184</v>
      </c>
      <c r="J39">
        <f t="shared" si="3"/>
        <v>194</v>
      </c>
      <c r="K39">
        <f t="shared" si="3"/>
        <v>202</v>
      </c>
    </row>
    <row r="40" spans="1:11" x14ac:dyDescent="0.35">
      <c r="A40" t="s">
        <v>44</v>
      </c>
      <c r="B40">
        <f>MEDIAN(B39:K39)</f>
        <v>189.5</v>
      </c>
    </row>
    <row r="41" spans="1:11" x14ac:dyDescent="0.35">
      <c r="A41" t="s">
        <v>50</v>
      </c>
      <c r="B41">
        <v>178</v>
      </c>
    </row>
    <row r="42" spans="1:11" x14ac:dyDescent="0.35">
      <c r="A42" t="s">
        <v>51</v>
      </c>
      <c r="B42">
        <v>198</v>
      </c>
    </row>
    <row r="44" spans="1:11" x14ac:dyDescent="0.35">
      <c r="A44" t="s">
        <v>57</v>
      </c>
      <c r="B44">
        <f>MEDIAN(B32:K32)</f>
        <v>998</v>
      </c>
    </row>
    <row r="45" spans="1:11" x14ac:dyDescent="0.35">
      <c r="A45" t="s">
        <v>58</v>
      </c>
      <c r="B45">
        <f>I32</f>
        <v>997</v>
      </c>
    </row>
    <row r="46" spans="1:11" x14ac:dyDescent="0.35">
      <c r="A46" t="s">
        <v>51</v>
      </c>
      <c r="B46">
        <f>H32</f>
        <v>999</v>
      </c>
    </row>
  </sheetData>
  <mergeCells count="1">
    <mergeCell ref="A1:L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49E1-EB0E-4702-80E8-AE6ED7A0BC00}">
  <dimension ref="A1:Q54"/>
  <sheetViews>
    <sheetView topLeftCell="A16" workbookViewId="0">
      <selection activeCell="F39" sqref="F39"/>
    </sheetView>
  </sheetViews>
  <sheetFormatPr defaultRowHeight="14.5" x14ac:dyDescent="0.35"/>
  <sheetData>
    <row r="1" spans="1:17" x14ac:dyDescent="0.35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7" x14ac:dyDescent="0.35">
      <c r="A2" t="s">
        <v>10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12</v>
      </c>
      <c r="N2" t="s">
        <v>32</v>
      </c>
    </row>
    <row r="3" spans="1:17" x14ac:dyDescent="0.35">
      <c r="A3">
        <v>0</v>
      </c>
      <c r="B3">
        <f>'[11]GABM_R03_NavidAPI_sf_fb-data'!$H2</f>
        <v>2</v>
      </c>
      <c r="C3">
        <f>'[12]GABM_R03_savannah_sf_fb-data'!$H2</f>
        <v>2</v>
      </c>
      <c r="D3">
        <f>'[13]GABM_R03_MitchellAPI_sf_fb-data'!$H2</f>
        <v>2</v>
      </c>
      <c r="E3">
        <f>'[14]GABM_R03_RandiAPI_sf_fb-data'!$H2</f>
        <v>2</v>
      </c>
      <c r="F3">
        <f>'[15]GABM_R03_Terry_sf_fb-data'!$H2</f>
        <v>2</v>
      </c>
      <c r="G3">
        <f>'[16]R03_GABM_NiyoushaAPI_sf_fb-data'!$H2</f>
        <v>2</v>
      </c>
      <c r="H3">
        <f>'[17]GABM_R03_SudipaAPI_sf_fb-data'!$H2</f>
        <v>2</v>
      </c>
      <c r="I3">
        <f>'[18]GABM_R03_Terry_sf_fb_2-data'!$H2</f>
        <v>2</v>
      </c>
      <c r="J3">
        <f>'[19]GABM_R03_NavidAPI_sf_fb_2-data'!$H2</f>
        <v>2</v>
      </c>
      <c r="K3">
        <f>'[20]R03_GABM_NiyoushaAPI_sf_fb_2-da'!$H2</f>
        <v>2</v>
      </c>
      <c r="L3">
        <f>AVERAGE(B3:K3)</f>
        <v>2</v>
      </c>
      <c r="M3">
        <f>PERCENTILE(B39:K39, 0.95)</f>
        <v>803.44999999999993</v>
      </c>
      <c r="N3">
        <f>L3</f>
        <v>2</v>
      </c>
      <c r="Q3">
        <f>MAX(A3:K37)</f>
        <v>114</v>
      </c>
    </row>
    <row r="4" spans="1:17" x14ac:dyDescent="0.35">
      <c r="A4">
        <v>1</v>
      </c>
      <c r="B4">
        <f>'[11]GABM_R03_NavidAPI_sf_fb-data'!$H3</f>
        <v>4</v>
      </c>
      <c r="C4">
        <f>'[12]GABM_R03_savannah_sf_fb-data'!$H3</f>
        <v>2</v>
      </c>
      <c r="D4">
        <f>'[13]GABM_R03_MitchellAPI_sf_fb-data'!$H3</f>
        <v>2</v>
      </c>
      <c r="E4">
        <f>'[14]GABM_R03_RandiAPI_sf_fb-data'!$H3</f>
        <v>0</v>
      </c>
      <c r="F4">
        <f>'[15]GABM_R03_Terry_sf_fb-data'!$H3</f>
        <v>3</v>
      </c>
      <c r="G4">
        <f>'[16]R03_GABM_NiyoushaAPI_sf_fb-data'!$H3</f>
        <v>2</v>
      </c>
      <c r="H4">
        <f>'[17]GABM_R03_SudipaAPI_sf_fb-data'!$H3</f>
        <v>1</v>
      </c>
      <c r="I4">
        <f>'[18]GABM_R03_Terry_sf_fb_2-data'!$H3</f>
        <v>4</v>
      </c>
      <c r="J4">
        <f>'[19]GABM_R03_NavidAPI_sf_fb_2-data'!$H3</f>
        <v>2</v>
      </c>
      <c r="K4">
        <f>'[20]R03_GABM_NiyoushaAPI_sf_fb_2-da'!$H3</f>
        <v>0</v>
      </c>
      <c r="L4">
        <f t="shared" ref="L4:L37" si="0">AVERAGE(B4:K4)</f>
        <v>2</v>
      </c>
      <c r="N4">
        <f>N3+L4</f>
        <v>4</v>
      </c>
    </row>
    <row r="5" spans="1:17" x14ac:dyDescent="0.35">
      <c r="A5">
        <v>2</v>
      </c>
      <c r="B5">
        <f>'[11]GABM_R03_NavidAPI_sf_fb-data'!$H4</f>
        <v>4</v>
      </c>
      <c r="C5">
        <f>'[12]GABM_R03_savannah_sf_fb-data'!$H4</f>
        <v>8</v>
      </c>
      <c r="D5">
        <f>'[13]GABM_R03_MitchellAPI_sf_fb-data'!$H4</f>
        <v>3</v>
      </c>
      <c r="E5">
        <f>'[14]GABM_R03_RandiAPI_sf_fb-data'!$H4</f>
        <v>0</v>
      </c>
      <c r="F5">
        <f>'[15]GABM_R03_Terry_sf_fb-data'!$H4</f>
        <v>6</v>
      </c>
      <c r="G5">
        <f>'[16]R03_GABM_NiyoushaAPI_sf_fb-data'!$H4</f>
        <v>5</v>
      </c>
      <c r="H5">
        <f>'[17]GABM_R03_SudipaAPI_sf_fb-data'!$H4</f>
        <v>3</v>
      </c>
      <c r="I5">
        <f>'[18]GABM_R03_Terry_sf_fb_2-data'!$H4</f>
        <v>5</v>
      </c>
      <c r="J5">
        <f>'[19]GABM_R03_NavidAPI_sf_fb_2-data'!$H4</f>
        <v>7</v>
      </c>
      <c r="K5">
        <f>'[20]R03_GABM_NiyoushaAPI_sf_fb_2-da'!$H4</f>
        <v>4</v>
      </c>
      <c r="L5">
        <f t="shared" si="0"/>
        <v>4.5</v>
      </c>
      <c r="N5">
        <f t="shared" ref="N5:N37" si="1">N4+L5</f>
        <v>8.5</v>
      </c>
    </row>
    <row r="6" spans="1:17" x14ac:dyDescent="0.35">
      <c r="A6">
        <v>3</v>
      </c>
      <c r="B6">
        <f>'[11]GABM_R03_NavidAPI_sf_fb-data'!$H5</f>
        <v>11</v>
      </c>
      <c r="C6">
        <f>'[12]GABM_R03_savannah_sf_fb-data'!$H5</f>
        <v>5</v>
      </c>
      <c r="D6">
        <f>'[13]GABM_R03_MitchellAPI_sf_fb-data'!$H5</f>
        <v>4</v>
      </c>
      <c r="E6">
        <f>'[14]GABM_R03_RandiAPI_sf_fb-data'!$H5</f>
        <v>0</v>
      </c>
      <c r="F6">
        <f>'[15]GABM_R03_Terry_sf_fb-data'!$H5</f>
        <v>7</v>
      </c>
      <c r="G6">
        <f>'[16]R03_GABM_NiyoushaAPI_sf_fb-data'!$H5</f>
        <v>11</v>
      </c>
      <c r="H6">
        <f>'[17]GABM_R03_SudipaAPI_sf_fb-data'!$H5</f>
        <v>7</v>
      </c>
      <c r="I6">
        <f>'[18]GABM_R03_Terry_sf_fb_2-data'!$H5</f>
        <v>11</v>
      </c>
      <c r="J6">
        <f>'[19]GABM_R03_NavidAPI_sf_fb_2-data'!$H5</f>
        <v>6</v>
      </c>
      <c r="K6">
        <f>'[20]R03_GABM_NiyoushaAPI_sf_fb_2-da'!$H5</f>
        <v>3</v>
      </c>
      <c r="L6">
        <f t="shared" si="0"/>
        <v>6.5</v>
      </c>
      <c r="N6">
        <f t="shared" si="1"/>
        <v>15</v>
      </c>
    </row>
    <row r="7" spans="1:17" x14ac:dyDescent="0.35">
      <c r="A7">
        <v>4</v>
      </c>
      <c r="B7">
        <f>'[11]GABM_R03_NavidAPI_sf_fb-data'!$H6</f>
        <v>16</v>
      </c>
      <c r="C7">
        <f>'[12]GABM_R03_savannah_sf_fb-data'!$H6</f>
        <v>9</v>
      </c>
      <c r="D7">
        <f>'[13]GABM_R03_MitchellAPI_sf_fb-data'!$H6</f>
        <v>8</v>
      </c>
      <c r="E7">
        <f>'[14]GABM_R03_RandiAPI_sf_fb-data'!$H6</f>
        <v>0</v>
      </c>
      <c r="F7">
        <f>'[15]GABM_R03_Terry_sf_fb-data'!$H6</f>
        <v>7</v>
      </c>
      <c r="G7">
        <f>'[16]R03_GABM_NiyoushaAPI_sf_fb-data'!$H6</f>
        <v>10</v>
      </c>
      <c r="H7">
        <f>'[17]GABM_R03_SudipaAPI_sf_fb-data'!$H6</f>
        <v>7</v>
      </c>
      <c r="I7">
        <f>'[18]GABM_R03_Terry_sf_fb_2-data'!$H6</f>
        <v>16</v>
      </c>
      <c r="J7">
        <f>'[19]GABM_R03_NavidAPI_sf_fb_2-data'!$H6</f>
        <v>10</v>
      </c>
      <c r="K7">
        <f>'[20]R03_GABM_NiyoushaAPI_sf_fb_2-da'!$H6</f>
        <v>5</v>
      </c>
      <c r="L7">
        <f t="shared" si="0"/>
        <v>8.8000000000000007</v>
      </c>
      <c r="N7">
        <f t="shared" si="1"/>
        <v>23.8</v>
      </c>
    </row>
    <row r="8" spans="1:17" x14ac:dyDescent="0.35">
      <c r="A8">
        <v>5</v>
      </c>
      <c r="B8">
        <f>'[11]GABM_R03_NavidAPI_sf_fb-data'!$H7</f>
        <v>29</v>
      </c>
      <c r="C8">
        <f>'[12]GABM_R03_savannah_sf_fb-data'!$H7</f>
        <v>14</v>
      </c>
      <c r="D8">
        <f>'[13]GABM_R03_MitchellAPI_sf_fb-data'!$H7</f>
        <v>11</v>
      </c>
      <c r="E8">
        <f>'[14]GABM_R03_RandiAPI_sf_fb-data'!$H7</f>
        <v>0</v>
      </c>
      <c r="F8">
        <f>'[15]GABM_R03_Terry_sf_fb-data'!$H7</f>
        <v>16</v>
      </c>
      <c r="G8">
        <f>'[16]R03_GABM_NiyoushaAPI_sf_fb-data'!$H7</f>
        <v>17</v>
      </c>
      <c r="H8">
        <f>'[17]GABM_R03_SudipaAPI_sf_fb-data'!$H7</f>
        <v>14</v>
      </c>
      <c r="I8">
        <f>'[18]GABM_R03_Terry_sf_fb_2-data'!$H7</f>
        <v>25</v>
      </c>
      <c r="J8">
        <f>'[19]GABM_R03_NavidAPI_sf_fb_2-data'!$H7</f>
        <v>14</v>
      </c>
      <c r="K8">
        <f>'[20]R03_GABM_NiyoushaAPI_sf_fb_2-da'!$H7</f>
        <v>8</v>
      </c>
      <c r="L8">
        <f t="shared" si="0"/>
        <v>14.8</v>
      </c>
      <c r="N8">
        <f t="shared" si="1"/>
        <v>38.6</v>
      </c>
    </row>
    <row r="9" spans="1:17" x14ac:dyDescent="0.35">
      <c r="A9">
        <v>6</v>
      </c>
      <c r="B9">
        <f>'[11]GABM_R03_NavidAPI_sf_fb-data'!$H8</f>
        <v>37</v>
      </c>
      <c r="C9">
        <f>'[12]GABM_R03_savannah_sf_fb-data'!$H8</f>
        <v>15</v>
      </c>
      <c r="D9">
        <f>'[13]GABM_R03_MitchellAPI_sf_fb-data'!$H8</f>
        <v>19</v>
      </c>
      <c r="E9">
        <f>'[14]GABM_R03_RandiAPI_sf_fb-data'!$H8</f>
        <v>0</v>
      </c>
      <c r="F9">
        <f>'[15]GABM_R03_Terry_sf_fb-data'!$H8</f>
        <v>25</v>
      </c>
      <c r="G9">
        <f>'[16]R03_GABM_NiyoushaAPI_sf_fb-data'!$H8</f>
        <v>26</v>
      </c>
      <c r="H9">
        <f>'[17]GABM_R03_SudipaAPI_sf_fb-data'!$H8</f>
        <v>24</v>
      </c>
      <c r="I9">
        <f>'[18]GABM_R03_Terry_sf_fb_2-data'!$H8</f>
        <v>41</v>
      </c>
      <c r="J9">
        <f>'[19]GABM_R03_NavidAPI_sf_fb_2-data'!$H8</f>
        <v>16</v>
      </c>
      <c r="K9">
        <f>'[20]R03_GABM_NiyoushaAPI_sf_fb_2-da'!$H8</f>
        <v>12</v>
      </c>
      <c r="L9">
        <f t="shared" si="0"/>
        <v>21.5</v>
      </c>
      <c r="N9">
        <f t="shared" si="1"/>
        <v>60.1</v>
      </c>
    </row>
    <row r="10" spans="1:17" x14ac:dyDescent="0.35">
      <c r="A10">
        <v>7</v>
      </c>
      <c r="B10">
        <f>'[11]GABM_R03_NavidAPI_sf_fb-data'!$H9</f>
        <v>57</v>
      </c>
      <c r="C10">
        <f>'[12]GABM_R03_savannah_sf_fb-data'!$H9</f>
        <v>28</v>
      </c>
      <c r="D10">
        <f>'[13]GABM_R03_MitchellAPI_sf_fb-data'!$H9</f>
        <v>19</v>
      </c>
      <c r="E10">
        <f>'[14]GABM_R03_RandiAPI_sf_fb-data'!$H9</f>
        <v>0</v>
      </c>
      <c r="F10">
        <f>'[15]GABM_R03_Terry_sf_fb-data'!$H9</f>
        <v>40</v>
      </c>
      <c r="G10">
        <f>'[16]R03_GABM_NiyoushaAPI_sf_fb-data'!$H9</f>
        <v>49</v>
      </c>
      <c r="H10">
        <f>'[17]GABM_R03_SudipaAPI_sf_fb-data'!$H9</f>
        <v>38</v>
      </c>
      <c r="I10">
        <f>'[18]GABM_R03_Terry_sf_fb_2-data'!$H9</f>
        <v>61</v>
      </c>
      <c r="J10">
        <f>'[19]GABM_R03_NavidAPI_sf_fb_2-data'!$H9</f>
        <v>31</v>
      </c>
      <c r="K10">
        <f>'[20]R03_GABM_NiyoushaAPI_sf_fb_2-da'!$H9</f>
        <v>13</v>
      </c>
      <c r="L10">
        <f t="shared" si="0"/>
        <v>33.6</v>
      </c>
      <c r="N10">
        <f t="shared" si="1"/>
        <v>93.7</v>
      </c>
    </row>
    <row r="11" spans="1:17" x14ac:dyDescent="0.35">
      <c r="A11">
        <v>8</v>
      </c>
      <c r="B11">
        <f>'[11]GABM_R03_NavidAPI_sf_fb-data'!$H10</f>
        <v>62</v>
      </c>
      <c r="C11">
        <f>'[12]GABM_R03_savannah_sf_fb-data'!$H10</f>
        <v>36</v>
      </c>
      <c r="D11">
        <f>'[13]GABM_R03_MitchellAPI_sf_fb-data'!$H10</f>
        <v>33</v>
      </c>
      <c r="E11">
        <f>'[14]GABM_R03_RandiAPI_sf_fb-data'!$H10</f>
        <v>0</v>
      </c>
      <c r="F11">
        <f>'[15]GABM_R03_Terry_sf_fb-data'!$H10</f>
        <v>60</v>
      </c>
      <c r="G11">
        <f>'[16]R03_GABM_NiyoushaAPI_sf_fb-data'!$H10</f>
        <v>56</v>
      </c>
      <c r="H11">
        <f>'[17]GABM_R03_SudipaAPI_sf_fb-data'!$H10</f>
        <v>46</v>
      </c>
      <c r="I11">
        <f>'[18]GABM_R03_Terry_sf_fb_2-data'!$H10</f>
        <v>77</v>
      </c>
      <c r="J11">
        <f>'[19]GABM_R03_NavidAPI_sf_fb_2-data'!$H10</f>
        <v>32</v>
      </c>
      <c r="K11">
        <f>'[20]R03_GABM_NiyoushaAPI_sf_fb_2-da'!$H10</f>
        <v>25</v>
      </c>
      <c r="L11">
        <f t="shared" si="0"/>
        <v>42.7</v>
      </c>
      <c r="N11">
        <f t="shared" si="1"/>
        <v>136.4</v>
      </c>
    </row>
    <row r="12" spans="1:17" x14ac:dyDescent="0.35">
      <c r="A12">
        <v>9</v>
      </c>
      <c r="B12">
        <f>'[11]GABM_R03_NavidAPI_sf_fb-data'!$H11</f>
        <v>72</v>
      </c>
      <c r="C12">
        <f>'[12]GABM_R03_savannah_sf_fb-data'!$H11</f>
        <v>50</v>
      </c>
      <c r="D12">
        <f>'[13]GABM_R03_MitchellAPI_sf_fb-data'!$H11</f>
        <v>42</v>
      </c>
      <c r="E12">
        <f>'[14]GABM_R03_RandiAPI_sf_fb-data'!$H11</f>
        <v>0</v>
      </c>
      <c r="F12">
        <f>'[15]GABM_R03_Terry_sf_fb-data'!$H11</f>
        <v>71</v>
      </c>
      <c r="G12">
        <f>'[16]R03_GABM_NiyoushaAPI_sf_fb-data'!$H11</f>
        <v>83</v>
      </c>
      <c r="H12">
        <f>'[17]GABM_R03_SudipaAPI_sf_fb-data'!$H11</f>
        <v>71</v>
      </c>
      <c r="I12">
        <f>'[18]GABM_R03_Terry_sf_fb_2-data'!$H11</f>
        <v>95</v>
      </c>
      <c r="J12">
        <f>'[19]GABM_R03_NavidAPI_sf_fb_2-data'!$H11</f>
        <v>54</v>
      </c>
      <c r="K12">
        <f>'[20]R03_GABM_NiyoushaAPI_sf_fb_2-da'!$H11</f>
        <v>34</v>
      </c>
      <c r="L12">
        <f t="shared" si="0"/>
        <v>57.2</v>
      </c>
      <c r="N12">
        <f t="shared" si="1"/>
        <v>193.60000000000002</v>
      </c>
    </row>
    <row r="13" spans="1:17" x14ac:dyDescent="0.35">
      <c r="A13">
        <v>10</v>
      </c>
      <c r="B13">
        <f>'[11]GABM_R03_NavidAPI_sf_fb-data'!$H12</f>
        <v>87</v>
      </c>
      <c r="C13">
        <f>'[12]GABM_R03_savannah_sf_fb-data'!$H12</f>
        <v>65</v>
      </c>
      <c r="D13">
        <f>'[13]GABM_R03_MitchellAPI_sf_fb-data'!$H12</f>
        <v>59</v>
      </c>
      <c r="E13">
        <f>'[14]GABM_R03_RandiAPI_sf_fb-data'!$H12</f>
        <v>0</v>
      </c>
      <c r="F13">
        <f>'[15]GABM_R03_Terry_sf_fb-data'!$H12</f>
        <v>104</v>
      </c>
      <c r="G13">
        <f>'[16]R03_GABM_NiyoushaAPI_sf_fb-data'!$H12</f>
        <v>85</v>
      </c>
      <c r="H13">
        <f>'[17]GABM_R03_SudipaAPI_sf_fb-data'!$H12</f>
        <v>76</v>
      </c>
      <c r="I13">
        <f>'[18]GABM_R03_Terry_sf_fb_2-data'!$H12</f>
        <v>93</v>
      </c>
      <c r="J13">
        <f>'[19]GABM_R03_NavidAPI_sf_fb_2-data'!$H12</f>
        <v>67</v>
      </c>
      <c r="K13">
        <f>'[20]R03_GABM_NiyoushaAPI_sf_fb_2-da'!$H12</f>
        <v>39</v>
      </c>
      <c r="L13">
        <f t="shared" si="0"/>
        <v>67.5</v>
      </c>
      <c r="N13">
        <f t="shared" si="1"/>
        <v>261.10000000000002</v>
      </c>
    </row>
    <row r="14" spans="1:17" x14ac:dyDescent="0.35">
      <c r="A14">
        <v>11</v>
      </c>
      <c r="B14">
        <f>'[11]GABM_R03_NavidAPI_sf_fb-data'!$H13</f>
        <v>82</v>
      </c>
      <c r="C14">
        <f>'[12]GABM_R03_savannah_sf_fb-data'!$H13</f>
        <v>75</v>
      </c>
      <c r="D14">
        <f>'[13]GABM_R03_MitchellAPI_sf_fb-data'!$H13</f>
        <v>59</v>
      </c>
      <c r="E14">
        <f>'[14]GABM_R03_RandiAPI_sf_fb-data'!$H13</f>
        <v>0</v>
      </c>
      <c r="F14">
        <f>'[15]GABM_R03_Terry_sf_fb-data'!$H13</f>
        <v>99</v>
      </c>
      <c r="G14">
        <f>'[16]R03_GABM_NiyoushaAPI_sf_fb-data'!$H13</f>
        <v>114</v>
      </c>
      <c r="H14">
        <f>'[17]GABM_R03_SudipaAPI_sf_fb-data'!$H13</f>
        <v>93</v>
      </c>
      <c r="I14">
        <f>'[18]GABM_R03_Terry_sf_fb_2-data'!$H13</f>
        <v>99</v>
      </c>
      <c r="J14">
        <f>'[19]GABM_R03_NavidAPI_sf_fb_2-data'!$H13</f>
        <v>78</v>
      </c>
      <c r="K14">
        <f>'[20]R03_GABM_NiyoushaAPI_sf_fb_2-da'!$H13</f>
        <v>59</v>
      </c>
      <c r="L14">
        <f t="shared" si="0"/>
        <v>75.8</v>
      </c>
      <c r="N14">
        <f t="shared" si="1"/>
        <v>336.90000000000003</v>
      </c>
    </row>
    <row r="15" spans="1:17" x14ac:dyDescent="0.35">
      <c r="A15">
        <v>12</v>
      </c>
      <c r="B15">
        <f>'[11]GABM_R03_NavidAPI_sf_fb-data'!$H14</f>
        <v>89</v>
      </c>
      <c r="C15">
        <f>'[12]GABM_R03_savannah_sf_fb-data'!$H14</f>
        <v>89</v>
      </c>
      <c r="D15">
        <f>'[13]GABM_R03_MitchellAPI_sf_fb-data'!$H14</f>
        <v>84</v>
      </c>
      <c r="E15">
        <f>'[14]GABM_R03_RandiAPI_sf_fb-data'!$H14</f>
        <v>0</v>
      </c>
      <c r="F15">
        <f>'[15]GABM_R03_Terry_sf_fb-data'!$H14</f>
        <v>92</v>
      </c>
      <c r="G15">
        <f>'[16]R03_GABM_NiyoushaAPI_sf_fb-data'!$H14</f>
        <v>111</v>
      </c>
      <c r="H15">
        <f>'[17]GABM_R03_SudipaAPI_sf_fb-data'!$H14</f>
        <v>87</v>
      </c>
      <c r="I15">
        <f>'[18]GABM_R03_Terry_sf_fb_2-data'!$H14</f>
        <v>88</v>
      </c>
      <c r="J15">
        <f>'[19]GABM_R03_NavidAPI_sf_fb_2-data'!$H14</f>
        <v>94</v>
      </c>
      <c r="K15">
        <f>'[20]R03_GABM_NiyoushaAPI_sf_fb_2-da'!$H14</f>
        <v>83</v>
      </c>
      <c r="L15">
        <f t="shared" si="0"/>
        <v>81.7</v>
      </c>
      <c r="N15">
        <f t="shared" si="1"/>
        <v>418.6</v>
      </c>
    </row>
    <row r="16" spans="1:17" x14ac:dyDescent="0.35">
      <c r="A16">
        <v>13</v>
      </c>
      <c r="B16">
        <f>'[11]GABM_R03_NavidAPI_sf_fb-data'!$H15</f>
        <v>74</v>
      </c>
      <c r="C16">
        <f>'[12]GABM_R03_savannah_sf_fb-data'!$H15</f>
        <v>95</v>
      </c>
      <c r="D16">
        <f>'[13]GABM_R03_MitchellAPI_sf_fb-data'!$H15</f>
        <v>86</v>
      </c>
      <c r="E16">
        <f>'[14]GABM_R03_RandiAPI_sf_fb-data'!$H15</f>
        <v>0</v>
      </c>
      <c r="F16">
        <f>'[15]GABM_R03_Terry_sf_fb-data'!$H15</f>
        <v>79</v>
      </c>
      <c r="G16">
        <f>'[16]R03_GABM_NiyoushaAPI_sf_fb-data'!$H15</f>
        <v>83</v>
      </c>
      <c r="H16">
        <f>'[17]GABM_R03_SudipaAPI_sf_fb-data'!$H15</f>
        <v>90</v>
      </c>
      <c r="I16">
        <f>'[18]GABM_R03_Terry_sf_fb_2-data'!$H15</f>
        <v>69</v>
      </c>
      <c r="J16">
        <f>'[19]GABM_R03_NavidAPI_sf_fb_2-data'!$H15</f>
        <v>74</v>
      </c>
      <c r="K16">
        <f>'[20]R03_GABM_NiyoushaAPI_sf_fb_2-da'!$H15</f>
        <v>102</v>
      </c>
      <c r="L16">
        <f t="shared" si="0"/>
        <v>75.2</v>
      </c>
      <c r="N16">
        <f t="shared" si="1"/>
        <v>493.8</v>
      </c>
    </row>
    <row r="17" spans="1:14" x14ac:dyDescent="0.35">
      <c r="A17">
        <v>14</v>
      </c>
      <c r="B17">
        <f>'[11]GABM_R03_NavidAPI_sf_fb-data'!$H16</f>
        <v>52</v>
      </c>
      <c r="C17">
        <f>'[12]GABM_R03_savannah_sf_fb-data'!$H16</f>
        <v>81</v>
      </c>
      <c r="D17">
        <f>'[13]GABM_R03_MitchellAPI_sf_fb-data'!$H16</f>
        <v>87</v>
      </c>
      <c r="E17">
        <f>'[14]GABM_R03_RandiAPI_sf_fb-data'!$H16</f>
        <v>0</v>
      </c>
      <c r="F17">
        <f>'[15]GABM_R03_Terry_sf_fb-data'!$H16</f>
        <v>45</v>
      </c>
      <c r="G17">
        <f>'[16]R03_GABM_NiyoushaAPI_sf_fb-data'!$H16</f>
        <v>67</v>
      </c>
      <c r="H17">
        <f>'[17]GABM_R03_SudipaAPI_sf_fb-data'!$H16</f>
        <v>71</v>
      </c>
      <c r="I17">
        <f>'[18]GABM_R03_Terry_sf_fb_2-data'!$H16</f>
        <v>52</v>
      </c>
      <c r="J17">
        <f>'[19]GABM_R03_NavidAPI_sf_fb_2-data'!$H16</f>
        <v>81</v>
      </c>
      <c r="K17">
        <f>'[20]R03_GABM_NiyoushaAPI_sf_fb_2-da'!$H16</f>
        <v>98</v>
      </c>
      <c r="L17">
        <f t="shared" si="0"/>
        <v>63.4</v>
      </c>
      <c r="N17">
        <f t="shared" si="1"/>
        <v>557.20000000000005</v>
      </c>
    </row>
    <row r="18" spans="1:14" x14ac:dyDescent="0.35">
      <c r="A18">
        <v>15</v>
      </c>
      <c r="B18">
        <f>'[11]GABM_R03_NavidAPI_sf_fb-data'!$H17</f>
        <v>43</v>
      </c>
      <c r="C18">
        <f>'[12]GABM_R03_savannah_sf_fb-data'!$H17</f>
        <v>67</v>
      </c>
      <c r="D18">
        <f>'[13]GABM_R03_MitchellAPI_sf_fb-data'!$H17</f>
        <v>76</v>
      </c>
      <c r="E18">
        <f>'[14]GABM_R03_RandiAPI_sf_fb-data'!$H17</f>
        <v>0</v>
      </c>
      <c r="F18">
        <f>'[15]GABM_R03_Terry_sf_fb-data'!$H17</f>
        <v>39</v>
      </c>
      <c r="G18">
        <f>'[16]R03_GABM_NiyoushaAPI_sf_fb-data'!$H17</f>
        <v>40</v>
      </c>
      <c r="H18">
        <f>'[17]GABM_R03_SudipaAPI_sf_fb-data'!$H17</f>
        <v>56</v>
      </c>
      <c r="I18">
        <f>'[18]GABM_R03_Terry_sf_fb_2-data'!$H17</f>
        <v>27</v>
      </c>
      <c r="J18">
        <f>'[19]GABM_R03_NavidAPI_sf_fb_2-data'!$H17</f>
        <v>61</v>
      </c>
      <c r="K18">
        <f>'[20]R03_GABM_NiyoushaAPI_sf_fb_2-da'!$H17</f>
        <v>88</v>
      </c>
      <c r="L18">
        <f t="shared" si="0"/>
        <v>49.7</v>
      </c>
      <c r="N18">
        <f t="shared" si="1"/>
        <v>606.90000000000009</v>
      </c>
    </row>
    <row r="19" spans="1:14" x14ac:dyDescent="0.35">
      <c r="A19">
        <v>16</v>
      </c>
      <c r="B19">
        <f>'[11]GABM_R03_NavidAPI_sf_fb-data'!$H18</f>
        <v>22</v>
      </c>
      <c r="C19">
        <f>'[12]GABM_R03_savannah_sf_fb-data'!$H18</f>
        <v>53</v>
      </c>
      <c r="D19">
        <f>'[13]GABM_R03_MitchellAPI_sf_fb-data'!$H18</f>
        <v>58</v>
      </c>
      <c r="E19">
        <f>'[14]GABM_R03_RandiAPI_sf_fb-data'!$H18</f>
        <v>0</v>
      </c>
      <c r="F19">
        <f>'[15]GABM_R03_Terry_sf_fb-data'!$H18</f>
        <v>19</v>
      </c>
      <c r="G19">
        <f>'[16]R03_GABM_NiyoushaAPI_sf_fb-data'!$H18</f>
        <v>23</v>
      </c>
      <c r="H19">
        <f>'[17]GABM_R03_SudipaAPI_sf_fb-data'!$H18</f>
        <v>37</v>
      </c>
      <c r="I19">
        <f>'[18]GABM_R03_Terry_sf_fb_2-data'!$H18</f>
        <v>8</v>
      </c>
      <c r="J19">
        <f>'[19]GABM_R03_NavidAPI_sf_fb_2-data'!$H18</f>
        <v>50</v>
      </c>
      <c r="K19">
        <f>'[20]R03_GABM_NiyoushaAPI_sf_fb_2-da'!$H18</f>
        <v>70</v>
      </c>
      <c r="L19">
        <f t="shared" si="0"/>
        <v>34</v>
      </c>
      <c r="N19">
        <f t="shared" si="1"/>
        <v>640.90000000000009</v>
      </c>
    </row>
    <row r="20" spans="1:14" x14ac:dyDescent="0.35">
      <c r="A20">
        <v>17</v>
      </c>
      <c r="B20">
        <f>'[11]GABM_R03_NavidAPI_sf_fb-data'!$H19</f>
        <v>18</v>
      </c>
      <c r="C20">
        <f>'[12]GABM_R03_savannah_sf_fb-data'!$H19</f>
        <v>34</v>
      </c>
      <c r="D20">
        <f>'[13]GABM_R03_MitchellAPI_sf_fb-data'!$H19</f>
        <v>43</v>
      </c>
      <c r="E20">
        <f>'[14]GABM_R03_RandiAPI_sf_fb-data'!$H19</f>
        <v>0</v>
      </c>
      <c r="F20">
        <f>'[15]GABM_R03_Terry_sf_fb-data'!$H19</f>
        <v>15</v>
      </c>
      <c r="G20">
        <f>'[16]R03_GABM_NiyoushaAPI_sf_fb-data'!$H19</f>
        <v>17</v>
      </c>
      <c r="H20">
        <f>'[17]GABM_R03_SudipaAPI_sf_fb-data'!$H19</f>
        <v>17</v>
      </c>
      <c r="I20">
        <f>'[18]GABM_R03_Terry_sf_fb_2-data'!$H19</f>
        <v>8</v>
      </c>
      <c r="J20">
        <f>'[19]GABM_R03_NavidAPI_sf_fb_2-data'!$H19</f>
        <v>37</v>
      </c>
      <c r="K20">
        <f>'[20]R03_GABM_NiyoushaAPI_sf_fb_2-da'!$H19</f>
        <v>49</v>
      </c>
      <c r="L20">
        <f t="shared" si="0"/>
        <v>23.8</v>
      </c>
      <c r="N20">
        <f t="shared" si="1"/>
        <v>664.7</v>
      </c>
    </row>
    <row r="21" spans="1:14" x14ac:dyDescent="0.35">
      <c r="A21">
        <v>18</v>
      </c>
      <c r="B21">
        <f>'[11]GABM_R03_NavidAPI_sf_fb-data'!$H20</f>
        <v>7</v>
      </c>
      <c r="C21">
        <f>'[12]GABM_R03_savannah_sf_fb-data'!$H20</f>
        <v>24</v>
      </c>
      <c r="D21">
        <f>'[13]GABM_R03_MitchellAPI_sf_fb-data'!$H20</f>
        <v>28</v>
      </c>
      <c r="E21">
        <f>'[14]GABM_R03_RandiAPI_sf_fb-data'!$H20</f>
        <v>0</v>
      </c>
      <c r="F21">
        <f>'[15]GABM_R03_Terry_sf_fb-data'!$H20</f>
        <v>14</v>
      </c>
      <c r="G21">
        <f>'[16]R03_GABM_NiyoushaAPI_sf_fb-data'!$H20</f>
        <v>7</v>
      </c>
      <c r="H21">
        <f>'[17]GABM_R03_SudipaAPI_sf_fb-data'!$H20</f>
        <v>10</v>
      </c>
      <c r="I21">
        <f>'[18]GABM_R03_Terry_sf_fb_2-data'!$H20</f>
        <v>2</v>
      </c>
      <c r="J21">
        <f>'[19]GABM_R03_NavidAPI_sf_fb_2-data'!$H20</f>
        <v>23</v>
      </c>
      <c r="K21">
        <f>'[20]R03_GABM_NiyoushaAPI_sf_fb_2-da'!$H20</f>
        <v>32</v>
      </c>
      <c r="L21">
        <f t="shared" si="0"/>
        <v>14.7</v>
      </c>
      <c r="N21">
        <f t="shared" si="1"/>
        <v>679.40000000000009</v>
      </c>
    </row>
    <row r="22" spans="1:14" x14ac:dyDescent="0.35">
      <c r="A22">
        <v>19</v>
      </c>
      <c r="B22">
        <f>'[11]GABM_R03_NavidAPI_sf_fb-data'!$H21</f>
        <v>6</v>
      </c>
      <c r="C22">
        <f>'[12]GABM_R03_savannah_sf_fb-data'!$H21</f>
        <v>15</v>
      </c>
      <c r="D22">
        <f>'[13]GABM_R03_MitchellAPI_sf_fb-data'!$H21</f>
        <v>19</v>
      </c>
      <c r="E22">
        <f>'[14]GABM_R03_RandiAPI_sf_fb-data'!$H21</f>
        <v>0</v>
      </c>
      <c r="F22">
        <f>'[15]GABM_R03_Terry_sf_fb-data'!$H21</f>
        <v>6</v>
      </c>
      <c r="G22">
        <f>'[16]R03_GABM_NiyoushaAPI_sf_fb-data'!$H21</f>
        <v>2</v>
      </c>
      <c r="H22">
        <f>'[17]GABM_R03_SudipaAPI_sf_fb-data'!$H21</f>
        <v>12</v>
      </c>
      <c r="I22">
        <f>'[18]GABM_R03_Terry_sf_fb_2-data'!$H21</f>
        <v>4</v>
      </c>
      <c r="J22">
        <f>'[19]GABM_R03_NavidAPI_sf_fb_2-data'!$H21</f>
        <v>14</v>
      </c>
      <c r="K22">
        <f>'[20]R03_GABM_NiyoushaAPI_sf_fb_2-da'!$H21</f>
        <v>13</v>
      </c>
      <c r="L22">
        <f t="shared" si="0"/>
        <v>9.1</v>
      </c>
      <c r="N22">
        <f t="shared" si="1"/>
        <v>688.50000000000011</v>
      </c>
    </row>
    <row r="23" spans="1:14" x14ac:dyDescent="0.35">
      <c r="A23">
        <v>20</v>
      </c>
      <c r="B23">
        <f>'[11]GABM_R03_NavidAPI_sf_fb-data'!$H22</f>
        <v>4</v>
      </c>
      <c r="C23">
        <f>'[12]GABM_R03_savannah_sf_fb-data'!$H22</f>
        <v>5</v>
      </c>
      <c r="D23">
        <f>'[13]GABM_R03_MitchellAPI_sf_fb-data'!$H22</f>
        <v>10</v>
      </c>
      <c r="E23">
        <f>'[14]GABM_R03_RandiAPI_sf_fb-data'!$H22</f>
        <v>0</v>
      </c>
      <c r="F23">
        <f>'[15]GABM_R03_Terry_sf_fb-data'!$H22</f>
        <v>6</v>
      </c>
      <c r="G23">
        <f>'[16]R03_GABM_NiyoushaAPI_sf_fb-data'!$H22</f>
        <v>2</v>
      </c>
      <c r="H23">
        <f>'[17]GABM_R03_SudipaAPI_sf_fb-data'!$H22</f>
        <v>4</v>
      </c>
      <c r="I23">
        <f>'[18]GABM_R03_Terry_sf_fb_2-data'!$H22</f>
        <v>1</v>
      </c>
      <c r="J23">
        <f>'[19]GABM_R03_NavidAPI_sf_fb_2-data'!$H22</f>
        <v>5</v>
      </c>
      <c r="K23">
        <f>'[20]R03_GABM_NiyoushaAPI_sf_fb_2-da'!$H22</f>
        <v>11</v>
      </c>
      <c r="L23">
        <f t="shared" si="0"/>
        <v>4.8</v>
      </c>
      <c r="N23">
        <f t="shared" si="1"/>
        <v>693.30000000000007</v>
      </c>
    </row>
    <row r="24" spans="1:14" x14ac:dyDescent="0.35">
      <c r="A24">
        <v>21</v>
      </c>
      <c r="B24">
        <f>'[11]GABM_R03_NavidAPI_sf_fb-data'!$H23</f>
        <v>1</v>
      </c>
      <c r="C24">
        <f>'[12]GABM_R03_savannah_sf_fb-data'!$H23</f>
        <v>4</v>
      </c>
      <c r="D24">
        <f>'[13]GABM_R03_MitchellAPI_sf_fb-data'!$H23</f>
        <v>11</v>
      </c>
      <c r="E24">
        <f>'[14]GABM_R03_RandiAPI_sf_fb-data'!$H23</f>
        <v>0</v>
      </c>
      <c r="F24">
        <f>'[15]GABM_R03_Terry_sf_fb-data'!$H23</f>
        <v>3</v>
      </c>
      <c r="G24">
        <f>'[16]R03_GABM_NiyoushaAPI_sf_fb-data'!$H23</f>
        <v>0</v>
      </c>
      <c r="H24">
        <f>'[17]GABM_R03_SudipaAPI_sf_fb-data'!$H23</f>
        <v>3</v>
      </c>
      <c r="I24">
        <f>'[18]GABM_R03_Terry_sf_fb_2-data'!$H23</f>
        <v>1</v>
      </c>
      <c r="J24">
        <f>'[19]GABM_R03_NavidAPI_sf_fb_2-data'!$H23</f>
        <v>2</v>
      </c>
      <c r="K24">
        <f>'[20]R03_GABM_NiyoushaAPI_sf_fb_2-da'!$H23</f>
        <v>6</v>
      </c>
      <c r="L24">
        <f t="shared" si="0"/>
        <v>3.1</v>
      </c>
      <c r="N24">
        <f t="shared" si="1"/>
        <v>696.40000000000009</v>
      </c>
    </row>
    <row r="25" spans="1:14" x14ac:dyDescent="0.35">
      <c r="A25">
        <v>22</v>
      </c>
      <c r="B25">
        <f>'[11]GABM_R03_NavidAPI_sf_fb-data'!$H24</f>
        <v>0</v>
      </c>
      <c r="C25">
        <f>'[12]GABM_R03_savannah_sf_fb-data'!$H24</f>
        <v>4</v>
      </c>
      <c r="D25">
        <f>'[13]GABM_R03_MitchellAPI_sf_fb-data'!$H24</f>
        <v>4</v>
      </c>
      <c r="E25">
        <f>'[14]GABM_R03_RandiAPI_sf_fb-data'!$H24</f>
        <v>0</v>
      </c>
      <c r="F25">
        <f>'[15]GABM_R03_Terry_sf_fb-data'!$H24</f>
        <v>2</v>
      </c>
      <c r="G25">
        <f>'[16]R03_GABM_NiyoushaAPI_sf_fb-data'!$H24</f>
        <v>0</v>
      </c>
      <c r="H25">
        <f>'[17]GABM_R03_SudipaAPI_sf_fb-data'!$H24</f>
        <v>3</v>
      </c>
      <c r="I25">
        <f>'[18]GABM_R03_Terry_sf_fb_2-data'!$H24</f>
        <v>1</v>
      </c>
      <c r="J25">
        <f>'[19]GABM_R03_NavidAPI_sf_fb_2-data'!$H24</f>
        <v>1</v>
      </c>
      <c r="K25">
        <f>'[20]R03_GABM_NiyoushaAPI_sf_fb_2-da'!$H24</f>
        <v>6</v>
      </c>
      <c r="L25">
        <f t="shared" si="0"/>
        <v>2.1</v>
      </c>
      <c r="N25">
        <f t="shared" si="1"/>
        <v>698.50000000000011</v>
      </c>
    </row>
    <row r="26" spans="1:14" x14ac:dyDescent="0.35">
      <c r="A26">
        <v>23</v>
      </c>
      <c r="B26">
        <f>'[11]GABM_R03_NavidAPI_sf_fb-data'!$H25</f>
        <v>1</v>
      </c>
      <c r="C26">
        <f>'[12]GABM_R03_savannah_sf_fb-data'!$H25</f>
        <v>1</v>
      </c>
      <c r="D26">
        <f>'[13]GABM_R03_MitchellAPI_sf_fb-data'!$H25</f>
        <v>3</v>
      </c>
      <c r="E26">
        <f>'[14]GABM_R03_RandiAPI_sf_fb-data'!$H25</f>
        <v>0</v>
      </c>
      <c r="F26">
        <f>'[15]GABM_R03_Terry_sf_fb-data'!$H25</f>
        <v>1</v>
      </c>
      <c r="G26">
        <f>'[16]R03_GABM_NiyoushaAPI_sf_fb-data'!$H25</f>
        <v>0</v>
      </c>
      <c r="H26">
        <f>'[17]GABM_R03_SudipaAPI_sf_fb-data'!$H25</f>
        <v>2</v>
      </c>
      <c r="I26">
        <f>'[18]GABM_R03_Terry_sf_fb_2-data'!$H25</f>
        <v>1</v>
      </c>
      <c r="J26">
        <f>'[19]GABM_R03_NavidAPI_sf_fb_2-data'!$H25</f>
        <v>0</v>
      </c>
      <c r="K26">
        <f>'[20]R03_GABM_NiyoushaAPI_sf_fb_2-da'!$H25</f>
        <v>3</v>
      </c>
      <c r="L26">
        <f t="shared" si="0"/>
        <v>1.2</v>
      </c>
      <c r="N26">
        <f t="shared" si="1"/>
        <v>699.70000000000016</v>
      </c>
    </row>
    <row r="27" spans="1:14" x14ac:dyDescent="0.35">
      <c r="A27">
        <v>24</v>
      </c>
      <c r="B27">
        <f>'[11]GABM_R03_NavidAPI_sf_fb-data'!$H26</f>
        <v>1</v>
      </c>
      <c r="C27">
        <f>'[12]GABM_R03_savannah_sf_fb-data'!$H26</f>
        <v>0</v>
      </c>
      <c r="D27">
        <f>'[13]GABM_R03_MitchellAPI_sf_fb-data'!$H26</f>
        <v>2</v>
      </c>
      <c r="E27">
        <f>'[14]GABM_R03_RandiAPI_sf_fb-data'!$H26</f>
        <v>0</v>
      </c>
      <c r="F27">
        <f>'[15]GABM_R03_Terry_sf_fb-data'!$H26</f>
        <v>1</v>
      </c>
      <c r="G27">
        <f>'[16]R03_GABM_NiyoushaAPI_sf_fb-data'!$H26</f>
        <v>0</v>
      </c>
      <c r="H27">
        <f>'[17]GABM_R03_SudipaAPI_sf_fb-data'!$H26</f>
        <v>1</v>
      </c>
      <c r="I27">
        <f>'[18]GABM_R03_Terry_sf_fb_2-data'!$H26</f>
        <v>1</v>
      </c>
      <c r="J27">
        <f>'[19]GABM_R03_NavidAPI_sf_fb_2-data'!$H26</f>
        <v>0</v>
      </c>
      <c r="K27">
        <f>'[20]R03_GABM_NiyoushaAPI_sf_fb_2-da'!$H26</f>
        <v>2</v>
      </c>
      <c r="L27">
        <f t="shared" si="0"/>
        <v>0.8</v>
      </c>
      <c r="N27">
        <f t="shared" si="1"/>
        <v>700.50000000000011</v>
      </c>
    </row>
    <row r="28" spans="1:14" x14ac:dyDescent="0.35">
      <c r="A28">
        <v>25</v>
      </c>
      <c r="B28">
        <f>'[11]GABM_R03_NavidAPI_sf_fb-data'!$H27</f>
        <v>2</v>
      </c>
      <c r="C28">
        <f>'[12]GABM_R03_savannah_sf_fb-data'!$H27</f>
        <v>0</v>
      </c>
      <c r="D28">
        <f>'[13]GABM_R03_MitchellAPI_sf_fb-data'!$H27</f>
        <v>1</v>
      </c>
      <c r="E28">
        <f>'[14]GABM_R03_RandiAPI_sf_fb-data'!$H27</f>
        <v>0</v>
      </c>
      <c r="F28">
        <f>'[15]GABM_R03_Terry_sf_fb-data'!$H27</f>
        <v>0</v>
      </c>
      <c r="G28">
        <f>'[16]R03_GABM_NiyoushaAPI_sf_fb-data'!$H27</f>
        <v>0</v>
      </c>
      <c r="H28">
        <f>'[17]GABM_R03_SudipaAPI_sf_fb-data'!$H27</f>
        <v>1</v>
      </c>
      <c r="I28">
        <f>'[18]GABM_R03_Terry_sf_fb_2-data'!$H27</f>
        <v>0</v>
      </c>
      <c r="J28">
        <f>'[19]GABM_R03_NavidAPI_sf_fb_2-data'!$H27</f>
        <v>0</v>
      </c>
      <c r="K28">
        <f>'[20]R03_GABM_NiyoushaAPI_sf_fb_2-da'!$H27</f>
        <v>1</v>
      </c>
      <c r="L28">
        <f t="shared" si="0"/>
        <v>0.5</v>
      </c>
      <c r="N28">
        <f t="shared" si="1"/>
        <v>701.00000000000011</v>
      </c>
    </row>
    <row r="29" spans="1:14" x14ac:dyDescent="0.35">
      <c r="A29">
        <v>26</v>
      </c>
      <c r="B29">
        <f>'[11]GABM_R03_NavidAPI_sf_fb-data'!$H28</f>
        <v>0</v>
      </c>
      <c r="C29">
        <f>'[12]GABM_R03_savannah_sf_fb-data'!$H28</f>
        <v>0</v>
      </c>
      <c r="D29">
        <f>'[13]GABM_R03_MitchellAPI_sf_fb-data'!$H28</f>
        <v>0</v>
      </c>
      <c r="E29">
        <f>'[14]GABM_R03_RandiAPI_sf_fb-data'!$H28</f>
        <v>0</v>
      </c>
      <c r="F29">
        <f>'[15]GABM_R03_Terry_sf_fb-data'!$H28</f>
        <v>0</v>
      </c>
      <c r="G29">
        <f>'[16]R03_GABM_NiyoushaAPI_sf_fb-data'!$H28</f>
        <v>0</v>
      </c>
      <c r="H29">
        <f>'[17]GABM_R03_SudipaAPI_sf_fb-data'!$H28</f>
        <v>0</v>
      </c>
      <c r="I29">
        <f>'[18]GABM_R03_Terry_sf_fb_2-data'!$H28</f>
        <v>1</v>
      </c>
      <c r="J29">
        <f>'[19]GABM_R03_NavidAPI_sf_fb_2-data'!$H28</f>
        <v>0</v>
      </c>
      <c r="K29">
        <f>'[20]R03_GABM_NiyoushaAPI_sf_fb_2-da'!$H28</f>
        <v>1</v>
      </c>
      <c r="L29">
        <f t="shared" si="0"/>
        <v>0.2</v>
      </c>
      <c r="N29">
        <f t="shared" si="1"/>
        <v>701.20000000000016</v>
      </c>
    </row>
    <row r="30" spans="1:14" x14ac:dyDescent="0.35">
      <c r="A30">
        <v>27</v>
      </c>
      <c r="B30">
        <f>'[11]GABM_R03_NavidAPI_sf_fb-data'!$H29</f>
        <v>0</v>
      </c>
      <c r="C30">
        <f>'[12]GABM_R03_savannah_sf_fb-data'!$H29</f>
        <v>0</v>
      </c>
      <c r="D30">
        <f>'[13]GABM_R03_MitchellAPI_sf_fb-data'!$H29</f>
        <v>0</v>
      </c>
      <c r="E30">
        <f>'[14]GABM_R03_RandiAPI_sf_fb-data'!$H29</f>
        <v>0</v>
      </c>
      <c r="F30">
        <f>'[15]GABM_R03_Terry_sf_fb-data'!$H29</f>
        <v>0</v>
      </c>
      <c r="G30">
        <f>'[16]R03_GABM_NiyoushaAPI_sf_fb-data'!$H29</f>
        <v>0</v>
      </c>
      <c r="H30">
        <f>'[17]GABM_R03_SudipaAPI_sf_fb-data'!$H29</f>
        <v>1</v>
      </c>
      <c r="I30">
        <f>'[18]GABM_R03_Terry_sf_fb_2-data'!$H29</f>
        <v>0</v>
      </c>
      <c r="J30">
        <f>'[19]GABM_R03_NavidAPI_sf_fb_2-data'!$H29</f>
        <v>0</v>
      </c>
      <c r="K30">
        <f>'[20]R03_GABM_NiyoushaAPI_sf_fb_2-da'!$H29</f>
        <v>0</v>
      </c>
      <c r="L30">
        <f t="shared" si="0"/>
        <v>0.1</v>
      </c>
      <c r="N30">
        <f t="shared" si="1"/>
        <v>701.30000000000018</v>
      </c>
    </row>
    <row r="31" spans="1:14" x14ac:dyDescent="0.35">
      <c r="A31">
        <v>28</v>
      </c>
      <c r="B31">
        <f>'[11]GABM_R03_NavidAPI_sf_fb-data'!$H30</f>
        <v>0</v>
      </c>
      <c r="C31">
        <f>'[12]GABM_R03_savannah_sf_fb-data'!$H30</f>
        <v>0</v>
      </c>
      <c r="D31">
        <f>'[13]GABM_R03_MitchellAPI_sf_fb-data'!$H30</f>
        <v>0</v>
      </c>
      <c r="E31">
        <f>'[14]GABM_R03_RandiAPI_sf_fb-data'!$H30</f>
        <v>0</v>
      </c>
      <c r="F31">
        <f>'[15]GABM_R03_Terry_sf_fb-data'!$H30</f>
        <v>0</v>
      </c>
      <c r="G31">
        <f>'[16]R03_GABM_NiyoushaAPI_sf_fb-data'!$H30</f>
        <v>0</v>
      </c>
      <c r="H31">
        <f>'[17]GABM_R03_SudipaAPI_sf_fb-data'!$H30</f>
        <v>0</v>
      </c>
      <c r="I31">
        <f>'[18]GABM_R03_Terry_sf_fb_2-data'!$H30</f>
        <v>0</v>
      </c>
      <c r="J31">
        <f>'[19]GABM_R03_NavidAPI_sf_fb_2-data'!$H30</f>
        <v>0</v>
      </c>
      <c r="K31">
        <f>'[20]R03_GABM_NiyoushaAPI_sf_fb_2-da'!$H30</f>
        <v>1</v>
      </c>
      <c r="L31">
        <f t="shared" si="0"/>
        <v>0.1</v>
      </c>
      <c r="N31">
        <f t="shared" si="1"/>
        <v>701.4000000000002</v>
      </c>
    </row>
    <row r="32" spans="1:14" x14ac:dyDescent="0.35">
      <c r="A32">
        <v>29</v>
      </c>
      <c r="B32">
        <f>'[11]GABM_R03_NavidAPI_sf_fb-data'!$H31</f>
        <v>0</v>
      </c>
      <c r="C32">
        <f>'[12]GABM_R03_savannah_sf_fb-data'!$H31</f>
        <v>0</v>
      </c>
      <c r="D32">
        <f>'[13]GABM_R03_MitchellAPI_sf_fb-data'!$H31</f>
        <v>0</v>
      </c>
      <c r="E32">
        <f>'[14]GABM_R03_RandiAPI_sf_fb-data'!$H31</f>
        <v>0</v>
      </c>
      <c r="F32">
        <f>'[15]GABM_R03_Terry_sf_fb-data'!$H31</f>
        <v>0</v>
      </c>
      <c r="G32">
        <f>'[16]R03_GABM_NiyoushaAPI_sf_fb-data'!$H31</f>
        <v>0</v>
      </c>
      <c r="H32">
        <f>'[17]GABM_R03_SudipaAPI_sf_fb-data'!$H31</f>
        <v>0</v>
      </c>
      <c r="I32">
        <f>'[18]GABM_R03_Terry_sf_fb_2-data'!$H31</f>
        <v>0</v>
      </c>
      <c r="J32">
        <f>'[19]GABM_R03_NavidAPI_sf_fb_2-data'!$H31</f>
        <v>0</v>
      </c>
      <c r="K32">
        <f>'[20]R03_GABM_NiyoushaAPI_sf_fb_2-da'!$H31</f>
        <v>0</v>
      </c>
      <c r="L32">
        <f t="shared" si="0"/>
        <v>0</v>
      </c>
      <c r="N32">
        <f t="shared" si="1"/>
        <v>701.4000000000002</v>
      </c>
    </row>
    <row r="33" spans="1:16" x14ac:dyDescent="0.35">
      <c r="A33">
        <v>30</v>
      </c>
      <c r="B33">
        <f>'[11]GABM_R03_NavidAPI_sf_fb-data'!$H32</f>
        <v>0</v>
      </c>
      <c r="C33">
        <f>'[12]GABM_R03_savannah_sf_fb-data'!$H32</f>
        <v>0</v>
      </c>
      <c r="D33">
        <f>'[13]GABM_R03_MitchellAPI_sf_fb-data'!$H32</f>
        <v>0</v>
      </c>
      <c r="E33">
        <f>'[14]GABM_R03_RandiAPI_sf_fb-data'!$H32</f>
        <v>0</v>
      </c>
      <c r="F33">
        <f>'[15]GABM_R03_Terry_sf_fb-data'!$H32</f>
        <v>0</v>
      </c>
      <c r="G33">
        <f>'[16]R03_GABM_NiyoushaAPI_sf_fb-data'!$H32</f>
        <v>0</v>
      </c>
      <c r="H33">
        <f>'[17]GABM_R03_SudipaAPI_sf_fb-data'!$H32</f>
        <v>0</v>
      </c>
      <c r="I33">
        <f>'[18]GABM_R03_Terry_sf_fb_2-data'!$H32</f>
        <v>0</v>
      </c>
      <c r="J33">
        <f>'[19]GABM_R03_NavidAPI_sf_fb_2-data'!$H32</f>
        <v>0</v>
      </c>
      <c r="K33">
        <f>'[20]R03_GABM_NiyoushaAPI_sf_fb_2-da'!$H32</f>
        <v>0</v>
      </c>
      <c r="L33">
        <f t="shared" si="0"/>
        <v>0</v>
      </c>
      <c r="N33">
        <f t="shared" si="1"/>
        <v>701.4000000000002</v>
      </c>
    </row>
    <row r="34" spans="1:16" x14ac:dyDescent="0.35">
      <c r="A34">
        <v>31</v>
      </c>
      <c r="B34">
        <f>'[11]GABM_R03_NavidAPI_sf_fb-data'!$H33</f>
        <v>0</v>
      </c>
      <c r="C34">
        <f>'[12]GABM_R03_savannah_sf_fb-data'!$H33</f>
        <v>0</v>
      </c>
      <c r="D34">
        <f>'[13]GABM_R03_MitchellAPI_sf_fb-data'!$H33</f>
        <v>0</v>
      </c>
      <c r="E34">
        <f>'[14]GABM_R03_RandiAPI_sf_fb-data'!$H33</f>
        <v>0</v>
      </c>
      <c r="F34">
        <f>'[15]GABM_R03_Terry_sf_fb-data'!$H33</f>
        <v>0</v>
      </c>
      <c r="G34">
        <f>'[16]R03_GABM_NiyoushaAPI_sf_fb-data'!$H33</f>
        <v>0</v>
      </c>
      <c r="H34">
        <f>'[17]GABM_R03_SudipaAPI_sf_fb-data'!$H33</f>
        <v>0</v>
      </c>
      <c r="I34">
        <f>'[18]GABM_R03_Terry_sf_fb_2-data'!$H33</f>
        <v>0</v>
      </c>
      <c r="J34">
        <f>'[19]GABM_R03_NavidAPI_sf_fb_2-data'!$H33</f>
        <v>0</v>
      </c>
      <c r="K34">
        <f>'[20]R03_GABM_NiyoushaAPI_sf_fb_2-da'!$H33</f>
        <v>0</v>
      </c>
      <c r="L34">
        <f t="shared" si="0"/>
        <v>0</v>
      </c>
      <c r="N34">
        <f t="shared" si="1"/>
        <v>701.4000000000002</v>
      </c>
    </row>
    <row r="35" spans="1:16" x14ac:dyDescent="0.35">
      <c r="A35">
        <v>32</v>
      </c>
      <c r="B35">
        <f>'[11]GABM_R03_NavidAPI_sf_fb-data'!$H34</f>
        <v>0</v>
      </c>
      <c r="C35">
        <f>'[12]GABM_R03_savannah_sf_fb-data'!$H34</f>
        <v>0</v>
      </c>
      <c r="D35">
        <f>'[13]GABM_R03_MitchellAPI_sf_fb-data'!$H34</f>
        <v>0</v>
      </c>
      <c r="E35">
        <f>'[14]GABM_R03_RandiAPI_sf_fb-data'!$H34</f>
        <v>0</v>
      </c>
      <c r="F35">
        <f>'[15]GABM_R03_Terry_sf_fb-data'!$H34</f>
        <v>0</v>
      </c>
      <c r="G35">
        <f>'[16]R03_GABM_NiyoushaAPI_sf_fb-data'!$H34</f>
        <v>0</v>
      </c>
      <c r="H35">
        <f>'[17]GABM_R03_SudipaAPI_sf_fb-data'!$H34</f>
        <v>0</v>
      </c>
      <c r="I35">
        <f>'[18]GABM_R03_Terry_sf_fb_2-data'!$H34</f>
        <v>0</v>
      </c>
      <c r="J35">
        <f>'[19]GABM_R03_NavidAPI_sf_fb_2-data'!$H34</f>
        <v>0</v>
      </c>
      <c r="K35">
        <f>'[20]R03_GABM_NiyoushaAPI_sf_fb_2-da'!$H34</f>
        <v>0</v>
      </c>
      <c r="L35">
        <f t="shared" si="0"/>
        <v>0</v>
      </c>
      <c r="N35">
        <f t="shared" si="1"/>
        <v>701.4000000000002</v>
      </c>
    </row>
    <row r="36" spans="1:16" x14ac:dyDescent="0.35">
      <c r="A36">
        <v>33</v>
      </c>
      <c r="B36">
        <f>'[11]GABM_R03_NavidAPI_sf_fb-data'!$H35</f>
        <v>0</v>
      </c>
      <c r="C36">
        <f>'[12]GABM_R03_savannah_sf_fb-data'!$H35</f>
        <v>0</v>
      </c>
      <c r="D36">
        <f>'[13]GABM_R03_MitchellAPI_sf_fb-data'!$H35</f>
        <v>0</v>
      </c>
      <c r="E36">
        <f>'[14]GABM_R03_RandiAPI_sf_fb-data'!$H35</f>
        <v>0</v>
      </c>
      <c r="F36">
        <f>'[15]GABM_R03_Terry_sf_fb-data'!$H35</f>
        <v>0</v>
      </c>
      <c r="G36">
        <f>'[16]R03_GABM_NiyoushaAPI_sf_fb-data'!$H35</f>
        <v>0</v>
      </c>
      <c r="H36">
        <f>'[17]GABM_R03_SudipaAPI_sf_fb-data'!$H35</f>
        <v>0</v>
      </c>
      <c r="I36">
        <f>'[18]GABM_R03_Terry_sf_fb_2-data'!$H35</f>
        <v>0</v>
      </c>
      <c r="J36">
        <f>'[19]GABM_R03_NavidAPI_sf_fb_2-data'!$H35</f>
        <v>0</v>
      </c>
      <c r="K36">
        <f>'[20]R03_GABM_NiyoushaAPI_sf_fb_2-da'!$H35</f>
        <v>0</v>
      </c>
      <c r="L36">
        <f t="shared" si="0"/>
        <v>0</v>
      </c>
      <c r="N36">
        <f t="shared" si="1"/>
        <v>701.4000000000002</v>
      </c>
    </row>
    <row r="37" spans="1:16" x14ac:dyDescent="0.35">
      <c r="A37">
        <v>34</v>
      </c>
      <c r="B37">
        <f>'[11]GABM_R03_NavidAPI_sf_fb-data'!$H36</f>
        <v>0</v>
      </c>
      <c r="C37">
        <f>'[12]GABM_R03_savannah_sf_fb-data'!$H36</f>
        <v>0</v>
      </c>
      <c r="D37">
        <f>'[13]GABM_R03_MitchellAPI_sf_fb-data'!$H36</f>
        <v>0</v>
      </c>
      <c r="E37">
        <f>'[14]GABM_R03_RandiAPI_sf_fb-data'!$H36</f>
        <v>0</v>
      </c>
      <c r="F37">
        <f>'[15]GABM_R03_Terry_sf_fb-data'!$H36</f>
        <v>0</v>
      </c>
      <c r="G37">
        <f>'[16]R03_GABM_NiyoushaAPI_sf_fb-data'!$H36</f>
        <v>0</v>
      </c>
      <c r="H37">
        <f>'[17]GABM_R03_SudipaAPI_sf_fb-data'!$H36</f>
        <v>0</v>
      </c>
      <c r="I37">
        <f>'[18]GABM_R03_Terry_sf_fb_2-data'!$H36</f>
        <v>0</v>
      </c>
      <c r="J37">
        <f>'[19]GABM_R03_NavidAPI_sf_fb_2-data'!$H36</f>
        <v>0</v>
      </c>
      <c r="K37">
        <f>'[20]R03_GABM_NiyoushaAPI_sf_fb_2-da'!$H36</f>
        <v>0</v>
      </c>
      <c r="L37">
        <f t="shared" si="0"/>
        <v>0</v>
      </c>
      <c r="N37">
        <f t="shared" si="1"/>
        <v>701.4000000000002</v>
      </c>
    </row>
    <row r="39" spans="1:16" x14ac:dyDescent="0.35">
      <c r="A39" t="s">
        <v>23</v>
      </c>
      <c r="B39">
        <f>SUM(B3:B37)</f>
        <v>783</v>
      </c>
      <c r="C39">
        <f t="shared" ref="C39:K39" si="2">SUM(C3:C37)</f>
        <v>781</v>
      </c>
      <c r="D39">
        <f t="shared" si="2"/>
        <v>773</v>
      </c>
      <c r="E39">
        <f t="shared" si="2"/>
        <v>2</v>
      </c>
      <c r="F39">
        <f t="shared" si="2"/>
        <v>762</v>
      </c>
      <c r="G39">
        <f t="shared" si="2"/>
        <v>812</v>
      </c>
      <c r="H39">
        <f t="shared" si="2"/>
        <v>777</v>
      </c>
      <c r="I39">
        <f t="shared" si="2"/>
        <v>793</v>
      </c>
      <c r="J39">
        <f t="shared" si="2"/>
        <v>761</v>
      </c>
      <c r="K39">
        <f t="shared" si="2"/>
        <v>770</v>
      </c>
      <c r="M39">
        <f>_xlfn.STDEV.P(B39:K39)</f>
        <v>233.57020357913805</v>
      </c>
      <c r="P39">
        <f>PERCENTILE(B39:K39,0.975)</f>
        <v>807.72500000000002</v>
      </c>
    </row>
    <row r="40" spans="1:16" x14ac:dyDescent="0.35">
      <c r="M40">
        <f>_xlfn.T.INV.2T(0.05,9)</f>
        <v>2.2621571627982053</v>
      </c>
    </row>
    <row r="41" spans="1:16" x14ac:dyDescent="0.35">
      <c r="A41" t="s">
        <v>26</v>
      </c>
      <c r="B41">
        <f>AVERAGE(B39:K39)</f>
        <v>701.4</v>
      </c>
    </row>
    <row r="42" spans="1:16" x14ac:dyDescent="0.35">
      <c r="A42" t="s">
        <v>28</v>
      </c>
      <c r="B42">
        <f>MIN(B39:K39)</f>
        <v>2</v>
      </c>
    </row>
    <row r="43" spans="1:16" x14ac:dyDescent="0.35">
      <c r="A43" t="s">
        <v>27</v>
      </c>
      <c r="B43">
        <f>MAX(B39:K39)</f>
        <v>812</v>
      </c>
    </row>
    <row r="44" spans="1:16" x14ac:dyDescent="0.35">
      <c r="A44" t="s">
        <v>34</v>
      </c>
      <c r="B44">
        <f>B41-M39*M40</f>
        <v>173.02749095721776</v>
      </c>
    </row>
    <row r="45" spans="1:16" x14ac:dyDescent="0.35">
      <c r="A45" t="s">
        <v>35</v>
      </c>
      <c r="B45">
        <f>B41+M39*M40</f>
        <v>1229.7725090427821</v>
      </c>
    </row>
    <row r="47" spans="1:16" x14ac:dyDescent="0.35">
      <c r="A47" t="s">
        <v>52</v>
      </c>
      <c r="B47">
        <f>MAX(B3:B37)</f>
        <v>89</v>
      </c>
      <c r="C47">
        <f t="shared" ref="C47:K47" si="3">MAX(C3:C37)</f>
        <v>95</v>
      </c>
      <c r="D47">
        <f t="shared" si="3"/>
        <v>87</v>
      </c>
      <c r="E47">
        <f t="shared" si="3"/>
        <v>2</v>
      </c>
      <c r="F47">
        <f t="shared" si="3"/>
        <v>104</v>
      </c>
      <c r="G47">
        <f t="shared" si="3"/>
        <v>114</v>
      </c>
      <c r="H47">
        <f t="shared" si="3"/>
        <v>93</v>
      </c>
      <c r="I47">
        <f t="shared" si="3"/>
        <v>99</v>
      </c>
      <c r="J47">
        <f t="shared" si="3"/>
        <v>94</v>
      </c>
      <c r="K47">
        <f t="shared" si="3"/>
        <v>102</v>
      </c>
    </row>
    <row r="48" spans="1:16" x14ac:dyDescent="0.35">
      <c r="A48" t="s">
        <v>44</v>
      </c>
      <c r="B48">
        <f>MEDIAN(B47:K47)</f>
        <v>94.5</v>
      </c>
    </row>
    <row r="49" spans="1:2" x14ac:dyDescent="0.35">
      <c r="A49" t="s">
        <v>50</v>
      </c>
      <c r="B49">
        <v>87</v>
      </c>
    </row>
    <row r="50" spans="1:2" x14ac:dyDescent="0.35">
      <c r="A50" t="s">
        <v>51</v>
      </c>
      <c r="B50">
        <v>104</v>
      </c>
    </row>
    <row r="52" spans="1:2" x14ac:dyDescent="0.35">
      <c r="A52" t="s">
        <v>57</v>
      </c>
      <c r="B52">
        <f>MEDIAN(B39:K39)</f>
        <v>775</v>
      </c>
    </row>
    <row r="53" spans="1:2" x14ac:dyDescent="0.35">
      <c r="A53" t="s">
        <v>58</v>
      </c>
      <c r="B53">
        <f>J39</f>
        <v>761</v>
      </c>
    </row>
    <row r="54" spans="1:2" x14ac:dyDescent="0.35">
      <c r="A54" t="s">
        <v>51</v>
      </c>
      <c r="B54">
        <f>I39</f>
        <v>793</v>
      </c>
    </row>
  </sheetData>
  <mergeCells count="1">
    <mergeCell ref="A1:L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1084-2CDF-4174-8BCC-7729F115FB4F}">
  <dimension ref="A1:Q220"/>
  <sheetViews>
    <sheetView topLeftCell="A77" workbookViewId="0">
      <selection activeCell="U88" sqref="U88"/>
    </sheetView>
  </sheetViews>
  <sheetFormatPr defaultRowHeight="14.5" x14ac:dyDescent="0.35"/>
  <sheetData>
    <row r="1" spans="1:17" x14ac:dyDescent="0.35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7" x14ac:dyDescent="0.35">
      <c r="A2" t="s">
        <v>10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12</v>
      </c>
      <c r="N2" t="s">
        <v>32</v>
      </c>
    </row>
    <row r="3" spans="1:17" x14ac:dyDescent="0.35">
      <c r="A3">
        <v>0</v>
      </c>
      <c r="B3">
        <f>'[21]R03_GABM-data'!$H2</f>
        <v>2</v>
      </c>
      <c r="C3">
        <f>'[22]GABM_R03_RossAPI-data'!$H2</f>
        <v>2</v>
      </c>
      <c r="D3">
        <f>'[23]GABM_R03_RandiAPI-data'!$H2</f>
        <v>2</v>
      </c>
      <c r="E3">
        <f>'[24]GABM_R03_NavidAPI-data'!$H2</f>
        <v>2</v>
      </c>
      <c r="F3">
        <f>'[25]GABM_R03_Terry-data'!$H2</f>
        <v>2</v>
      </c>
      <c r="G3">
        <f>'[26]GABM_R03_SarahAPI-data'!$H2</f>
        <v>2</v>
      </c>
      <c r="H3">
        <f>'[27]GABM_R03_savannah-data'!$H2</f>
        <v>2</v>
      </c>
      <c r="I3">
        <f>'[28]GABM_R03_MitchellAPI-data'!$H2</f>
        <v>2</v>
      </c>
      <c r="J3">
        <f>'[29]GABM_R03_SudipaAPI-data'!$H2</f>
        <v>2</v>
      </c>
      <c r="K3">
        <f>'[30]R03_GABM_run2-data'!$H2</f>
        <v>2</v>
      </c>
      <c r="L3">
        <f>AVERAGE(B3:K3)</f>
        <v>2</v>
      </c>
      <c r="N3">
        <f>L3</f>
        <v>2</v>
      </c>
      <c r="Q3">
        <f>MAX(B3:K200)</f>
        <v>34</v>
      </c>
    </row>
    <row r="4" spans="1:17" x14ac:dyDescent="0.35">
      <c r="A4">
        <v>1</v>
      </c>
      <c r="B4">
        <f>'[21]R03_GABM-data'!$H3</f>
        <v>3</v>
      </c>
      <c r="C4">
        <f>'[22]GABM_R03_RossAPI-data'!$H3</f>
        <v>1</v>
      </c>
      <c r="D4">
        <f>'[23]GABM_R03_RandiAPI-data'!$H3</f>
        <v>4</v>
      </c>
      <c r="E4">
        <f>'[24]GABM_R03_NavidAPI-data'!$H3</f>
        <v>0</v>
      </c>
      <c r="F4">
        <f>'[25]GABM_R03_Terry-data'!$H3</f>
        <v>2</v>
      </c>
      <c r="G4">
        <f>'[26]GABM_R03_SarahAPI-data'!$H3</f>
        <v>0</v>
      </c>
      <c r="H4">
        <f>'[27]GABM_R03_savannah-data'!$H3</f>
        <v>1</v>
      </c>
      <c r="I4">
        <f>'[28]GABM_R03_MitchellAPI-data'!$H3</f>
        <v>3</v>
      </c>
      <c r="J4">
        <f>'[29]GABM_R03_SudipaAPI-data'!$H3</f>
        <v>3</v>
      </c>
      <c r="K4">
        <f>'[30]R03_GABM_run2-data'!$H3</f>
        <v>5</v>
      </c>
      <c r="L4">
        <f t="shared" ref="L4:L67" si="0">AVERAGE(B4:K4)</f>
        <v>2.2000000000000002</v>
      </c>
      <c r="N4">
        <f>N3+L4</f>
        <v>4.2</v>
      </c>
    </row>
    <row r="5" spans="1:17" x14ac:dyDescent="0.35">
      <c r="A5">
        <v>2</v>
      </c>
      <c r="B5">
        <f>'[21]R03_GABM-data'!$H4</f>
        <v>9</v>
      </c>
      <c r="C5">
        <f>'[22]GABM_R03_RossAPI-data'!$H4</f>
        <v>4</v>
      </c>
      <c r="D5">
        <f>'[23]GABM_R03_RandiAPI-data'!$H4</f>
        <v>5</v>
      </c>
      <c r="E5">
        <f>'[24]GABM_R03_NavidAPI-data'!$H4</f>
        <v>3</v>
      </c>
      <c r="F5">
        <f>'[25]GABM_R03_Terry-data'!$H4</f>
        <v>5</v>
      </c>
      <c r="G5">
        <f>'[26]GABM_R03_SarahAPI-data'!$H4</f>
        <v>2</v>
      </c>
      <c r="H5">
        <f>'[27]GABM_R03_savannah-data'!$H4</f>
        <v>2</v>
      </c>
      <c r="I5">
        <f>'[28]GABM_R03_MitchellAPI-data'!$H4</f>
        <v>7</v>
      </c>
      <c r="J5">
        <f>'[29]GABM_R03_SudipaAPI-data'!$H4</f>
        <v>2</v>
      </c>
      <c r="K5">
        <f>'[30]R03_GABM_run2-data'!$H4</f>
        <v>3</v>
      </c>
      <c r="L5">
        <f t="shared" si="0"/>
        <v>4.2</v>
      </c>
      <c r="N5">
        <f t="shared" ref="N5:N68" si="1">N4+L5</f>
        <v>8.4</v>
      </c>
    </row>
    <row r="6" spans="1:17" x14ac:dyDescent="0.35">
      <c r="A6">
        <v>3</v>
      </c>
      <c r="B6">
        <f>'[21]R03_GABM-data'!$H5</f>
        <v>8</v>
      </c>
      <c r="C6">
        <f>'[22]GABM_R03_RossAPI-data'!$H5</f>
        <v>10</v>
      </c>
      <c r="D6">
        <f>'[23]GABM_R03_RandiAPI-data'!$H5</f>
        <v>9</v>
      </c>
      <c r="E6">
        <f>'[24]GABM_R03_NavidAPI-data'!$H5</f>
        <v>8</v>
      </c>
      <c r="F6">
        <f>'[25]GABM_R03_Terry-data'!$H5</f>
        <v>6</v>
      </c>
      <c r="G6">
        <f>'[26]GABM_R03_SarahAPI-data'!$H5</f>
        <v>2</v>
      </c>
      <c r="H6">
        <f>'[27]GABM_R03_savannah-data'!$H5</f>
        <v>5</v>
      </c>
      <c r="I6">
        <f>'[28]GABM_R03_MitchellAPI-data'!$H5</f>
        <v>11</v>
      </c>
      <c r="J6">
        <f>'[29]GABM_R03_SudipaAPI-data'!$H5</f>
        <v>5</v>
      </c>
      <c r="K6">
        <f>'[30]R03_GABM_run2-data'!$H5</f>
        <v>5</v>
      </c>
      <c r="L6">
        <f t="shared" si="0"/>
        <v>6.9</v>
      </c>
      <c r="N6">
        <f t="shared" si="1"/>
        <v>15.3</v>
      </c>
    </row>
    <row r="7" spans="1:17" x14ac:dyDescent="0.35">
      <c r="A7">
        <v>4</v>
      </c>
      <c r="B7">
        <f>'[21]R03_GABM-data'!$H6</f>
        <v>13</v>
      </c>
      <c r="C7">
        <f>'[22]GABM_R03_RossAPI-data'!$H6</f>
        <v>16</v>
      </c>
      <c r="D7">
        <f>'[23]GABM_R03_RandiAPI-data'!$H6</f>
        <v>7</v>
      </c>
      <c r="E7">
        <f>'[24]GABM_R03_NavidAPI-data'!$H6</f>
        <v>7</v>
      </c>
      <c r="F7">
        <f>'[25]GABM_R03_Terry-data'!$H6</f>
        <v>8</v>
      </c>
      <c r="G7">
        <f>'[26]GABM_R03_SarahAPI-data'!$H6</f>
        <v>3</v>
      </c>
      <c r="H7">
        <f>'[27]GABM_R03_savannah-data'!$H6</f>
        <v>4</v>
      </c>
      <c r="I7">
        <f>'[28]GABM_R03_MitchellAPI-data'!$H6</f>
        <v>8</v>
      </c>
      <c r="J7">
        <f>'[29]GABM_R03_SudipaAPI-data'!$H6</f>
        <v>1</v>
      </c>
      <c r="K7">
        <f>'[30]R03_GABM_run2-data'!$H6</f>
        <v>5</v>
      </c>
      <c r="L7">
        <f t="shared" si="0"/>
        <v>7.2</v>
      </c>
      <c r="N7">
        <f t="shared" si="1"/>
        <v>22.5</v>
      </c>
    </row>
    <row r="8" spans="1:17" x14ac:dyDescent="0.35">
      <c r="A8">
        <v>5</v>
      </c>
      <c r="B8">
        <f>'[21]R03_GABM-data'!$H7</f>
        <v>15</v>
      </c>
      <c r="C8">
        <f>'[22]GABM_R03_RossAPI-data'!$H7</f>
        <v>15</v>
      </c>
      <c r="D8">
        <f>'[23]GABM_R03_RandiAPI-data'!$H7</f>
        <v>7</v>
      </c>
      <c r="E8">
        <f>'[24]GABM_R03_NavidAPI-data'!$H7</f>
        <v>19</v>
      </c>
      <c r="F8">
        <f>'[25]GABM_R03_Terry-data'!$H7</f>
        <v>10</v>
      </c>
      <c r="G8">
        <f>'[26]GABM_R03_SarahAPI-data'!$H7</f>
        <v>8</v>
      </c>
      <c r="H8">
        <f>'[27]GABM_R03_savannah-data'!$H7</f>
        <v>2</v>
      </c>
      <c r="I8">
        <f>'[28]GABM_R03_MitchellAPI-data'!$H7</f>
        <v>13</v>
      </c>
      <c r="J8">
        <f>'[29]GABM_R03_SudipaAPI-data'!$H7</f>
        <v>4</v>
      </c>
      <c r="K8">
        <f>'[30]R03_GABM_run2-data'!$H7</f>
        <v>2</v>
      </c>
      <c r="L8">
        <f t="shared" si="0"/>
        <v>9.5</v>
      </c>
      <c r="N8">
        <f t="shared" si="1"/>
        <v>32</v>
      </c>
    </row>
    <row r="9" spans="1:17" x14ac:dyDescent="0.35">
      <c r="A9">
        <v>6</v>
      </c>
      <c r="B9">
        <f>'[21]R03_GABM-data'!$H8</f>
        <v>20</v>
      </c>
      <c r="C9">
        <f>'[22]GABM_R03_RossAPI-data'!$H8</f>
        <v>18</v>
      </c>
      <c r="D9">
        <f>'[23]GABM_R03_RandiAPI-data'!$H8</f>
        <v>6</v>
      </c>
      <c r="E9">
        <f>'[24]GABM_R03_NavidAPI-data'!$H8</f>
        <v>15</v>
      </c>
      <c r="F9">
        <f>'[25]GABM_R03_Terry-data'!$H8</f>
        <v>10</v>
      </c>
      <c r="G9">
        <f>'[26]GABM_R03_SarahAPI-data'!$H8</f>
        <v>4</v>
      </c>
      <c r="H9">
        <f>'[27]GABM_R03_savannah-data'!$H8</f>
        <v>5</v>
      </c>
      <c r="I9">
        <f>'[28]GABM_R03_MitchellAPI-data'!$H8</f>
        <v>14</v>
      </c>
      <c r="J9">
        <f>'[29]GABM_R03_SudipaAPI-data'!$H8</f>
        <v>3</v>
      </c>
      <c r="K9">
        <f>'[30]R03_GABM_run2-data'!$H8</f>
        <v>4</v>
      </c>
      <c r="L9">
        <f t="shared" si="0"/>
        <v>9.9</v>
      </c>
      <c r="N9">
        <f t="shared" si="1"/>
        <v>41.9</v>
      </c>
    </row>
    <row r="10" spans="1:17" x14ac:dyDescent="0.35">
      <c r="A10">
        <v>7</v>
      </c>
      <c r="B10">
        <f>'[21]R03_GABM-data'!$H9</f>
        <v>16</v>
      </c>
      <c r="C10">
        <f>'[22]GABM_R03_RossAPI-data'!$H9</f>
        <v>26</v>
      </c>
      <c r="D10">
        <f>'[23]GABM_R03_RandiAPI-data'!$H9</f>
        <v>12</v>
      </c>
      <c r="E10">
        <f>'[24]GABM_R03_NavidAPI-data'!$H9</f>
        <v>15</v>
      </c>
      <c r="F10">
        <f>'[25]GABM_R03_Terry-data'!$H9</f>
        <v>9</v>
      </c>
      <c r="G10">
        <f>'[26]GABM_R03_SarahAPI-data'!$H9</f>
        <v>10</v>
      </c>
      <c r="H10">
        <f>'[27]GABM_R03_savannah-data'!$H9</f>
        <v>2</v>
      </c>
      <c r="I10">
        <f>'[28]GABM_R03_MitchellAPI-data'!$H9</f>
        <v>14</v>
      </c>
      <c r="J10">
        <f>'[29]GABM_R03_SudipaAPI-data'!$H9</f>
        <v>3</v>
      </c>
      <c r="K10">
        <f>'[30]R03_GABM_run2-data'!$H9</f>
        <v>2</v>
      </c>
      <c r="L10">
        <f t="shared" si="0"/>
        <v>10.9</v>
      </c>
      <c r="N10">
        <f t="shared" si="1"/>
        <v>52.8</v>
      </c>
    </row>
    <row r="11" spans="1:17" x14ac:dyDescent="0.35">
      <c r="A11">
        <v>8</v>
      </c>
      <c r="B11">
        <f>'[21]R03_GABM-data'!$H10</f>
        <v>13</v>
      </c>
      <c r="C11">
        <f>'[22]GABM_R03_RossAPI-data'!$H10</f>
        <v>7</v>
      </c>
      <c r="D11">
        <f>'[23]GABM_R03_RandiAPI-data'!$H10</f>
        <v>11</v>
      </c>
      <c r="E11">
        <f>'[24]GABM_R03_NavidAPI-data'!$H10</f>
        <v>20</v>
      </c>
      <c r="F11">
        <f>'[25]GABM_R03_Terry-data'!$H10</f>
        <v>15</v>
      </c>
      <c r="G11">
        <f>'[26]GABM_R03_SarahAPI-data'!$H10</f>
        <v>12</v>
      </c>
      <c r="H11">
        <f>'[27]GABM_R03_savannah-data'!$H10</f>
        <v>7</v>
      </c>
      <c r="I11">
        <f>'[28]GABM_R03_MitchellAPI-data'!$H10</f>
        <v>7</v>
      </c>
      <c r="J11">
        <f>'[29]GABM_R03_SudipaAPI-data'!$H10</f>
        <v>3</v>
      </c>
      <c r="K11">
        <f>'[30]R03_GABM_run2-data'!$H10</f>
        <v>4</v>
      </c>
      <c r="L11">
        <f t="shared" si="0"/>
        <v>9.9</v>
      </c>
      <c r="N11">
        <f t="shared" si="1"/>
        <v>62.699999999999996</v>
      </c>
    </row>
    <row r="12" spans="1:17" x14ac:dyDescent="0.35">
      <c r="A12">
        <v>9</v>
      </c>
      <c r="B12">
        <f>'[21]R03_GABM-data'!$H11</f>
        <v>5</v>
      </c>
      <c r="C12">
        <f>'[22]GABM_R03_RossAPI-data'!$H11</f>
        <v>4</v>
      </c>
      <c r="D12">
        <f>'[23]GABM_R03_RandiAPI-data'!$H11</f>
        <v>18</v>
      </c>
      <c r="E12">
        <f>'[24]GABM_R03_NavidAPI-data'!$H11</f>
        <v>14</v>
      </c>
      <c r="F12">
        <f>'[25]GABM_R03_Terry-data'!$H11</f>
        <v>17</v>
      </c>
      <c r="G12">
        <f>'[26]GABM_R03_SarahAPI-data'!$H11</f>
        <v>14</v>
      </c>
      <c r="H12">
        <f>'[27]GABM_R03_savannah-data'!$H11</f>
        <v>6</v>
      </c>
      <c r="I12">
        <f>'[28]GABM_R03_MitchellAPI-data'!$H11</f>
        <v>8</v>
      </c>
      <c r="J12">
        <f>'[29]GABM_R03_SudipaAPI-data'!$H11</f>
        <v>2</v>
      </c>
      <c r="K12">
        <f>'[30]R03_GABM_run2-data'!$H11</f>
        <v>4</v>
      </c>
      <c r="L12">
        <f t="shared" si="0"/>
        <v>9.1999999999999993</v>
      </c>
      <c r="N12">
        <f t="shared" si="1"/>
        <v>71.899999999999991</v>
      </c>
    </row>
    <row r="13" spans="1:17" x14ac:dyDescent="0.35">
      <c r="A13">
        <v>10</v>
      </c>
      <c r="B13">
        <f>'[21]R03_GABM-data'!$H12</f>
        <v>5</v>
      </c>
      <c r="C13">
        <f>'[22]GABM_R03_RossAPI-data'!$H12</f>
        <v>4</v>
      </c>
      <c r="D13">
        <f>'[23]GABM_R03_RandiAPI-data'!$H12</f>
        <v>17</v>
      </c>
      <c r="E13">
        <f>'[24]GABM_R03_NavidAPI-data'!$H12</f>
        <v>6</v>
      </c>
      <c r="F13">
        <f>'[25]GABM_R03_Terry-data'!$H12</f>
        <v>34</v>
      </c>
      <c r="G13">
        <f>'[26]GABM_R03_SarahAPI-data'!$H12</f>
        <v>20</v>
      </c>
      <c r="H13">
        <f>'[27]GABM_R03_savannah-data'!$H12</f>
        <v>7</v>
      </c>
      <c r="I13">
        <f>'[28]GABM_R03_MitchellAPI-data'!$H12</f>
        <v>5</v>
      </c>
      <c r="J13">
        <f>'[29]GABM_R03_SudipaAPI-data'!$H12</f>
        <v>6</v>
      </c>
      <c r="K13">
        <f>'[30]R03_GABM_run2-data'!$H12</f>
        <v>5</v>
      </c>
      <c r="L13">
        <f t="shared" si="0"/>
        <v>10.9</v>
      </c>
      <c r="N13">
        <f t="shared" si="1"/>
        <v>82.8</v>
      </c>
    </row>
    <row r="14" spans="1:17" x14ac:dyDescent="0.35">
      <c r="A14">
        <v>11</v>
      </c>
      <c r="B14">
        <f>'[21]R03_GABM-data'!$H13</f>
        <v>4</v>
      </c>
      <c r="C14">
        <f>'[22]GABM_R03_RossAPI-data'!$H13</f>
        <v>2</v>
      </c>
      <c r="D14">
        <f>'[23]GABM_R03_RandiAPI-data'!$H13</f>
        <v>6</v>
      </c>
      <c r="E14">
        <f>'[24]GABM_R03_NavidAPI-data'!$H13</f>
        <v>3</v>
      </c>
      <c r="F14">
        <f>'[25]GABM_R03_Terry-data'!$H13</f>
        <v>27</v>
      </c>
      <c r="G14">
        <f>'[26]GABM_R03_SarahAPI-data'!$H13</f>
        <v>29</v>
      </c>
      <c r="H14">
        <f>'[27]GABM_R03_savannah-data'!$H13</f>
        <v>4</v>
      </c>
      <c r="I14">
        <f>'[28]GABM_R03_MitchellAPI-data'!$H13</f>
        <v>6</v>
      </c>
      <c r="J14">
        <f>'[29]GABM_R03_SudipaAPI-data'!$H13</f>
        <v>5</v>
      </c>
      <c r="K14">
        <f>'[30]R03_GABM_run2-data'!$H13</f>
        <v>7</v>
      </c>
      <c r="L14">
        <f t="shared" si="0"/>
        <v>9.3000000000000007</v>
      </c>
      <c r="N14">
        <f t="shared" si="1"/>
        <v>92.1</v>
      </c>
    </row>
    <row r="15" spans="1:17" x14ac:dyDescent="0.35">
      <c r="A15">
        <v>12</v>
      </c>
      <c r="B15">
        <f>'[21]R03_GABM-data'!$H14</f>
        <v>6</v>
      </c>
      <c r="C15">
        <f>'[22]GABM_R03_RossAPI-data'!$H14</f>
        <v>2</v>
      </c>
      <c r="D15">
        <f>'[23]GABM_R03_RandiAPI-data'!$H14</f>
        <v>10</v>
      </c>
      <c r="E15">
        <f>'[24]GABM_R03_NavidAPI-data'!$H14</f>
        <v>2</v>
      </c>
      <c r="F15">
        <f>'[25]GABM_R03_Terry-data'!$H14</f>
        <v>7</v>
      </c>
      <c r="G15">
        <f>'[26]GABM_R03_SarahAPI-data'!$H14</f>
        <v>18</v>
      </c>
      <c r="H15">
        <f>'[27]GABM_R03_savannah-data'!$H14</f>
        <v>7</v>
      </c>
      <c r="I15">
        <f>'[28]GABM_R03_MitchellAPI-data'!$H14</f>
        <v>4</v>
      </c>
      <c r="J15">
        <f>'[29]GABM_R03_SudipaAPI-data'!$H14</f>
        <v>15</v>
      </c>
      <c r="K15">
        <f>'[30]R03_GABM_run2-data'!$H14</f>
        <v>5</v>
      </c>
      <c r="L15">
        <f t="shared" si="0"/>
        <v>7.6</v>
      </c>
      <c r="N15">
        <f t="shared" si="1"/>
        <v>99.699999999999989</v>
      </c>
    </row>
    <row r="16" spans="1:17" x14ac:dyDescent="0.35">
      <c r="A16">
        <v>13</v>
      </c>
      <c r="B16">
        <f>'[21]R03_GABM-data'!$H15</f>
        <v>7</v>
      </c>
      <c r="C16">
        <f>'[22]GABM_R03_RossAPI-data'!$H15</f>
        <v>6</v>
      </c>
      <c r="D16">
        <f>'[23]GABM_R03_RandiAPI-data'!$H15</f>
        <v>8</v>
      </c>
      <c r="E16">
        <f>'[24]GABM_R03_NavidAPI-data'!$H15</f>
        <v>4</v>
      </c>
      <c r="F16">
        <f>'[25]GABM_R03_Terry-data'!$H15</f>
        <v>8</v>
      </c>
      <c r="G16">
        <f>'[26]GABM_R03_SarahAPI-data'!$H15</f>
        <v>9</v>
      </c>
      <c r="H16">
        <f>'[27]GABM_R03_savannah-data'!$H15</f>
        <v>3</v>
      </c>
      <c r="I16">
        <f>'[28]GABM_R03_MitchellAPI-data'!$H15</f>
        <v>5</v>
      </c>
      <c r="J16">
        <f>'[29]GABM_R03_SudipaAPI-data'!$H15</f>
        <v>13</v>
      </c>
      <c r="K16">
        <f>'[30]R03_GABM_run2-data'!$H15</f>
        <v>10</v>
      </c>
      <c r="L16">
        <f t="shared" si="0"/>
        <v>7.3</v>
      </c>
      <c r="N16">
        <f t="shared" si="1"/>
        <v>106.99999999999999</v>
      </c>
    </row>
    <row r="17" spans="1:14" x14ac:dyDescent="0.35">
      <c r="A17">
        <v>14</v>
      </c>
      <c r="B17">
        <f>'[21]R03_GABM-data'!$H16</f>
        <v>8</v>
      </c>
      <c r="C17">
        <f>'[22]GABM_R03_RossAPI-data'!$H16</f>
        <v>5</v>
      </c>
      <c r="D17">
        <f>'[23]GABM_R03_RandiAPI-data'!$H16</f>
        <v>3</v>
      </c>
      <c r="E17">
        <f>'[24]GABM_R03_NavidAPI-data'!$H16</f>
        <v>2</v>
      </c>
      <c r="F17">
        <f>'[25]GABM_R03_Terry-data'!$H16</f>
        <v>1</v>
      </c>
      <c r="G17">
        <f>'[26]GABM_R03_SarahAPI-data'!$H16</f>
        <v>9</v>
      </c>
      <c r="H17">
        <f>'[27]GABM_R03_savannah-data'!$H16</f>
        <v>6</v>
      </c>
      <c r="I17">
        <f>'[28]GABM_R03_MitchellAPI-data'!$H16</f>
        <v>2</v>
      </c>
      <c r="J17">
        <f>'[29]GABM_R03_SudipaAPI-data'!$H16</f>
        <v>24</v>
      </c>
      <c r="K17">
        <f>'[30]R03_GABM_run2-data'!$H16</f>
        <v>3</v>
      </c>
      <c r="L17">
        <f t="shared" si="0"/>
        <v>6.3</v>
      </c>
      <c r="N17">
        <f t="shared" si="1"/>
        <v>113.29999999999998</v>
      </c>
    </row>
    <row r="18" spans="1:14" x14ac:dyDescent="0.35">
      <c r="A18">
        <v>15</v>
      </c>
      <c r="B18">
        <f>'[21]R03_GABM-data'!$H17</f>
        <v>9</v>
      </c>
      <c r="C18">
        <f>'[22]GABM_R03_RossAPI-data'!$H17</f>
        <v>5</v>
      </c>
      <c r="D18">
        <f>'[23]GABM_R03_RandiAPI-data'!$H17</f>
        <v>7</v>
      </c>
      <c r="E18">
        <f>'[24]GABM_R03_NavidAPI-data'!$H17</f>
        <v>3</v>
      </c>
      <c r="F18">
        <f>'[25]GABM_R03_Terry-data'!$H17</f>
        <v>4</v>
      </c>
      <c r="G18">
        <f>'[26]GABM_R03_SarahAPI-data'!$H17</f>
        <v>3</v>
      </c>
      <c r="H18">
        <f>'[27]GABM_R03_savannah-data'!$H17</f>
        <v>5</v>
      </c>
      <c r="I18">
        <f>'[28]GABM_R03_MitchellAPI-data'!$H17</f>
        <v>3</v>
      </c>
      <c r="J18">
        <f>'[29]GABM_R03_SudipaAPI-data'!$H17</f>
        <v>12</v>
      </c>
      <c r="K18">
        <f>'[30]R03_GABM_run2-data'!$H17</f>
        <v>8</v>
      </c>
      <c r="L18">
        <f t="shared" si="0"/>
        <v>5.9</v>
      </c>
      <c r="N18">
        <f t="shared" si="1"/>
        <v>119.19999999999999</v>
      </c>
    </row>
    <row r="19" spans="1:14" x14ac:dyDescent="0.35">
      <c r="A19">
        <v>16</v>
      </c>
      <c r="B19">
        <f>'[21]R03_GABM-data'!$H18</f>
        <v>10</v>
      </c>
      <c r="C19">
        <f>'[22]GABM_R03_RossAPI-data'!$H18</f>
        <v>9</v>
      </c>
      <c r="D19">
        <f>'[23]GABM_R03_RandiAPI-data'!$H18</f>
        <v>12</v>
      </c>
      <c r="E19">
        <f>'[24]GABM_R03_NavidAPI-data'!$H18</f>
        <v>6</v>
      </c>
      <c r="F19">
        <f>'[25]GABM_R03_Terry-data'!$H18</f>
        <v>2</v>
      </c>
      <c r="G19">
        <f>'[26]GABM_R03_SarahAPI-data'!$H18</f>
        <v>3</v>
      </c>
      <c r="H19">
        <f>'[27]GABM_R03_savannah-data'!$H18</f>
        <v>3</v>
      </c>
      <c r="I19">
        <f>'[28]GABM_R03_MitchellAPI-data'!$H18</f>
        <v>5</v>
      </c>
      <c r="J19">
        <f>'[29]GABM_R03_SudipaAPI-data'!$H18</f>
        <v>4</v>
      </c>
      <c r="K19">
        <f>'[30]R03_GABM_run2-data'!$H18</f>
        <v>8</v>
      </c>
      <c r="L19">
        <f t="shared" si="0"/>
        <v>6.2</v>
      </c>
      <c r="N19">
        <f t="shared" si="1"/>
        <v>125.39999999999999</v>
      </c>
    </row>
    <row r="20" spans="1:14" x14ac:dyDescent="0.35">
      <c r="A20">
        <v>17</v>
      </c>
      <c r="B20">
        <f>'[21]R03_GABM-data'!$H19</f>
        <v>12</v>
      </c>
      <c r="C20">
        <f>'[22]GABM_R03_RossAPI-data'!$H19</f>
        <v>9</v>
      </c>
      <c r="D20">
        <f>'[23]GABM_R03_RandiAPI-data'!$H19</f>
        <v>6</v>
      </c>
      <c r="E20">
        <f>'[24]GABM_R03_NavidAPI-data'!$H19</f>
        <v>7</v>
      </c>
      <c r="F20">
        <f>'[25]GABM_R03_Terry-data'!$H19</f>
        <v>2</v>
      </c>
      <c r="G20">
        <f>'[26]GABM_R03_SarahAPI-data'!$H19</f>
        <v>2</v>
      </c>
      <c r="H20">
        <f>'[27]GABM_R03_savannah-data'!$H19</f>
        <v>4</v>
      </c>
      <c r="I20">
        <f>'[28]GABM_R03_MitchellAPI-data'!$H19</f>
        <v>2</v>
      </c>
      <c r="J20">
        <f>'[29]GABM_R03_SudipaAPI-data'!$H19</f>
        <v>6</v>
      </c>
      <c r="K20">
        <f>'[30]R03_GABM_run2-data'!$H19</f>
        <v>17</v>
      </c>
      <c r="L20">
        <f t="shared" si="0"/>
        <v>6.7</v>
      </c>
      <c r="N20">
        <f t="shared" si="1"/>
        <v>132.1</v>
      </c>
    </row>
    <row r="21" spans="1:14" x14ac:dyDescent="0.35">
      <c r="A21">
        <v>18</v>
      </c>
      <c r="B21">
        <f>'[21]R03_GABM-data'!$H20</f>
        <v>7</v>
      </c>
      <c r="C21">
        <f>'[22]GABM_R03_RossAPI-data'!$H20</f>
        <v>8</v>
      </c>
      <c r="D21">
        <f>'[23]GABM_R03_RandiAPI-data'!$H20</f>
        <v>8</v>
      </c>
      <c r="E21">
        <f>'[24]GABM_R03_NavidAPI-data'!$H20</f>
        <v>9</v>
      </c>
      <c r="F21">
        <f>'[25]GABM_R03_Terry-data'!$H20</f>
        <v>5</v>
      </c>
      <c r="G21">
        <f>'[26]GABM_R03_SarahAPI-data'!$H20</f>
        <v>4</v>
      </c>
      <c r="H21">
        <f>'[27]GABM_R03_savannah-data'!$H20</f>
        <v>6</v>
      </c>
      <c r="I21">
        <f>'[28]GABM_R03_MitchellAPI-data'!$H20</f>
        <v>3</v>
      </c>
      <c r="J21">
        <f>'[29]GABM_R03_SudipaAPI-data'!$H20</f>
        <v>0</v>
      </c>
      <c r="K21">
        <f>'[30]R03_GABM_run2-data'!$H20</f>
        <v>17</v>
      </c>
      <c r="L21">
        <f t="shared" si="0"/>
        <v>6.7</v>
      </c>
      <c r="N21">
        <f t="shared" si="1"/>
        <v>138.79999999999998</v>
      </c>
    </row>
    <row r="22" spans="1:14" x14ac:dyDescent="0.35">
      <c r="A22">
        <v>19</v>
      </c>
      <c r="B22">
        <f>'[21]R03_GABM-data'!$H21</f>
        <v>15</v>
      </c>
      <c r="C22">
        <f>'[22]GABM_R03_RossAPI-data'!$H21</f>
        <v>5</v>
      </c>
      <c r="D22">
        <f>'[23]GABM_R03_RandiAPI-data'!$H21</f>
        <v>6</v>
      </c>
      <c r="E22">
        <f>'[24]GABM_R03_NavidAPI-data'!$H21</f>
        <v>9</v>
      </c>
      <c r="F22">
        <f>'[25]GABM_R03_Terry-data'!$H21</f>
        <v>9</v>
      </c>
      <c r="G22">
        <f>'[26]GABM_R03_SarahAPI-data'!$H21</f>
        <v>1</v>
      </c>
      <c r="H22">
        <f>'[27]GABM_R03_savannah-data'!$H21</f>
        <v>5</v>
      </c>
      <c r="I22">
        <f>'[28]GABM_R03_MitchellAPI-data'!$H21</f>
        <v>7</v>
      </c>
      <c r="J22">
        <f>'[29]GABM_R03_SudipaAPI-data'!$H21</f>
        <v>2</v>
      </c>
      <c r="K22">
        <f>'[30]R03_GABM_run2-data'!$H21</f>
        <v>13</v>
      </c>
      <c r="L22">
        <f t="shared" si="0"/>
        <v>7.2</v>
      </c>
      <c r="N22">
        <f t="shared" si="1"/>
        <v>145.99999999999997</v>
      </c>
    </row>
    <row r="23" spans="1:14" x14ac:dyDescent="0.35">
      <c r="A23">
        <v>20</v>
      </c>
      <c r="B23">
        <f>'[21]R03_GABM-data'!$H22</f>
        <v>15</v>
      </c>
      <c r="C23">
        <f>'[22]GABM_R03_RossAPI-data'!$H22</f>
        <v>6</v>
      </c>
      <c r="D23">
        <f>'[23]GABM_R03_RandiAPI-data'!$H22</f>
        <v>5</v>
      </c>
      <c r="E23">
        <f>'[24]GABM_R03_NavidAPI-data'!$H22</f>
        <v>9</v>
      </c>
      <c r="F23">
        <f>'[25]GABM_R03_Terry-data'!$H22</f>
        <v>11</v>
      </c>
      <c r="G23">
        <f>'[26]GABM_R03_SarahAPI-data'!$H22</f>
        <v>5</v>
      </c>
      <c r="H23">
        <f>'[27]GABM_R03_savannah-data'!$H22</f>
        <v>8</v>
      </c>
      <c r="I23">
        <f>'[28]GABM_R03_MitchellAPI-data'!$H22</f>
        <v>1</v>
      </c>
      <c r="J23">
        <f>'[29]GABM_R03_SudipaAPI-data'!$H22</f>
        <v>2</v>
      </c>
      <c r="K23">
        <f>'[30]R03_GABM_run2-data'!$H22</f>
        <v>10</v>
      </c>
      <c r="L23">
        <f t="shared" si="0"/>
        <v>7.2</v>
      </c>
      <c r="N23">
        <f t="shared" si="1"/>
        <v>153.19999999999996</v>
      </c>
    </row>
    <row r="24" spans="1:14" x14ac:dyDescent="0.35">
      <c r="A24">
        <v>21</v>
      </c>
      <c r="B24">
        <f>'[21]R03_GABM-data'!$H23</f>
        <v>8</v>
      </c>
      <c r="C24">
        <f>'[22]GABM_R03_RossAPI-data'!$H23</f>
        <v>4</v>
      </c>
      <c r="D24">
        <f>'[23]GABM_R03_RandiAPI-data'!$H23</f>
        <v>4</v>
      </c>
      <c r="E24">
        <f>'[24]GABM_R03_NavidAPI-data'!$H23</f>
        <v>6</v>
      </c>
      <c r="F24">
        <f>'[25]GABM_R03_Terry-data'!$H23</f>
        <v>10</v>
      </c>
      <c r="G24">
        <f>'[26]GABM_R03_SarahAPI-data'!$H23</f>
        <v>5</v>
      </c>
      <c r="H24">
        <f>'[27]GABM_R03_savannah-data'!$H23</f>
        <v>10</v>
      </c>
      <c r="I24">
        <f>'[28]GABM_R03_MitchellAPI-data'!$H23</f>
        <v>4</v>
      </c>
      <c r="J24">
        <f>'[29]GABM_R03_SudipaAPI-data'!$H23</f>
        <v>0</v>
      </c>
      <c r="K24">
        <f>'[30]R03_GABM_run2-data'!$H23</f>
        <v>7</v>
      </c>
      <c r="L24">
        <f t="shared" si="0"/>
        <v>5.8</v>
      </c>
      <c r="N24">
        <f t="shared" si="1"/>
        <v>158.99999999999997</v>
      </c>
    </row>
    <row r="25" spans="1:14" x14ac:dyDescent="0.35">
      <c r="A25">
        <v>22</v>
      </c>
      <c r="B25">
        <f>'[21]R03_GABM-data'!$H24</f>
        <v>6</v>
      </c>
      <c r="C25">
        <f>'[22]GABM_R03_RossAPI-data'!$H24</f>
        <v>3</v>
      </c>
      <c r="D25">
        <f>'[23]GABM_R03_RandiAPI-data'!$H24</f>
        <v>4</v>
      </c>
      <c r="E25">
        <f>'[24]GABM_R03_NavidAPI-data'!$H24</f>
        <v>10</v>
      </c>
      <c r="F25">
        <f>'[25]GABM_R03_Terry-data'!$H24</f>
        <v>5</v>
      </c>
      <c r="G25">
        <f>'[26]GABM_R03_SarahAPI-data'!$H24</f>
        <v>5</v>
      </c>
      <c r="H25">
        <f>'[27]GABM_R03_savannah-data'!$H24</f>
        <v>10</v>
      </c>
      <c r="I25">
        <f>'[28]GABM_R03_MitchellAPI-data'!$H24</f>
        <v>4</v>
      </c>
      <c r="J25">
        <f>'[29]GABM_R03_SudipaAPI-data'!$H24</f>
        <v>9</v>
      </c>
      <c r="K25">
        <f>'[30]R03_GABM_run2-data'!$H24</f>
        <v>7</v>
      </c>
      <c r="L25">
        <f t="shared" si="0"/>
        <v>6.3</v>
      </c>
      <c r="N25">
        <f t="shared" si="1"/>
        <v>165.29999999999998</v>
      </c>
    </row>
    <row r="26" spans="1:14" x14ac:dyDescent="0.35">
      <c r="A26">
        <v>23</v>
      </c>
      <c r="B26">
        <f>'[21]R03_GABM-data'!$H25</f>
        <v>1</v>
      </c>
      <c r="C26">
        <f>'[22]GABM_R03_RossAPI-data'!$H25</f>
        <v>2</v>
      </c>
      <c r="D26">
        <f>'[23]GABM_R03_RandiAPI-data'!$H25</f>
        <v>4</v>
      </c>
      <c r="E26">
        <f>'[24]GABM_R03_NavidAPI-data'!$H25</f>
        <v>7</v>
      </c>
      <c r="F26">
        <f>'[25]GABM_R03_Terry-data'!$H25</f>
        <v>9</v>
      </c>
      <c r="G26">
        <f>'[26]GABM_R03_SarahAPI-data'!$H25</f>
        <v>5</v>
      </c>
      <c r="H26">
        <f>'[27]GABM_R03_savannah-data'!$H25</f>
        <v>7</v>
      </c>
      <c r="I26">
        <f>'[28]GABM_R03_MitchellAPI-data'!$H25</f>
        <v>3</v>
      </c>
      <c r="J26">
        <f>'[29]GABM_R03_SudipaAPI-data'!$H25</f>
        <v>6</v>
      </c>
      <c r="K26">
        <f>'[30]R03_GABM_run2-data'!$H25</f>
        <v>5</v>
      </c>
      <c r="L26">
        <f t="shared" si="0"/>
        <v>4.9000000000000004</v>
      </c>
      <c r="N26">
        <f t="shared" si="1"/>
        <v>170.2</v>
      </c>
    </row>
    <row r="27" spans="1:14" x14ac:dyDescent="0.35">
      <c r="A27">
        <v>24</v>
      </c>
      <c r="B27">
        <f>'[21]R03_GABM-data'!$H26</f>
        <v>0</v>
      </c>
      <c r="C27">
        <f>'[22]GABM_R03_RossAPI-data'!$H26</f>
        <v>4</v>
      </c>
      <c r="D27">
        <f>'[23]GABM_R03_RandiAPI-data'!$H26</f>
        <v>3</v>
      </c>
      <c r="E27">
        <f>'[24]GABM_R03_NavidAPI-data'!$H26</f>
        <v>11</v>
      </c>
      <c r="F27">
        <f>'[25]GABM_R03_Terry-data'!$H26</f>
        <v>4</v>
      </c>
      <c r="G27">
        <f>'[26]GABM_R03_SarahAPI-data'!$H26</f>
        <v>2</v>
      </c>
      <c r="H27">
        <f>'[27]GABM_R03_savannah-data'!$H26</f>
        <v>7</v>
      </c>
      <c r="I27">
        <f>'[28]GABM_R03_MitchellAPI-data'!$H26</f>
        <v>3</v>
      </c>
      <c r="J27">
        <f>'[29]GABM_R03_SudipaAPI-data'!$H26</f>
        <v>9</v>
      </c>
      <c r="K27">
        <f>'[30]R03_GABM_run2-data'!$H26</f>
        <v>11</v>
      </c>
      <c r="L27">
        <f t="shared" si="0"/>
        <v>5.4</v>
      </c>
      <c r="N27">
        <f t="shared" si="1"/>
        <v>175.6</v>
      </c>
    </row>
    <row r="28" spans="1:14" x14ac:dyDescent="0.35">
      <c r="A28">
        <v>25</v>
      </c>
      <c r="B28">
        <f>'[21]R03_GABM-data'!$H27</f>
        <v>2</v>
      </c>
      <c r="C28">
        <f>'[22]GABM_R03_RossAPI-data'!$H27</f>
        <v>6</v>
      </c>
      <c r="D28">
        <f>'[23]GABM_R03_RandiAPI-data'!$H27</f>
        <v>5</v>
      </c>
      <c r="E28">
        <f>'[24]GABM_R03_NavidAPI-data'!$H27</f>
        <v>7</v>
      </c>
      <c r="F28">
        <f>'[25]GABM_R03_Terry-data'!$H27</f>
        <v>13</v>
      </c>
      <c r="G28">
        <f>'[26]GABM_R03_SarahAPI-data'!$H27</f>
        <v>4</v>
      </c>
      <c r="H28">
        <f>'[27]GABM_R03_savannah-data'!$H27</f>
        <v>12</v>
      </c>
      <c r="I28">
        <f>'[28]GABM_R03_MitchellAPI-data'!$H27</f>
        <v>0</v>
      </c>
      <c r="J28">
        <f>'[29]GABM_R03_SudipaAPI-data'!$H27</f>
        <v>21</v>
      </c>
      <c r="K28">
        <f>'[30]R03_GABM_run2-data'!$H27</f>
        <v>7</v>
      </c>
      <c r="L28">
        <f t="shared" si="0"/>
        <v>7.7</v>
      </c>
      <c r="N28">
        <f t="shared" si="1"/>
        <v>183.29999999999998</v>
      </c>
    </row>
    <row r="29" spans="1:14" x14ac:dyDescent="0.35">
      <c r="A29">
        <v>26</v>
      </c>
      <c r="B29">
        <f>'[21]R03_GABM-data'!$H28</f>
        <v>0</v>
      </c>
      <c r="C29">
        <f>'[22]GABM_R03_RossAPI-data'!$H28</f>
        <v>8</v>
      </c>
      <c r="D29">
        <f>'[23]GABM_R03_RandiAPI-data'!$H28</f>
        <v>4</v>
      </c>
      <c r="E29">
        <f>'[24]GABM_R03_NavidAPI-data'!$H28</f>
        <v>12</v>
      </c>
      <c r="F29">
        <f>'[25]GABM_R03_Terry-data'!$H28</f>
        <v>4</v>
      </c>
      <c r="G29">
        <f>'[26]GABM_R03_SarahAPI-data'!$H28</f>
        <v>1</v>
      </c>
      <c r="H29">
        <f>'[27]GABM_R03_savannah-data'!$H28</f>
        <v>18</v>
      </c>
      <c r="I29">
        <f>'[28]GABM_R03_MitchellAPI-data'!$H28</f>
        <v>2</v>
      </c>
      <c r="J29">
        <f>'[29]GABM_R03_SudipaAPI-data'!$H28</f>
        <v>9</v>
      </c>
      <c r="K29">
        <f>'[30]R03_GABM_run2-data'!$H28</f>
        <v>12</v>
      </c>
      <c r="L29">
        <f t="shared" si="0"/>
        <v>7</v>
      </c>
      <c r="N29">
        <f t="shared" si="1"/>
        <v>190.29999999999998</v>
      </c>
    </row>
    <row r="30" spans="1:14" x14ac:dyDescent="0.35">
      <c r="A30">
        <v>27</v>
      </c>
      <c r="B30">
        <f>'[21]R03_GABM-data'!$H29</f>
        <v>1</v>
      </c>
      <c r="C30">
        <f>'[22]GABM_R03_RossAPI-data'!$H29</f>
        <v>11</v>
      </c>
      <c r="D30">
        <f>'[23]GABM_R03_RandiAPI-data'!$H29</f>
        <v>7</v>
      </c>
      <c r="E30">
        <f>'[24]GABM_R03_NavidAPI-data'!$H29</f>
        <v>12</v>
      </c>
      <c r="F30">
        <f>'[25]GABM_R03_Terry-data'!$H29</f>
        <v>8</v>
      </c>
      <c r="G30">
        <f>'[26]GABM_R03_SarahAPI-data'!$H29</f>
        <v>2</v>
      </c>
      <c r="H30">
        <f>'[27]GABM_R03_savannah-data'!$H29</f>
        <v>16</v>
      </c>
      <c r="I30">
        <f>'[28]GABM_R03_MitchellAPI-data'!$H29</f>
        <v>1</v>
      </c>
      <c r="J30">
        <f>'[29]GABM_R03_SudipaAPI-data'!$H29</f>
        <v>15</v>
      </c>
      <c r="K30">
        <f>'[30]R03_GABM_run2-data'!$H29</f>
        <v>5</v>
      </c>
      <c r="L30">
        <f t="shared" si="0"/>
        <v>7.8</v>
      </c>
      <c r="N30">
        <f t="shared" si="1"/>
        <v>198.1</v>
      </c>
    </row>
    <row r="31" spans="1:14" x14ac:dyDescent="0.35">
      <c r="A31">
        <v>28</v>
      </c>
      <c r="B31">
        <f>'[21]R03_GABM-data'!$H30</f>
        <v>5</v>
      </c>
      <c r="C31">
        <f>'[22]GABM_R03_RossAPI-data'!$H30</f>
        <v>13</v>
      </c>
      <c r="D31">
        <f>'[23]GABM_R03_RandiAPI-data'!$H30</f>
        <v>5</v>
      </c>
      <c r="E31">
        <f>'[24]GABM_R03_NavidAPI-data'!$H30</f>
        <v>9</v>
      </c>
      <c r="F31">
        <f>'[25]GABM_R03_Terry-data'!$H30</f>
        <v>3</v>
      </c>
      <c r="G31">
        <f>'[26]GABM_R03_SarahAPI-data'!$H30</f>
        <v>1</v>
      </c>
      <c r="H31">
        <f>'[27]GABM_R03_savannah-data'!$H30</f>
        <v>19</v>
      </c>
      <c r="I31">
        <f>'[28]GABM_R03_MitchellAPI-data'!$H30</f>
        <v>0</v>
      </c>
      <c r="J31">
        <f>'[29]GABM_R03_SudipaAPI-data'!$H30</f>
        <v>15</v>
      </c>
      <c r="K31">
        <f>'[30]R03_GABM_run2-data'!$H30</f>
        <v>8</v>
      </c>
      <c r="L31">
        <f t="shared" si="0"/>
        <v>7.8</v>
      </c>
      <c r="N31">
        <f t="shared" si="1"/>
        <v>205.9</v>
      </c>
    </row>
    <row r="32" spans="1:14" x14ac:dyDescent="0.35">
      <c r="A32">
        <v>29</v>
      </c>
      <c r="B32">
        <f>'[21]R03_GABM-data'!$H31</f>
        <v>6</v>
      </c>
      <c r="C32">
        <f>'[22]GABM_R03_RossAPI-data'!$H31</f>
        <v>12</v>
      </c>
      <c r="D32">
        <f>'[23]GABM_R03_RandiAPI-data'!$H31</f>
        <v>3</v>
      </c>
      <c r="E32">
        <f>'[24]GABM_R03_NavidAPI-data'!$H31</f>
        <v>17</v>
      </c>
      <c r="F32">
        <f>'[25]GABM_R03_Terry-data'!$H31</f>
        <v>0</v>
      </c>
      <c r="G32">
        <f>'[26]GABM_R03_SarahAPI-data'!$H31</f>
        <v>1</v>
      </c>
      <c r="H32">
        <f>'[27]GABM_R03_savannah-data'!$H31</f>
        <v>13</v>
      </c>
      <c r="I32">
        <f>'[28]GABM_R03_MitchellAPI-data'!$H31</f>
        <v>5</v>
      </c>
      <c r="J32">
        <f>'[29]GABM_R03_SudipaAPI-data'!$H31</f>
        <v>5</v>
      </c>
      <c r="K32">
        <f>'[30]R03_GABM_run2-data'!$H31</f>
        <v>8</v>
      </c>
      <c r="L32">
        <f t="shared" si="0"/>
        <v>7</v>
      </c>
      <c r="N32">
        <f t="shared" si="1"/>
        <v>212.9</v>
      </c>
    </row>
    <row r="33" spans="1:14" x14ac:dyDescent="0.35">
      <c r="A33">
        <v>30</v>
      </c>
      <c r="B33">
        <f>'[21]R03_GABM-data'!$H32</f>
        <v>7</v>
      </c>
      <c r="C33">
        <f>'[22]GABM_R03_RossAPI-data'!$H32</f>
        <v>6</v>
      </c>
      <c r="D33">
        <f>'[23]GABM_R03_RandiAPI-data'!$H32</f>
        <v>2</v>
      </c>
      <c r="E33">
        <f>'[24]GABM_R03_NavidAPI-data'!$H32</f>
        <v>10</v>
      </c>
      <c r="F33">
        <f>'[25]GABM_R03_Terry-data'!$H32</f>
        <v>4</v>
      </c>
      <c r="G33">
        <f>'[26]GABM_R03_SarahAPI-data'!$H32</f>
        <v>2</v>
      </c>
      <c r="H33">
        <f>'[27]GABM_R03_savannah-data'!$H32</f>
        <v>10</v>
      </c>
      <c r="I33">
        <f>'[28]GABM_R03_MitchellAPI-data'!$H32</f>
        <v>5</v>
      </c>
      <c r="J33">
        <f>'[29]GABM_R03_SudipaAPI-data'!$H32</f>
        <v>6</v>
      </c>
      <c r="K33">
        <f>'[30]R03_GABM_run2-data'!$H32</f>
        <v>3</v>
      </c>
      <c r="L33">
        <f t="shared" si="0"/>
        <v>5.5</v>
      </c>
      <c r="N33">
        <f t="shared" si="1"/>
        <v>218.4</v>
      </c>
    </row>
    <row r="34" spans="1:14" x14ac:dyDescent="0.35">
      <c r="A34">
        <v>31</v>
      </c>
      <c r="B34">
        <f>'[21]R03_GABM-data'!$H33</f>
        <v>3</v>
      </c>
      <c r="C34">
        <f>'[22]GABM_R03_RossAPI-data'!$H33</f>
        <v>4</v>
      </c>
      <c r="D34">
        <f>'[23]GABM_R03_RandiAPI-data'!$H33</f>
        <v>2</v>
      </c>
      <c r="E34">
        <f>'[24]GABM_R03_NavidAPI-data'!$H33</f>
        <v>8</v>
      </c>
      <c r="F34">
        <f>'[25]GABM_R03_Terry-data'!$H33</f>
        <v>1</v>
      </c>
      <c r="G34">
        <f>'[26]GABM_R03_SarahAPI-data'!$H33</f>
        <v>1</v>
      </c>
      <c r="H34">
        <f>'[27]GABM_R03_savannah-data'!$H33</f>
        <v>6</v>
      </c>
      <c r="I34">
        <f>'[28]GABM_R03_MitchellAPI-data'!$H33</f>
        <v>6</v>
      </c>
      <c r="J34">
        <f>'[29]GABM_R03_SudipaAPI-data'!$H33</f>
        <v>2</v>
      </c>
      <c r="K34">
        <f>'[30]R03_GABM_run2-data'!$H33</f>
        <v>2</v>
      </c>
      <c r="L34">
        <f t="shared" si="0"/>
        <v>3.5</v>
      </c>
      <c r="N34">
        <f t="shared" si="1"/>
        <v>221.9</v>
      </c>
    </row>
    <row r="35" spans="1:14" x14ac:dyDescent="0.35">
      <c r="A35">
        <v>32</v>
      </c>
      <c r="B35">
        <f>'[21]R03_GABM-data'!$H34</f>
        <v>2</v>
      </c>
      <c r="C35">
        <f>'[22]GABM_R03_RossAPI-data'!$H34</f>
        <v>2</v>
      </c>
      <c r="D35">
        <f>'[23]GABM_R03_RandiAPI-data'!$H34</f>
        <v>0</v>
      </c>
      <c r="E35">
        <f>'[24]GABM_R03_NavidAPI-data'!$H34</f>
        <v>7</v>
      </c>
      <c r="F35">
        <f>'[25]GABM_R03_Terry-data'!$H34</f>
        <v>1</v>
      </c>
      <c r="G35">
        <f>'[26]GABM_R03_SarahAPI-data'!$H34</f>
        <v>4</v>
      </c>
      <c r="H35">
        <f>'[27]GABM_R03_savannah-data'!$H34</f>
        <v>7</v>
      </c>
      <c r="I35">
        <f>'[28]GABM_R03_MitchellAPI-data'!$H34</f>
        <v>16</v>
      </c>
      <c r="J35">
        <f>'[29]GABM_R03_SudipaAPI-data'!$H34</f>
        <v>0</v>
      </c>
      <c r="K35">
        <f>'[30]R03_GABM_run2-data'!$H34</f>
        <v>7</v>
      </c>
      <c r="L35">
        <f t="shared" si="0"/>
        <v>4.5999999999999996</v>
      </c>
      <c r="N35">
        <f t="shared" si="1"/>
        <v>226.5</v>
      </c>
    </row>
    <row r="36" spans="1:14" x14ac:dyDescent="0.35">
      <c r="A36">
        <v>33</v>
      </c>
      <c r="B36">
        <f>'[21]R03_GABM-data'!$H35</f>
        <v>4</v>
      </c>
      <c r="C36">
        <f>'[22]GABM_R03_RossAPI-data'!$H35</f>
        <v>4</v>
      </c>
      <c r="D36">
        <f>'[23]GABM_R03_RandiAPI-data'!$H35</f>
        <v>2</v>
      </c>
      <c r="E36">
        <f>'[24]GABM_R03_NavidAPI-data'!$H35</f>
        <v>5</v>
      </c>
      <c r="F36">
        <f>'[25]GABM_R03_Terry-data'!$H35</f>
        <v>10</v>
      </c>
      <c r="G36">
        <f>'[26]GABM_R03_SarahAPI-data'!$H35</f>
        <v>2</v>
      </c>
      <c r="H36">
        <f>'[27]GABM_R03_savannah-data'!$H35</f>
        <v>5</v>
      </c>
      <c r="I36">
        <f>'[28]GABM_R03_MitchellAPI-data'!$H35</f>
        <v>4</v>
      </c>
      <c r="J36">
        <f>'[29]GABM_R03_SudipaAPI-data'!$H35</f>
        <v>0</v>
      </c>
      <c r="K36">
        <f>'[30]R03_GABM_run2-data'!$H35</f>
        <v>3</v>
      </c>
      <c r="L36">
        <f t="shared" si="0"/>
        <v>3.9</v>
      </c>
      <c r="N36">
        <f t="shared" si="1"/>
        <v>230.4</v>
      </c>
    </row>
    <row r="37" spans="1:14" x14ac:dyDescent="0.35">
      <c r="A37">
        <v>34</v>
      </c>
      <c r="B37">
        <f>'[21]R03_GABM-data'!$H36</f>
        <v>2</v>
      </c>
      <c r="C37">
        <f>'[22]GABM_R03_RossAPI-data'!$H36</f>
        <v>2</v>
      </c>
      <c r="D37">
        <f>'[23]GABM_R03_RandiAPI-data'!$H36</f>
        <v>0</v>
      </c>
      <c r="E37">
        <f>'[24]GABM_R03_NavidAPI-data'!$H36</f>
        <v>9</v>
      </c>
      <c r="F37">
        <f>'[25]GABM_R03_Terry-data'!$H36</f>
        <v>4</v>
      </c>
      <c r="G37">
        <f>'[26]GABM_R03_SarahAPI-data'!$H36</f>
        <v>2</v>
      </c>
      <c r="H37">
        <f>'[27]GABM_R03_savannah-data'!$H36</f>
        <v>7</v>
      </c>
      <c r="I37">
        <f>'[28]GABM_R03_MitchellAPI-data'!$H36</f>
        <v>8</v>
      </c>
      <c r="J37">
        <f>'[29]GABM_R03_SudipaAPI-data'!$H36</f>
        <v>0</v>
      </c>
      <c r="K37">
        <f>'[30]R03_GABM_run2-data'!$H36</f>
        <v>7</v>
      </c>
      <c r="L37">
        <f t="shared" si="0"/>
        <v>4.0999999999999996</v>
      </c>
      <c r="N37">
        <f t="shared" si="1"/>
        <v>234.5</v>
      </c>
    </row>
    <row r="38" spans="1:14" x14ac:dyDescent="0.35">
      <c r="A38">
        <v>35</v>
      </c>
      <c r="B38">
        <f>'[21]R03_GABM-data'!$H37</f>
        <v>2</v>
      </c>
      <c r="C38">
        <f>'[22]GABM_R03_RossAPI-data'!$H37</f>
        <v>6</v>
      </c>
      <c r="D38">
        <f>'[23]GABM_R03_RandiAPI-data'!$H37</f>
        <v>2</v>
      </c>
      <c r="E38">
        <f>'[24]GABM_R03_NavidAPI-data'!$H37</f>
        <v>5</v>
      </c>
      <c r="F38">
        <f>'[25]GABM_R03_Terry-data'!$H37</f>
        <v>8</v>
      </c>
      <c r="G38">
        <f>'[26]GABM_R03_SarahAPI-data'!$H37</f>
        <v>1</v>
      </c>
      <c r="H38">
        <f>'[27]GABM_R03_savannah-data'!$H37</f>
        <v>7</v>
      </c>
      <c r="I38">
        <f>'[28]GABM_R03_MitchellAPI-data'!$H37</f>
        <v>11</v>
      </c>
      <c r="J38">
        <f>'[29]GABM_R03_SudipaAPI-data'!$H37</f>
        <v>0</v>
      </c>
      <c r="K38">
        <f>'[30]R03_GABM_run2-data'!$H37</f>
        <v>8</v>
      </c>
      <c r="L38">
        <f t="shared" si="0"/>
        <v>5</v>
      </c>
      <c r="N38">
        <f t="shared" si="1"/>
        <v>239.5</v>
      </c>
    </row>
    <row r="39" spans="1:14" x14ac:dyDescent="0.35">
      <c r="A39">
        <v>36</v>
      </c>
      <c r="B39">
        <f>'[21]R03_GABM-data'!$H38</f>
        <v>4</v>
      </c>
      <c r="C39">
        <f>'[22]GABM_R03_RossAPI-data'!$H38</f>
        <v>4</v>
      </c>
      <c r="D39">
        <f>'[23]GABM_R03_RandiAPI-data'!$H38</f>
        <v>3</v>
      </c>
      <c r="E39">
        <f>'[24]GABM_R03_NavidAPI-data'!$H38</f>
        <v>4</v>
      </c>
      <c r="F39">
        <f>'[25]GABM_R03_Terry-data'!$H38</f>
        <v>7</v>
      </c>
      <c r="G39">
        <f>'[26]GABM_R03_SarahAPI-data'!$H38</f>
        <v>2</v>
      </c>
      <c r="H39">
        <f>'[27]GABM_R03_savannah-data'!$H38</f>
        <v>9</v>
      </c>
      <c r="I39">
        <f>'[28]GABM_R03_MitchellAPI-data'!$H38</f>
        <v>4</v>
      </c>
      <c r="J39">
        <f>'[29]GABM_R03_SudipaAPI-data'!$H38</f>
        <v>2</v>
      </c>
      <c r="K39">
        <f>'[30]R03_GABM_run2-data'!$H38</f>
        <v>5</v>
      </c>
      <c r="L39">
        <f t="shared" si="0"/>
        <v>4.4000000000000004</v>
      </c>
      <c r="N39">
        <f t="shared" si="1"/>
        <v>243.9</v>
      </c>
    </row>
    <row r="40" spans="1:14" x14ac:dyDescent="0.35">
      <c r="A40">
        <v>37</v>
      </c>
      <c r="B40">
        <f>'[21]R03_GABM-data'!$H39</f>
        <v>1</v>
      </c>
      <c r="C40">
        <f>'[22]GABM_R03_RossAPI-data'!$H39</f>
        <v>2</v>
      </c>
      <c r="D40">
        <f>'[23]GABM_R03_RandiAPI-data'!$H39</f>
        <v>1</v>
      </c>
      <c r="E40">
        <f>'[24]GABM_R03_NavidAPI-data'!$H39</f>
        <v>0</v>
      </c>
      <c r="F40">
        <f>'[25]GABM_R03_Terry-data'!$H39</f>
        <v>9</v>
      </c>
      <c r="G40">
        <f>'[26]GABM_R03_SarahAPI-data'!$H39</f>
        <v>2</v>
      </c>
      <c r="H40">
        <f>'[27]GABM_R03_savannah-data'!$H39</f>
        <v>3</v>
      </c>
      <c r="I40">
        <f>'[28]GABM_R03_MitchellAPI-data'!$H39</f>
        <v>5</v>
      </c>
      <c r="J40">
        <f>'[29]GABM_R03_SudipaAPI-data'!$H39</f>
        <v>1</v>
      </c>
      <c r="K40">
        <f>'[30]R03_GABM_run2-data'!$H39</f>
        <v>6</v>
      </c>
      <c r="L40">
        <f t="shared" si="0"/>
        <v>3</v>
      </c>
      <c r="N40">
        <f t="shared" si="1"/>
        <v>246.9</v>
      </c>
    </row>
    <row r="41" spans="1:14" x14ac:dyDescent="0.35">
      <c r="A41">
        <v>38</v>
      </c>
      <c r="B41">
        <f>'[21]R03_GABM-data'!$H40</f>
        <v>3</v>
      </c>
      <c r="C41">
        <f>'[22]GABM_R03_RossAPI-data'!$H40</f>
        <v>6</v>
      </c>
      <c r="D41">
        <f>'[23]GABM_R03_RandiAPI-data'!$H40</f>
        <v>4</v>
      </c>
      <c r="E41">
        <f>'[24]GABM_R03_NavidAPI-data'!$H40</f>
        <v>1</v>
      </c>
      <c r="F41">
        <f>'[25]GABM_R03_Terry-data'!$H40</f>
        <v>13</v>
      </c>
      <c r="G41">
        <f>'[26]GABM_R03_SarahAPI-data'!$H40</f>
        <v>3</v>
      </c>
      <c r="H41">
        <f>'[27]GABM_R03_savannah-data'!$H40</f>
        <v>8</v>
      </c>
      <c r="I41">
        <f>'[28]GABM_R03_MitchellAPI-data'!$H40</f>
        <v>7</v>
      </c>
      <c r="J41">
        <f>'[29]GABM_R03_SudipaAPI-data'!$H40</f>
        <v>0</v>
      </c>
      <c r="K41">
        <f>'[30]R03_GABM_run2-data'!$H40</f>
        <v>6</v>
      </c>
      <c r="L41">
        <f t="shared" si="0"/>
        <v>5.0999999999999996</v>
      </c>
      <c r="N41">
        <f t="shared" si="1"/>
        <v>252</v>
      </c>
    </row>
    <row r="42" spans="1:14" x14ac:dyDescent="0.35">
      <c r="A42">
        <v>39</v>
      </c>
      <c r="B42">
        <f>'[21]R03_GABM-data'!$H41</f>
        <v>3</v>
      </c>
      <c r="C42">
        <f>'[22]GABM_R03_RossAPI-data'!$H41</f>
        <v>8</v>
      </c>
      <c r="D42">
        <f>'[23]GABM_R03_RandiAPI-data'!$H41</f>
        <v>2</v>
      </c>
      <c r="E42">
        <f>'[24]GABM_R03_NavidAPI-data'!$H41</f>
        <v>0</v>
      </c>
      <c r="F42">
        <f>'[25]GABM_R03_Terry-data'!$H41</f>
        <v>4</v>
      </c>
      <c r="G42">
        <f>'[26]GABM_R03_SarahAPI-data'!$H41</f>
        <v>4</v>
      </c>
      <c r="H42">
        <f>'[27]GABM_R03_savannah-data'!$H41</f>
        <v>3</v>
      </c>
      <c r="I42">
        <f>'[28]GABM_R03_MitchellAPI-data'!$H41</f>
        <v>4</v>
      </c>
      <c r="J42">
        <f>'[29]GABM_R03_SudipaAPI-data'!$H41</f>
        <v>0</v>
      </c>
      <c r="K42">
        <f>'[30]R03_GABM_run2-data'!$H41</f>
        <v>6</v>
      </c>
      <c r="L42">
        <f t="shared" si="0"/>
        <v>3.4</v>
      </c>
      <c r="N42">
        <f t="shared" si="1"/>
        <v>255.4</v>
      </c>
    </row>
    <row r="43" spans="1:14" x14ac:dyDescent="0.35">
      <c r="A43">
        <v>40</v>
      </c>
      <c r="B43">
        <f>'[21]R03_GABM-data'!$H42</f>
        <v>4</v>
      </c>
      <c r="C43">
        <f>'[22]GABM_R03_RossAPI-data'!$H42</f>
        <v>8</v>
      </c>
      <c r="D43">
        <f>'[23]GABM_R03_RandiAPI-data'!$H42</f>
        <v>4</v>
      </c>
      <c r="E43">
        <f>'[24]GABM_R03_NavidAPI-data'!$H42</f>
        <v>2</v>
      </c>
      <c r="F43">
        <f>'[25]GABM_R03_Terry-data'!$H42</f>
        <v>12</v>
      </c>
      <c r="G43">
        <f>'[26]GABM_R03_SarahAPI-data'!$H42</f>
        <v>2</v>
      </c>
      <c r="H43">
        <f>'[27]GABM_R03_savannah-data'!$H42</f>
        <v>5</v>
      </c>
      <c r="I43">
        <f>'[28]GABM_R03_MitchellAPI-data'!$H42</f>
        <v>10</v>
      </c>
      <c r="J43">
        <f>'[29]GABM_R03_SudipaAPI-data'!$H42</f>
        <v>0</v>
      </c>
      <c r="K43">
        <f>'[30]R03_GABM_run2-data'!$H42</f>
        <v>1</v>
      </c>
      <c r="L43">
        <f t="shared" si="0"/>
        <v>4.8</v>
      </c>
      <c r="N43">
        <f t="shared" si="1"/>
        <v>260.2</v>
      </c>
    </row>
    <row r="44" spans="1:14" x14ac:dyDescent="0.35">
      <c r="A44">
        <v>41</v>
      </c>
      <c r="B44">
        <f>'[21]R03_GABM-data'!$H43</f>
        <v>2</v>
      </c>
      <c r="C44">
        <f>'[22]GABM_R03_RossAPI-data'!$H43</f>
        <v>9</v>
      </c>
      <c r="D44">
        <f>'[23]GABM_R03_RandiAPI-data'!$H43</f>
        <v>2</v>
      </c>
      <c r="E44">
        <f>'[24]GABM_R03_NavidAPI-data'!$H43</f>
        <v>4</v>
      </c>
      <c r="F44">
        <f>'[25]GABM_R03_Terry-data'!$H43</f>
        <v>7</v>
      </c>
      <c r="G44">
        <f>'[26]GABM_R03_SarahAPI-data'!$H43</f>
        <v>3</v>
      </c>
      <c r="H44">
        <f>'[27]GABM_R03_savannah-data'!$H43</f>
        <v>5</v>
      </c>
      <c r="I44">
        <f>'[28]GABM_R03_MitchellAPI-data'!$H43</f>
        <v>3</v>
      </c>
      <c r="J44">
        <f>'[29]GABM_R03_SudipaAPI-data'!$H43</f>
        <v>0</v>
      </c>
      <c r="K44">
        <f>'[30]R03_GABM_run2-data'!$H43</f>
        <v>4</v>
      </c>
      <c r="L44">
        <f t="shared" si="0"/>
        <v>3.9</v>
      </c>
      <c r="N44">
        <f t="shared" si="1"/>
        <v>264.09999999999997</v>
      </c>
    </row>
    <row r="45" spans="1:14" x14ac:dyDescent="0.35">
      <c r="A45">
        <v>42</v>
      </c>
      <c r="B45">
        <f>'[21]R03_GABM-data'!$H44</f>
        <v>1</v>
      </c>
      <c r="C45">
        <f>'[22]GABM_R03_RossAPI-data'!$H44</f>
        <v>11</v>
      </c>
      <c r="D45">
        <f>'[23]GABM_R03_RandiAPI-data'!$H44</f>
        <v>2</v>
      </c>
      <c r="E45">
        <f>'[24]GABM_R03_NavidAPI-data'!$H44</f>
        <v>3</v>
      </c>
      <c r="F45">
        <f>'[25]GABM_R03_Terry-data'!$H44</f>
        <v>4</v>
      </c>
      <c r="G45">
        <f>'[26]GABM_R03_SarahAPI-data'!$H44</f>
        <v>2</v>
      </c>
      <c r="H45">
        <f>'[27]GABM_R03_savannah-data'!$H44</f>
        <v>3</v>
      </c>
      <c r="I45">
        <f>'[28]GABM_R03_MitchellAPI-data'!$H44</f>
        <v>6</v>
      </c>
      <c r="J45">
        <f>'[29]GABM_R03_SudipaAPI-data'!$H44</f>
        <v>4</v>
      </c>
      <c r="K45">
        <f>'[30]R03_GABM_run2-data'!$H44</f>
        <v>1</v>
      </c>
      <c r="L45">
        <f t="shared" si="0"/>
        <v>3.7</v>
      </c>
      <c r="N45">
        <f t="shared" si="1"/>
        <v>267.79999999999995</v>
      </c>
    </row>
    <row r="46" spans="1:14" x14ac:dyDescent="0.35">
      <c r="A46">
        <v>43</v>
      </c>
      <c r="B46">
        <f>'[21]R03_GABM-data'!$H45</f>
        <v>0</v>
      </c>
      <c r="C46">
        <f>'[22]GABM_R03_RossAPI-data'!$H45</f>
        <v>8</v>
      </c>
      <c r="D46">
        <f>'[23]GABM_R03_RandiAPI-data'!$H45</f>
        <v>0</v>
      </c>
      <c r="E46">
        <f>'[24]GABM_R03_NavidAPI-data'!$H45</f>
        <v>5</v>
      </c>
      <c r="F46">
        <f>'[25]GABM_R03_Terry-data'!$H45</f>
        <v>4</v>
      </c>
      <c r="G46">
        <f>'[26]GABM_R03_SarahAPI-data'!$H45</f>
        <v>4</v>
      </c>
      <c r="H46">
        <f>'[27]GABM_R03_savannah-data'!$H45</f>
        <v>3</v>
      </c>
      <c r="I46">
        <f>'[28]GABM_R03_MitchellAPI-data'!$H45</f>
        <v>8</v>
      </c>
      <c r="J46">
        <f>'[29]GABM_R03_SudipaAPI-data'!$H45</f>
        <v>7</v>
      </c>
      <c r="K46">
        <f>'[30]R03_GABM_run2-data'!$H45</f>
        <v>2</v>
      </c>
      <c r="L46">
        <f t="shared" si="0"/>
        <v>4.0999999999999996</v>
      </c>
      <c r="N46">
        <f t="shared" si="1"/>
        <v>271.89999999999998</v>
      </c>
    </row>
    <row r="47" spans="1:14" x14ac:dyDescent="0.35">
      <c r="A47">
        <v>44</v>
      </c>
      <c r="B47">
        <f>'[21]R03_GABM-data'!$H46</f>
        <v>0</v>
      </c>
      <c r="C47">
        <f>'[22]GABM_R03_RossAPI-data'!$H46</f>
        <v>8</v>
      </c>
      <c r="D47">
        <f>'[23]GABM_R03_RandiAPI-data'!$H46</f>
        <v>1</v>
      </c>
      <c r="E47">
        <f>'[24]GABM_R03_NavidAPI-data'!$H46</f>
        <v>2</v>
      </c>
      <c r="F47">
        <f>'[25]GABM_R03_Terry-data'!$H46</f>
        <v>2</v>
      </c>
      <c r="G47">
        <f>'[26]GABM_R03_SarahAPI-data'!$H46</f>
        <v>2</v>
      </c>
      <c r="H47">
        <f>'[27]GABM_R03_savannah-data'!$H46</f>
        <v>2</v>
      </c>
      <c r="I47">
        <f>'[28]GABM_R03_MitchellAPI-data'!$H46</f>
        <v>8</v>
      </c>
      <c r="J47">
        <f>'[29]GABM_R03_SudipaAPI-data'!$H46</f>
        <v>8</v>
      </c>
      <c r="K47">
        <f>'[30]R03_GABM_run2-data'!$H46</f>
        <v>2</v>
      </c>
      <c r="L47">
        <f t="shared" si="0"/>
        <v>3.5</v>
      </c>
      <c r="N47">
        <f t="shared" si="1"/>
        <v>275.39999999999998</v>
      </c>
    </row>
    <row r="48" spans="1:14" x14ac:dyDescent="0.35">
      <c r="A48">
        <v>45</v>
      </c>
      <c r="B48">
        <f>'[21]R03_GABM-data'!$H47</f>
        <v>0</v>
      </c>
      <c r="C48">
        <f>'[22]GABM_R03_RossAPI-data'!$H47</f>
        <v>6</v>
      </c>
      <c r="D48">
        <f>'[23]GABM_R03_RandiAPI-data'!$H47</f>
        <v>0</v>
      </c>
      <c r="E48">
        <f>'[24]GABM_R03_NavidAPI-data'!$H47</f>
        <v>6</v>
      </c>
      <c r="F48">
        <f>'[25]GABM_R03_Terry-data'!$H47</f>
        <v>1</v>
      </c>
      <c r="G48">
        <f>'[26]GABM_R03_SarahAPI-data'!$H47</f>
        <v>2</v>
      </c>
      <c r="H48">
        <f>'[27]GABM_R03_savannah-data'!$H47</f>
        <v>1</v>
      </c>
      <c r="I48">
        <f>'[28]GABM_R03_MitchellAPI-data'!$H47</f>
        <v>8</v>
      </c>
      <c r="J48">
        <f>'[29]GABM_R03_SudipaAPI-data'!$H47</f>
        <v>17</v>
      </c>
      <c r="K48">
        <f>'[30]R03_GABM_run2-data'!$H47</f>
        <v>1</v>
      </c>
      <c r="L48">
        <f t="shared" si="0"/>
        <v>4.2</v>
      </c>
      <c r="N48">
        <f t="shared" si="1"/>
        <v>279.59999999999997</v>
      </c>
    </row>
    <row r="49" spans="1:14" x14ac:dyDescent="0.35">
      <c r="A49">
        <v>46</v>
      </c>
      <c r="B49">
        <f>'[21]R03_GABM-data'!$H48</f>
        <v>1</v>
      </c>
      <c r="C49">
        <f>'[22]GABM_R03_RossAPI-data'!$H48</f>
        <v>9</v>
      </c>
      <c r="D49">
        <f>'[23]GABM_R03_RandiAPI-data'!$H48</f>
        <v>0</v>
      </c>
      <c r="E49">
        <f>'[24]GABM_R03_NavidAPI-data'!$H48</f>
        <v>2</v>
      </c>
      <c r="F49">
        <f>'[25]GABM_R03_Terry-data'!$H48</f>
        <v>3</v>
      </c>
      <c r="G49">
        <f>'[26]GABM_R03_SarahAPI-data'!$H48</f>
        <v>1</v>
      </c>
      <c r="H49">
        <f>'[27]GABM_R03_savannah-data'!$H48</f>
        <v>2</v>
      </c>
      <c r="I49">
        <f>'[28]GABM_R03_MitchellAPI-data'!$H48</f>
        <v>9</v>
      </c>
      <c r="J49">
        <f>'[29]GABM_R03_SudipaAPI-data'!$H48</f>
        <v>13</v>
      </c>
      <c r="K49">
        <f>'[30]R03_GABM_run2-data'!$H48</f>
        <v>1</v>
      </c>
      <c r="L49">
        <f t="shared" si="0"/>
        <v>4.0999999999999996</v>
      </c>
      <c r="N49">
        <f t="shared" si="1"/>
        <v>283.7</v>
      </c>
    </row>
    <row r="50" spans="1:14" x14ac:dyDescent="0.35">
      <c r="A50">
        <v>47</v>
      </c>
      <c r="B50">
        <f>'[21]R03_GABM-data'!$H49</f>
        <v>2</v>
      </c>
      <c r="C50">
        <f>'[22]GABM_R03_RossAPI-data'!$H49</f>
        <v>5</v>
      </c>
      <c r="D50">
        <f>'[23]GABM_R03_RandiAPI-data'!$H49</f>
        <v>1</v>
      </c>
      <c r="E50">
        <f>'[24]GABM_R03_NavidAPI-data'!$H49</f>
        <v>1</v>
      </c>
      <c r="F50">
        <f>'[25]GABM_R03_Terry-data'!$H49</f>
        <v>0</v>
      </c>
      <c r="G50">
        <f>'[26]GABM_R03_SarahAPI-data'!$H49</f>
        <v>1</v>
      </c>
      <c r="H50">
        <f>'[27]GABM_R03_savannah-data'!$H49</f>
        <v>3</v>
      </c>
      <c r="I50">
        <f>'[28]GABM_R03_MitchellAPI-data'!$H49</f>
        <v>10</v>
      </c>
      <c r="J50">
        <f>'[29]GABM_R03_SudipaAPI-data'!$H49</f>
        <v>17</v>
      </c>
      <c r="K50">
        <f>'[30]R03_GABM_run2-data'!$H49</f>
        <v>1</v>
      </c>
      <c r="L50">
        <f t="shared" si="0"/>
        <v>4.0999999999999996</v>
      </c>
      <c r="N50">
        <f t="shared" si="1"/>
        <v>287.8</v>
      </c>
    </row>
    <row r="51" spans="1:14" x14ac:dyDescent="0.35">
      <c r="A51">
        <v>48</v>
      </c>
      <c r="B51">
        <f>'[21]R03_GABM-data'!$H50</f>
        <v>6</v>
      </c>
      <c r="C51">
        <f>'[22]GABM_R03_RossAPI-data'!$H50</f>
        <v>8</v>
      </c>
      <c r="D51">
        <f>'[23]GABM_R03_RandiAPI-data'!$H50</f>
        <v>0</v>
      </c>
      <c r="E51">
        <f>'[24]GABM_R03_NavidAPI-data'!$H50</f>
        <v>0</v>
      </c>
      <c r="F51">
        <f>'[25]GABM_R03_Terry-data'!$H50</f>
        <v>0</v>
      </c>
      <c r="G51">
        <f>'[26]GABM_R03_SarahAPI-data'!$H50</f>
        <v>2</v>
      </c>
      <c r="H51">
        <f>'[27]GABM_R03_savannah-data'!$H50</f>
        <v>1</v>
      </c>
      <c r="I51">
        <f>'[28]GABM_R03_MitchellAPI-data'!$H50</f>
        <v>11</v>
      </c>
      <c r="J51">
        <f>'[29]GABM_R03_SudipaAPI-data'!$H50</f>
        <v>12</v>
      </c>
      <c r="K51">
        <f>'[30]R03_GABM_run2-data'!$H50</f>
        <v>0</v>
      </c>
      <c r="L51">
        <f t="shared" si="0"/>
        <v>4</v>
      </c>
      <c r="N51">
        <f t="shared" si="1"/>
        <v>291.8</v>
      </c>
    </row>
    <row r="52" spans="1:14" x14ac:dyDescent="0.35">
      <c r="A52">
        <v>49</v>
      </c>
      <c r="B52">
        <f>'[21]R03_GABM-data'!$H51</f>
        <v>6</v>
      </c>
      <c r="C52">
        <f>'[22]GABM_R03_RossAPI-data'!$H51</f>
        <v>7</v>
      </c>
      <c r="D52">
        <f>'[23]GABM_R03_RandiAPI-data'!$H51</f>
        <v>0</v>
      </c>
      <c r="E52">
        <f>'[24]GABM_R03_NavidAPI-data'!$H51</f>
        <v>1</v>
      </c>
      <c r="F52">
        <f>'[25]GABM_R03_Terry-data'!$H51</f>
        <v>0</v>
      </c>
      <c r="G52">
        <f>'[26]GABM_R03_SarahAPI-data'!$H51</f>
        <v>5</v>
      </c>
      <c r="H52">
        <f>'[27]GABM_R03_savannah-data'!$H51</f>
        <v>3</v>
      </c>
      <c r="I52">
        <f>'[28]GABM_R03_MitchellAPI-data'!$H51</f>
        <v>10</v>
      </c>
      <c r="J52">
        <f>'[29]GABM_R03_SudipaAPI-data'!$H51</f>
        <v>3</v>
      </c>
      <c r="K52">
        <f>'[30]R03_GABM_run2-data'!$H51</f>
        <v>0</v>
      </c>
      <c r="L52">
        <f t="shared" si="0"/>
        <v>3.5</v>
      </c>
      <c r="N52">
        <f t="shared" si="1"/>
        <v>295.3</v>
      </c>
    </row>
    <row r="53" spans="1:14" x14ac:dyDescent="0.35">
      <c r="A53">
        <v>50</v>
      </c>
      <c r="B53">
        <f>'[21]R03_GABM-data'!$H52</f>
        <v>5</v>
      </c>
      <c r="C53">
        <f>'[22]GABM_R03_RossAPI-data'!$H52</f>
        <v>1</v>
      </c>
      <c r="D53">
        <f>'[23]GABM_R03_RandiAPI-data'!$H52</f>
        <v>0</v>
      </c>
      <c r="E53">
        <f>'[24]GABM_R03_NavidAPI-data'!$H52</f>
        <v>1</v>
      </c>
      <c r="F53">
        <f>'[25]GABM_R03_Terry-data'!$H52</f>
        <v>0</v>
      </c>
      <c r="G53">
        <f>'[26]GABM_R03_SarahAPI-data'!$H52</f>
        <v>2</v>
      </c>
      <c r="H53">
        <f>'[27]GABM_R03_savannah-data'!$H52</f>
        <v>0</v>
      </c>
      <c r="I53">
        <f>'[28]GABM_R03_MitchellAPI-data'!$H52</f>
        <v>8</v>
      </c>
      <c r="J53">
        <f>'[29]GABM_R03_SudipaAPI-data'!$H52</f>
        <v>6</v>
      </c>
      <c r="K53">
        <f>'[30]R03_GABM_run2-data'!$H52</f>
        <v>0</v>
      </c>
      <c r="L53">
        <f t="shared" si="0"/>
        <v>2.2999999999999998</v>
      </c>
      <c r="N53">
        <f t="shared" si="1"/>
        <v>297.60000000000002</v>
      </c>
    </row>
    <row r="54" spans="1:14" x14ac:dyDescent="0.35">
      <c r="A54">
        <v>51</v>
      </c>
      <c r="B54">
        <f>'[21]R03_GABM-data'!$H53</f>
        <v>6</v>
      </c>
      <c r="C54">
        <f>'[22]GABM_R03_RossAPI-data'!$H53</f>
        <v>2</v>
      </c>
      <c r="D54">
        <f>'[23]GABM_R03_RandiAPI-data'!$H53</f>
        <v>0</v>
      </c>
      <c r="E54">
        <f>'[24]GABM_R03_NavidAPI-data'!$H53</f>
        <v>0</v>
      </c>
      <c r="F54">
        <f>'[25]GABM_R03_Terry-data'!$H53</f>
        <v>0</v>
      </c>
      <c r="G54">
        <f>'[26]GABM_R03_SarahAPI-data'!$H53</f>
        <v>5</v>
      </c>
      <c r="H54">
        <f>'[27]GABM_R03_savannah-data'!$H53</f>
        <v>0</v>
      </c>
      <c r="I54">
        <f>'[28]GABM_R03_MitchellAPI-data'!$H53</f>
        <v>14</v>
      </c>
      <c r="J54">
        <f>'[29]GABM_R03_SudipaAPI-data'!$H53</f>
        <v>3</v>
      </c>
      <c r="K54">
        <f>'[30]R03_GABM_run2-data'!$H53</f>
        <v>0</v>
      </c>
      <c r="L54">
        <f t="shared" si="0"/>
        <v>3</v>
      </c>
      <c r="N54">
        <f t="shared" si="1"/>
        <v>300.60000000000002</v>
      </c>
    </row>
    <row r="55" spans="1:14" x14ac:dyDescent="0.35">
      <c r="A55">
        <v>52</v>
      </c>
      <c r="B55">
        <f>'[21]R03_GABM-data'!$H54</f>
        <v>5</v>
      </c>
      <c r="C55">
        <f>'[22]GABM_R03_RossAPI-data'!$H54</f>
        <v>1</v>
      </c>
      <c r="D55">
        <f>'[23]GABM_R03_RandiAPI-data'!$H54</f>
        <v>0</v>
      </c>
      <c r="E55">
        <f>'[24]GABM_R03_NavidAPI-data'!$H54</f>
        <v>2</v>
      </c>
      <c r="F55">
        <f>'[25]GABM_R03_Terry-data'!$H54</f>
        <v>4</v>
      </c>
      <c r="G55">
        <f>'[26]GABM_R03_SarahAPI-data'!$H54</f>
        <v>5</v>
      </c>
      <c r="H55">
        <f>'[27]GABM_R03_savannah-data'!$H54</f>
        <v>1</v>
      </c>
      <c r="I55">
        <f>'[28]GABM_R03_MitchellAPI-data'!$H54</f>
        <v>10</v>
      </c>
      <c r="J55">
        <f>'[29]GABM_R03_SudipaAPI-data'!$H54</f>
        <v>2</v>
      </c>
      <c r="K55">
        <f>'[30]R03_GABM_run2-data'!$H54</f>
        <v>2</v>
      </c>
      <c r="L55">
        <f t="shared" si="0"/>
        <v>3.2</v>
      </c>
      <c r="N55">
        <f t="shared" si="1"/>
        <v>303.8</v>
      </c>
    </row>
    <row r="56" spans="1:14" x14ac:dyDescent="0.35">
      <c r="A56">
        <v>53</v>
      </c>
      <c r="B56">
        <f>'[21]R03_GABM-data'!$H55</f>
        <v>7</v>
      </c>
      <c r="C56">
        <f>'[22]GABM_R03_RossAPI-data'!$H55</f>
        <v>2</v>
      </c>
      <c r="D56">
        <f>'[23]GABM_R03_RandiAPI-data'!$H55</f>
        <v>0</v>
      </c>
      <c r="E56">
        <f>'[24]GABM_R03_NavidAPI-data'!$H55</f>
        <v>2</v>
      </c>
      <c r="F56">
        <f>'[25]GABM_R03_Terry-data'!$H55</f>
        <v>2</v>
      </c>
      <c r="G56">
        <f>'[26]GABM_R03_SarahAPI-data'!$H55</f>
        <v>4</v>
      </c>
      <c r="H56">
        <f>'[27]GABM_R03_savannah-data'!$H55</f>
        <v>0</v>
      </c>
      <c r="I56">
        <f>'[28]GABM_R03_MitchellAPI-data'!$H55</f>
        <v>15</v>
      </c>
      <c r="J56">
        <f>'[29]GABM_R03_SudipaAPI-data'!$H55</f>
        <v>3</v>
      </c>
      <c r="K56">
        <f>'[30]R03_GABM_run2-data'!$H55</f>
        <v>0</v>
      </c>
      <c r="L56">
        <f t="shared" si="0"/>
        <v>3.5</v>
      </c>
      <c r="N56">
        <f t="shared" si="1"/>
        <v>307.3</v>
      </c>
    </row>
    <row r="57" spans="1:14" x14ac:dyDescent="0.35">
      <c r="A57">
        <v>54</v>
      </c>
      <c r="B57">
        <f>'[21]R03_GABM-data'!$H56</f>
        <v>1</v>
      </c>
      <c r="C57">
        <f>'[22]GABM_R03_RossAPI-data'!$H56</f>
        <v>7</v>
      </c>
      <c r="D57">
        <f>'[23]GABM_R03_RandiAPI-data'!$H56</f>
        <v>0</v>
      </c>
      <c r="E57">
        <f>'[24]GABM_R03_NavidAPI-data'!$H56</f>
        <v>2</v>
      </c>
      <c r="F57">
        <f>'[25]GABM_R03_Terry-data'!$H56</f>
        <v>4</v>
      </c>
      <c r="G57">
        <f>'[26]GABM_R03_SarahAPI-data'!$H56</f>
        <v>4</v>
      </c>
      <c r="H57">
        <f>'[27]GABM_R03_savannah-data'!$H56</f>
        <v>0</v>
      </c>
      <c r="I57">
        <f>'[28]GABM_R03_MitchellAPI-data'!$H56</f>
        <v>8</v>
      </c>
      <c r="J57">
        <f>'[29]GABM_R03_SudipaAPI-data'!$H56</f>
        <v>1</v>
      </c>
      <c r="K57">
        <f>'[30]R03_GABM_run2-data'!$H56</f>
        <v>2</v>
      </c>
      <c r="L57">
        <f t="shared" si="0"/>
        <v>2.9</v>
      </c>
      <c r="N57">
        <f t="shared" si="1"/>
        <v>310.2</v>
      </c>
    </row>
    <row r="58" spans="1:14" x14ac:dyDescent="0.35">
      <c r="A58">
        <v>55</v>
      </c>
      <c r="B58">
        <f>'[21]R03_GABM-data'!$H57</f>
        <v>4</v>
      </c>
      <c r="C58">
        <f>'[22]GABM_R03_RossAPI-data'!$H57</f>
        <v>4</v>
      </c>
      <c r="D58">
        <f>'[23]GABM_R03_RandiAPI-data'!$H57</f>
        <v>0</v>
      </c>
      <c r="E58">
        <f>'[24]GABM_R03_NavidAPI-data'!$H57</f>
        <v>5</v>
      </c>
      <c r="F58">
        <f>'[25]GABM_R03_Terry-data'!$H57</f>
        <v>5</v>
      </c>
      <c r="G58">
        <f>'[26]GABM_R03_SarahAPI-data'!$H57</f>
        <v>2</v>
      </c>
      <c r="H58">
        <f>'[27]GABM_R03_savannah-data'!$H57</f>
        <v>3</v>
      </c>
      <c r="I58">
        <f>'[28]GABM_R03_MitchellAPI-data'!$H57</f>
        <v>7</v>
      </c>
      <c r="J58">
        <f>'[29]GABM_R03_SudipaAPI-data'!$H57</f>
        <v>2</v>
      </c>
      <c r="K58">
        <f>'[30]R03_GABM_run2-data'!$H57</f>
        <v>3</v>
      </c>
      <c r="L58">
        <f t="shared" si="0"/>
        <v>3.5</v>
      </c>
      <c r="N58">
        <f t="shared" si="1"/>
        <v>313.7</v>
      </c>
    </row>
    <row r="59" spans="1:14" x14ac:dyDescent="0.35">
      <c r="A59">
        <v>56</v>
      </c>
      <c r="B59">
        <f>'[21]R03_GABM-data'!$H58</f>
        <v>0</v>
      </c>
      <c r="C59">
        <f>'[22]GABM_R03_RossAPI-data'!$H58</f>
        <v>5</v>
      </c>
      <c r="D59">
        <f>'[23]GABM_R03_RandiAPI-data'!$H58</f>
        <v>0</v>
      </c>
      <c r="E59">
        <f>'[24]GABM_R03_NavidAPI-data'!$H58</f>
        <v>4</v>
      </c>
      <c r="F59">
        <f>'[25]GABM_R03_Terry-data'!$H58</f>
        <v>6</v>
      </c>
      <c r="G59">
        <f>'[26]GABM_R03_SarahAPI-data'!$H58</f>
        <v>4</v>
      </c>
      <c r="H59">
        <f>'[27]GABM_R03_savannah-data'!$H58</f>
        <v>1</v>
      </c>
      <c r="I59">
        <f>'[28]GABM_R03_MitchellAPI-data'!$H58</f>
        <v>7</v>
      </c>
      <c r="J59">
        <f>'[29]GABM_R03_SudipaAPI-data'!$H58</f>
        <v>1</v>
      </c>
      <c r="K59">
        <f>'[30]R03_GABM_run2-data'!$H58</f>
        <v>1</v>
      </c>
      <c r="L59">
        <f t="shared" si="0"/>
        <v>2.9</v>
      </c>
      <c r="N59">
        <f t="shared" si="1"/>
        <v>316.59999999999997</v>
      </c>
    </row>
    <row r="60" spans="1:14" x14ac:dyDescent="0.35">
      <c r="A60">
        <v>57</v>
      </c>
      <c r="B60">
        <f>'[21]R03_GABM-data'!$H59</f>
        <v>2</v>
      </c>
      <c r="C60">
        <f>'[22]GABM_R03_RossAPI-data'!$H59</f>
        <v>5</v>
      </c>
      <c r="D60">
        <f>'[23]GABM_R03_RandiAPI-data'!$H59</f>
        <v>0</v>
      </c>
      <c r="E60">
        <f>'[24]GABM_R03_NavidAPI-data'!$H59</f>
        <v>5</v>
      </c>
      <c r="F60">
        <f>'[25]GABM_R03_Terry-data'!$H59</f>
        <v>3</v>
      </c>
      <c r="G60">
        <f>'[26]GABM_R03_SarahAPI-data'!$H59</f>
        <v>3</v>
      </c>
      <c r="H60">
        <f>'[27]GABM_R03_savannah-data'!$H59</f>
        <v>3</v>
      </c>
      <c r="I60">
        <f>'[28]GABM_R03_MitchellAPI-data'!$H59</f>
        <v>1</v>
      </c>
      <c r="J60">
        <f>'[29]GABM_R03_SudipaAPI-data'!$H59</f>
        <v>1</v>
      </c>
      <c r="K60">
        <f>'[30]R03_GABM_run2-data'!$H59</f>
        <v>7</v>
      </c>
      <c r="L60">
        <f t="shared" si="0"/>
        <v>3</v>
      </c>
      <c r="N60">
        <f t="shared" si="1"/>
        <v>319.59999999999997</v>
      </c>
    </row>
    <row r="61" spans="1:14" x14ac:dyDescent="0.35">
      <c r="A61">
        <v>58</v>
      </c>
      <c r="B61">
        <f>'[21]R03_GABM-data'!$H60</f>
        <v>2</v>
      </c>
      <c r="C61">
        <f>'[22]GABM_R03_RossAPI-data'!$H60</f>
        <v>4</v>
      </c>
      <c r="D61">
        <f>'[23]GABM_R03_RandiAPI-data'!$H60</f>
        <v>0</v>
      </c>
      <c r="E61">
        <f>'[24]GABM_R03_NavidAPI-data'!$H60</f>
        <v>8</v>
      </c>
      <c r="F61">
        <f>'[25]GABM_R03_Terry-data'!$H60</f>
        <v>4</v>
      </c>
      <c r="G61">
        <f>'[26]GABM_R03_SarahAPI-data'!$H60</f>
        <v>1</v>
      </c>
      <c r="H61">
        <f>'[27]GABM_R03_savannah-data'!$H60</f>
        <v>2</v>
      </c>
      <c r="I61">
        <f>'[28]GABM_R03_MitchellAPI-data'!$H60</f>
        <v>4</v>
      </c>
      <c r="J61">
        <f>'[29]GABM_R03_SudipaAPI-data'!$H60</f>
        <v>4</v>
      </c>
      <c r="K61">
        <f>'[30]R03_GABM_run2-data'!$H60</f>
        <v>4</v>
      </c>
      <c r="L61">
        <f t="shared" si="0"/>
        <v>3.3</v>
      </c>
      <c r="N61">
        <f t="shared" si="1"/>
        <v>322.89999999999998</v>
      </c>
    </row>
    <row r="62" spans="1:14" x14ac:dyDescent="0.35">
      <c r="A62">
        <v>59</v>
      </c>
      <c r="B62">
        <f>'[21]R03_GABM-data'!$H61</f>
        <v>1</v>
      </c>
      <c r="C62">
        <f>'[22]GABM_R03_RossAPI-data'!$H61</f>
        <v>1</v>
      </c>
      <c r="D62">
        <f>'[23]GABM_R03_RandiAPI-data'!$H61</f>
        <v>0</v>
      </c>
      <c r="E62">
        <f>'[24]GABM_R03_NavidAPI-data'!$H61</f>
        <v>5</v>
      </c>
      <c r="F62">
        <f>'[25]GABM_R03_Terry-data'!$H61</f>
        <v>0</v>
      </c>
      <c r="G62">
        <f>'[26]GABM_R03_SarahAPI-data'!$H61</f>
        <v>2</v>
      </c>
      <c r="H62">
        <f>'[27]GABM_R03_savannah-data'!$H61</f>
        <v>2</v>
      </c>
      <c r="I62">
        <f>'[28]GABM_R03_MitchellAPI-data'!$H61</f>
        <v>0</v>
      </c>
      <c r="J62">
        <f>'[29]GABM_R03_SudipaAPI-data'!$H61</f>
        <v>2</v>
      </c>
      <c r="K62">
        <f>'[30]R03_GABM_run2-data'!$H61</f>
        <v>5</v>
      </c>
      <c r="L62">
        <f t="shared" si="0"/>
        <v>1.8</v>
      </c>
      <c r="N62">
        <f t="shared" si="1"/>
        <v>324.7</v>
      </c>
    </row>
    <row r="63" spans="1:14" x14ac:dyDescent="0.35">
      <c r="A63">
        <v>60</v>
      </c>
      <c r="B63">
        <f>'[21]R03_GABM-data'!$H62</f>
        <v>6</v>
      </c>
      <c r="C63">
        <f>'[22]GABM_R03_RossAPI-data'!$H62</f>
        <v>0</v>
      </c>
      <c r="D63">
        <f>'[23]GABM_R03_RandiAPI-data'!$H62</f>
        <v>0</v>
      </c>
      <c r="E63">
        <f>'[24]GABM_R03_NavidAPI-data'!$H62</f>
        <v>5</v>
      </c>
      <c r="F63">
        <f>'[25]GABM_R03_Terry-data'!$H62</f>
        <v>2</v>
      </c>
      <c r="G63">
        <f>'[26]GABM_R03_SarahAPI-data'!$H62</f>
        <v>2</v>
      </c>
      <c r="H63">
        <f>'[27]GABM_R03_savannah-data'!$H62</f>
        <v>1</v>
      </c>
      <c r="I63">
        <f>'[28]GABM_R03_MitchellAPI-data'!$H62</f>
        <v>0</v>
      </c>
      <c r="J63">
        <f>'[29]GABM_R03_SudipaAPI-data'!$H62</f>
        <v>2</v>
      </c>
      <c r="K63">
        <f>'[30]R03_GABM_run2-data'!$H62</f>
        <v>4</v>
      </c>
      <c r="L63">
        <f t="shared" si="0"/>
        <v>2.2000000000000002</v>
      </c>
      <c r="N63">
        <f t="shared" si="1"/>
        <v>326.89999999999998</v>
      </c>
    </row>
    <row r="64" spans="1:14" x14ac:dyDescent="0.35">
      <c r="A64">
        <v>61</v>
      </c>
      <c r="B64">
        <f>'[21]R03_GABM-data'!$H63</f>
        <v>2</v>
      </c>
      <c r="C64">
        <f>'[22]GABM_R03_RossAPI-data'!$H63</f>
        <v>0</v>
      </c>
      <c r="D64">
        <f>'[23]GABM_R03_RandiAPI-data'!$H63</f>
        <v>0</v>
      </c>
      <c r="E64">
        <f>'[24]GABM_R03_NavidAPI-data'!$H63</f>
        <v>1</v>
      </c>
      <c r="F64">
        <f>'[25]GABM_R03_Terry-data'!$H63</f>
        <v>0</v>
      </c>
      <c r="G64">
        <f>'[26]GABM_R03_SarahAPI-data'!$H63</f>
        <v>4</v>
      </c>
      <c r="H64">
        <f>'[27]GABM_R03_savannah-data'!$H63</f>
        <v>2</v>
      </c>
      <c r="I64">
        <f>'[28]GABM_R03_MitchellAPI-data'!$H63</f>
        <v>0</v>
      </c>
      <c r="J64">
        <f>'[29]GABM_R03_SudipaAPI-data'!$H63</f>
        <v>1</v>
      </c>
      <c r="K64">
        <f>'[30]R03_GABM_run2-data'!$H63</f>
        <v>5</v>
      </c>
      <c r="L64">
        <f t="shared" si="0"/>
        <v>1.5</v>
      </c>
      <c r="N64">
        <f t="shared" si="1"/>
        <v>328.4</v>
      </c>
    </row>
    <row r="65" spans="1:14" x14ac:dyDescent="0.35">
      <c r="A65">
        <v>62</v>
      </c>
      <c r="B65">
        <f>'[21]R03_GABM-data'!$H64</f>
        <v>2</v>
      </c>
      <c r="C65">
        <f>'[22]GABM_R03_RossAPI-data'!$H64</f>
        <v>0</v>
      </c>
      <c r="D65">
        <f>'[23]GABM_R03_RandiAPI-data'!$H64</f>
        <v>0</v>
      </c>
      <c r="E65">
        <f>'[24]GABM_R03_NavidAPI-data'!$H64</f>
        <v>2</v>
      </c>
      <c r="F65">
        <f>'[25]GABM_R03_Terry-data'!$H64</f>
        <v>0</v>
      </c>
      <c r="G65">
        <f>'[26]GABM_R03_SarahAPI-data'!$H64</f>
        <v>4</v>
      </c>
      <c r="H65">
        <f>'[27]GABM_R03_savannah-data'!$H64</f>
        <v>1</v>
      </c>
      <c r="I65">
        <f>'[28]GABM_R03_MitchellAPI-data'!$H64</f>
        <v>0</v>
      </c>
      <c r="J65">
        <f>'[29]GABM_R03_SudipaAPI-data'!$H64</f>
        <v>2</v>
      </c>
      <c r="K65">
        <f>'[30]R03_GABM_run2-data'!$H64</f>
        <v>4</v>
      </c>
      <c r="L65">
        <f t="shared" si="0"/>
        <v>1.5</v>
      </c>
      <c r="N65">
        <f t="shared" si="1"/>
        <v>329.9</v>
      </c>
    </row>
    <row r="66" spans="1:14" x14ac:dyDescent="0.35">
      <c r="A66">
        <v>63</v>
      </c>
      <c r="B66">
        <f>'[21]R03_GABM-data'!$H65</f>
        <v>2</v>
      </c>
      <c r="C66">
        <f>'[22]GABM_R03_RossAPI-data'!$H65</f>
        <v>0</v>
      </c>
      <c r="D66">
        <f>'[23]GABM_R03_RandiAPI-data'!$H65</f>
        <v>0</v>
      </c>
      <c r="E66">
        <f>'[24]GABM_R03_NavidAPI-data'!$H65</f>
        <v>0</v>
      </c>
      <c r="F66">
        <f>'[25]GABM_R03_Terry-data'!$H65</f>
        <v>5</v>
      </c>
      <c r="G66">
        <f>'[26]GABM_R03_SarahAPI-data'!$H65</f>
        <v>3</v>
      </c>
      <c r="H66">
        <f>'[27]GABM_R03_savannah-data'!$H65</f>
        <v>1</v>
      </c>
      <c r="I66">
        <f>'[28]GABM_R03_MitchellAPI-data'!$H65</f>
        <v>0</v>
      </c>
      <c r="J66">
        <f>'[29]GABM_R03_SudipaAPI-data'!$H65</f>
        <v>1</v>
      </c>
      <c r="K66">
        <f>'[30]R03_GABM_run2-data'!$H65</f>
        <v>4</v>
      </c>
      <c r="L66">
        <f t="shared" si="0"/>
        <v>1.6</v>
      </c>
      <c r="N66">
        <f t="shared" si="1"/>
        <v>331.5</v>
      </c>
    </row>
    <row r="67" spans="1:14" x14ac:dyDescent="0.35">
      <c r="A67">
        <v>64</v>
      </c>
      <c r="B67">
        <f>'[21]R03_GABM-data'!$H66</f>
        <v>3</v>
      </c>
      <c r="C67">
        <f>'[22]GABM_R03_RossAPI-data'!$H66</f>
        <v>1</v>
      </c>
      <c r="D67">
        <f>'[23]GABM_R03_RandiAPI-data'!$H66</f>
        <v>0</v>
      </c>
      <c r="E67">
        <f>'[24]GABM_R03_NavidAPI-data'!$H66</f>
        <v>1</v>
      </c>
      <c r="F67">
        <f>'[25]GABM_R03_Terry-data'!$H66</f>
        <v>2</v>
      </c>
      <c r="G67">
        <f>'[26]GABM_R03_SarahAPI-data'!$H66</f>
        <v>2</v>
      </c>
      <c r="H67">
        <f>'[27]GABM_R03_savannah-data'!$H66</f>
        <v>2</v>
      </c>
      <c r="I67">
        <f>'[28]GABM_R03_MitchellAPI-data'!$H66</f>
        <v>2</v>
      </c>
      <c r="J67">
        <f>'[29]GABM_R03_SudipaAPI-data'!$H66</f>
        <v>0</v>
      </c>
      <c r="K67">
        <f>'[30]R03_GABM_run2-data'!$H66</f>
        <v>3</v>
      </c>
      <c r="L67">
        <f t="shared" si="0"/>
        <v>1.6</v>
      </c>
      <c r="N67">
        <f t="shared" si="1"/>
        <v>333.1</v>
      </c>
    </row>
    <row r="68" spans="1:14" x14ac:dyDescent="0.35">
      <c r="A68">
        <v>65</v>
      </c>
      <c r="B68">
        <f>'[21]R03_GABM-data'!$H67</f>
        <v>5</v>
      </c>
      <c r="C68">
        <f>'[22]GABM_R03_RossAPI-data'!$H67</f>
        <v>3</v>
      </c>
      <c r="D68">
        <f>'[23]GABM_R03_RandiAPI-data'!$H67</f>
        <v>0</v>
      </c>
      <c r="E68">
        <f>'[24]GABM_R03_NavidAPI-data'!$H67</f>
        <v>1</v>
      </c>
      <c r="F68">
        <f>'[25]GABM_R03_Terry-data'!$H67</f>
        <v>2</v>
      </c>
      <c r="G68">
        <f>'[26]GABM_R03_SarahAPI-data'!$H67</f>
        <v>5</v>
      </c>
      <c r="H68">
        <f>'[27]GABM_R03_savannah-data'!$H67</f>
        <v>2</v>
      </c>
      <c r="I68">
        <f>'[28]GABM_R03_MitchellAPI-data'!$H67</f>
        <v>0</v>
      </c>
      <c r="J68">
        <f>'[29]GABM_R03_SudipaAPI-data'!$H67</f>
        <v>0</v>
      </c>
      <c r="K68">
        <f>'[30]R03_GABM_run2-data'!$H67</f>
        <v>2</v>
      </c>
      <c r="L68">
        <f t="shared" ref="L68:L131" si="2">AVERAGE(B68:K68)</f>
        <v>2</v>
      </c>
      <c r="N68">
        <f t="shared" si="1"/>
        <v>335.1</v>
      </c>
    </row>
    <row r="69" spans="1:14" x14ac:dyDescent="0.35">
      <c r="A69">
        <v>66</v>
      </c>
      <c r="B69">
        <f>'[21]R03_GABM-data'!$H68</f>
        <v>4</v>
      </c>
      <c r="C69">
        <f>'[22]GABM_R03_RossAPI-data'!$H68</f>
        <v>3</v>
      </c>
      <c r="D69">
        <f>'[23]GABM_R03_RandiAPI-data'!$H68</f>
        <v>0</v>
      </c>
      <c r="E69">
        <f>'[24]GABM_R03_NavidAPI-data'!$H68</f>
        <v>0</v>
      </c>
      <c r="F69">
        <f>'[25]GABM_R03_Terry-data'!$H68</f>
        <v>7</v>
      </c>
      <c r="G69">
        <f>'[26]GABM_R03_SarahAPI-data'!$H68</f>
        <v>4</v>
      </c>
      <c r="H69">
        <f>'[27]GABM_R03_savannah-data'!$H68</f>
        <v>3</v>
      </c>
      <c r="I69">
        <f>'[28]GABM_R03_MitchellAPI-data'!$H68</f>
        <v>1</v>
      </c>
      <c r="J69">
        <f>'[29]GABM_R03_SudipaAPI-data'!$H68</f>
        <v>0</v>
      </c>
      <c r="K69">
        <f>'[30]R03_GABM_run2-data'!$H68</f>
        <v>2</v>
      </c>
      <c r="L69">
        <f t="shared" si="2"/>
        <v>2.4</v>
      </c>
      <c r="N69">
        <f t="shared" ref="N69:N132" si="3">N68+L69</f>
        <v>337.5</v>
      </c>
    </row>
    <row r="70" spans="1:14" x14ac:dyDescent="0.35">
      <c r="A70">
        <v>67</v>
      </c>
      <c r="B70">
        <f>'[21]R03_GABM-data'!$H69</f>
        <v>1</v>
      </c>
      <c r="C70">
        <f>'[22]GABM_R03_RossAPI-data'!$H69</f>
        <v>1</v>
      </c>
      <c r="D70">
        <f>'[23]GABM_R03_RandiAPI-data'!$H69</f>
        <v>0</v>
      </c>
      <c r="E70">
        <f>'[24]GABM_R03_NavidAPI-data'!$H69</f>
        <v>1</v>
      </c>
      <c r="F70">
        <f>'[25]GABM_R03_Terry-data'!$H69</f>
        <v>1</v>
      </c>
      <c r="G70">
        <f>'[26]GABM_R03_SarahAPI-data'!$H69</f>
        <v>5</v>
      </c>
      <c r="H70">
        <f>'[27]GABM_R03_savannah-data'!$H69</f>
        <v>1</v>
      </c>
      <c r="I70">
        <f>'[28]GABM_R03_MitchellAPI-data'!$H69</f>
        <v>2</v>
      </c>
      <c r="J70">
        <f>'[29]GABM_R03_SudipaAPI-data'!$H69</f>
        <v>0</v>
      </c>
      <c r="K70">
        <f>'[30]R03_GABM_run2-data'!$H69</f>
        <v>3</v>
      </c>
      <c r="L70">
        <f t="shared" si="2"/>
        <v>1.5</v>
      </c>
      <c r="N70">
        <f t="shared" si="3"/>
        <v>339</v>
      </c>
    </row>
    <row r="71" spans="1:14" x14ac:dyDescent="0.35">
      <c r="A71">
        <v>68</v>
      </c>
      <c r="B71">
        <f>'[21]R03_GABM-data'!$H70</f>
        <v>2</v>
      </c>
      <c r="C71">
        <f>'[22]GABM_R03_RossAPI-data'!$H70</f>
        <v>1</v>
      </c>
      <c r="D71">
        <f>'[23]GABM_R03_RandiAPI-data'!$H70</f>
        <v>0</v>
      </c>
      <c r="E71">
        <f>'[24]GABM_R03_NavidAPI-data'!$H70</f>
        <v>1</v>
      </c>
      <c r="F71">
        <f>'[25]GABM_R03_Terry-data'!$H70</f>
        <v>1</v>
      </c>
      <c r="G71">
        <f>'[26]GABM_R03_SarahAPI-data'!$H70</f>
        <v>5</v>
      </c>
      <c r="H71">
        <f>'[27]GABM_R03_savannah-data'!$H70</f>
        <v>0</v>
      </c>
      <c r="I71">
        <f>'[28]GABM_R03_MitchellAPI-data'!$H70</f>
        <v>1</v>
      </c>
      <c r="J71">
        <f>'[29]GABM_R03_SudipaAPI-data'!$H70</f>
        <v>3</v>
      </c>
      <c r="K71">
        <f>'[30]R03_GABM_run2-data'!$H70</f>
        <v>0</v>
      </c>
      <c r="L71">
        <f t="shared" si="2"/>
        <v>1.4</v>
      </c>
      <c r="N71">
        <f t="shared" si="3"/>
        <v>340.4</v>
      </c>
    </row>
    <row r="72" spans="1:14" x14ac:dyDescent="0.35">
      <c r="A72">
        <v>69</v>
      </c>
      <c r="B72">
        <f>'[21]R03_GABM-data'!$H71</f>
        <v>1</v>
      </c>
      <c r="C72">
        <f>'[22]GABM_R03_RossAPI-data'!$H71</f>
        <v>1</v>
      </c>
      <c r="D72">
        <f>'[23]GABM_R03_RandiAPI-data'!$H71</f>
        <v>0</v>
      </c>
      <c r="E72">
        <f>'[24]GABM_R03_NavidAPI-data'!$H71</f>
        <v>1</v>
      </c>
      <c r="F72">
        <f>'[25]GABM_R03_Terry-data'!$H71</f>
        <v>1</v>
      </c>
      <c r="G72">
        <f>'[26]GABM_R03_SarahAPI-data'!$H71</f>
        <v>2</v>
      </c>
      <c r="H72">
        <f>'[27]GABM_R03_savannah-data'!$H71</f>
        <v>3</v>
      </c>
      <c r="I72">
        <f>'[28]GABM_R03_MitchellAPI-data'!$H71</f>
        <v>5</v>
      </c>
      <c r="J72">
        <f>'[29]GABM_R03_SudipaAPI-data'!$H71</f>
        <v>0</v>
      </c>
      <c r="K72">
        <f>'[30]R03_GABM_run2-data'!$H71</f>
        <v>2</v>
      </c>
      <c r="L72">
        <f t="shared" si="2"/>
        <v>1.6</v>
      </c>
      <c r="N72">
        <f t="shared" si="3"/>
        <v>342</v>
      </c>
    </row>
    <row r="73" spans="1:14" x14ac:dyDescent="0.35">
      <c r="A73">
        <v>70</v>
      </c>
      <c r="B73">
        <f>'[21]R03_GABM-data'!$H72</f>
        <v>0</v>
      </c>
      <c r="C73">
        <f>'[22]GABM_R03_RossAPI-data'!$H72</f>
        <v>0</v>
      </c>
      <c r="D73">
        <f>'[23]GABM_R03_RandiAPI-data'!$H72</f>
        <v>0</v>
      </c>
      <c r="E73">
        <f>'[24]GABM_R03_NavidAPI-data'!$H72</f>
        <v>1</v>
      </c>
      <c r="F73">
        <f>'[25]GABM_R03_Terry-data'!$H72</f>
        <v>0</v>
      </c>
      <c r="G73">
        <f>'[26]GABM_R03_SarahAPI-data'!$H72</f>
        <v>0</v>
      </c>
      <c r="H73">
        <f>'[27]GABM_R03_savannah-data'!$H72</f>
        <v>2</v>
      </c>
      <c r="I73">
        <f>'[28]GABM_R03_MitchellAPI-data'!$H72</f>
        <v>2</v>
      </c>
      <c r="J73">
        <f>'[29]GABM_R03_SudipaAPI-data'!$H72</f>
        <v>0</v>
      </c>
      <c r="K73">
        <f>'[30]R03_GABM_run2-data'!$H72</f>
        <v>0</v>
      </c>
      <c r="L73">
        <f t="shared" si="2"/>
        <v>0.5</v>
      </c>
      <c r="N73">
        <f t="shared" si="3"/>
        <v>342.5</v>
      </c>
    </row>
    <row r="74" spans="1:14" x14ac:dyDescent="0.35">
      <c r="A74">
        <v>71</v>
      </c>
      <c r="B74">
        <f>'[21]R03_GABM-data'!$H73</f>
        <v>0</v>
      </c>
      <c r="C74">
        <f>'[22]GABM_R03_RossAPI-data'!$H73</f>
        <v>0</v>
      </c>
      <c r="D74">
        <f>'[23]GABM_R03_RandiAPI-data'!$H73</f>
        <v>0</v>
      </c>
      <c r="E74">
        <f>'[24]GABM_R03_NavidAPI-data'!$H73</f>
        <v>0</v>
      </c>
      <c r="F74">
        <f>'[25]GABM_R03_Terry-data'!$H73</f>
        <v>2</v>
      </c>
      <c r="G74">
        <f>'[26]GABM_R03_SarahAPI-data'!$H73</f>
        <v>1</v>
      </c>
      <c r="H74">
        <f>'[27]GABM_R03_savannah-data'!$H73</f>
        <v>2</v>
      </c>
      <c r="I74">
        <f>'[28]GABM_R03_MitchellAPI-data'!$H73</f>
        <v>0</v>
      </c>
      <c r="J74">
        <f>'[29]GABM_R03_SudipaAPI-data'!$H73</f>
        <v>1</v>
      </c>
      <c r="K74">
        <f>'[30]R03_GABM_run2-data'!$H73</f>
        <v>1</v>
      </c>
      <c r="L74">
        <f t="shared" si="2"/>
        <v>0.7</v>
      </c>
      <c r="N74">
        <f t="shared" si="3"/>
        <v>343.2</v>
      </c>
    </row>
    <row r="75" spans="1:14" x14ac:dyDescent="0.35">
      <c r="A75">
        <v>72</v>
      </c>
      <c r="B75">
        <f>'[21]R03_GABM-data'!$H74</f>
        <v>0</v>
      </c>
      <c r="C75">
        <f>'[22]GABM_R03_RossAPI-data'!$H74</f>
        <v>0</v>
      </c>
      <c r="D75">
        <f>'[23]GABM_R03_RandiAPI-data'!$H74</f>
        <v>0</v>
      </c>
      <c r="E75">
        <f>'[24]GABM_R03_NavidAPI-data'!$H74</f>
        <v>0</v>
      </c>
      <c r="F75">
        <f>'[25]GABM_R03_Terry-data'!$H74</f>
        <v>0</v>
      </c>
      <c r="G75">
        <f>'[26]GABM_R03_SarahAPI-data'!$H74</f>
        <v>1</v>
      </c>
      <c r="H75">
        <f>'[27]GABM_R03_savannah-data'!$H74</f>
        <v>8</v>
      </c>
      <c r="I75">
        <f>'[28]GABM_R03_MitchellAPI-data'!$H74</f>
        <v>2</v>
      </c>
      <c r="J75">
        <f>'[29]GABM_R03_SudipaAPI-data'!$H74</f>
        <v>0</v>
      </c>
      <c r="K75">
        <f>'[30]R03_GABM_run2-data'!$H74</f>
        <v>2</v>
      </c>
      <c r="L75">
        <f t="shared" si="2"/>
        <v>1.3</v>
      </c>
      <c r="N75">
        <f t="shared" si="3"/>
        <v>344.5</v>
      </c>
    </row>
    <row r="76" spans="1:14" x14ac:dyDescent="0.35">
      <c r="A76">
        <v>73</v>
      </c>
      <c r="B76">
        <f>'[21]R03_GABM-data'!$H75</f>
        <v>0</v>
      </c>
      <c r="C76">
        <f>'[22]GABM_R03_RossAPI-data'!$H75</f>
        <v>0</v>
      </c>
      <c r="D76">
        <f>'[23]GABM_R03_RandiAPI-data'!$H75</f>
        <v>0</v>
      </c>
      <c r="E76">
        <f>'[24]GABM_R03_NavidAPI-data'!$H75</f>
        <v>0</v>
      </c>
      <c r="F76">
        <f>'[25]GABM_R03_Terry-data'!$H75</f>
        <v>2</v>
      </c>
      <c r="G76">
        <f>'[26]GABM_R03_SarahAPI-data'!$H75</f>
        <v>4</v>
      </c>
      <c r="H76">
        <f>'[27]GABM_R03_savannah-data'!$H75</f>
        <v>0</v>
      </c>
      <c r="I76">
        <f>'[28]GABM_R03_MitchellAPI-data'!$H75</f>
        <v>0</v>
      </c>
      <c r="J76">
        <f>'[29]GABM_R03_SudipaAPI-data'!$H75</f>
        <v>0</v>
      </c>
      <c r="K76">
        <f>'[30]R03_GABM_run2-data'!$H75</f>
        <v>1</v>
      </c>
      <c r="L76">
        <f t="shared" si="2"/>
        <v>0.7</v>
      </c>
      <c r="N76">
        <f t="shared" si="3"/>
        <v>345.2</v>
      </c>
    </row>
    <row r="77" spans="1:14" x14ac:dyDescent="0.35">
      <c r="A77">
        <v>74</v>
      </c>
      <c r="B77">
        <f>'[21]R03_GABM-data'!$H76</f>
        <v>0</v>
      </c>
      <c r="C77">
        <f>'[22]GABM_R03_RossAPI-data'!$H76</f>
        <v>0</v>
      </c>
      <c r="D77">
        <f>'[23]GABM_R03_RandiAPI-data'!$H76</f>
        <v>0</v>
      </c>
      <c r="E77">
        <f>'[24]GABM_R03_NavidAPI-data'!$H76</f>
        <v>0</v>
      </c>
      <c r="F77">
        <f>'[25]GABM_R03_Terry-data'!$H76</f>
        <v>4</v>
      </c>
      <c r="G77">
        <f>'[26]GABM_R03_SarahAPI-data'!$H76</f>
        <v>2</v>
      </c>
      <c r="H77">
        <f>'[27]GABM_R03_savannah-data'!$H76</f>
        <v>2</v>
      </c>
      <c r="I77">
        <f>'[28]GABM_R03_MitchellAPI-data'!$H76</f>
        <v>2</v>
      </c>
      <c r="J77">
        <f>'[29]GABM_R03_SudipaAPI-data'!$H76</f>
        <v>1</v>
      </c>
      <c r="K77">
        <f>'[30]R03_GABM_run2-data'!$H76</f>
        <v>0</v>
      </c>
      <c r="L77">
        <f t="shared" si="2"/>
        <v>1.1000000000000001</v>
      </c>
      <c r="N77">
        <f t="shared" si="3"/>
        <v>346.3</v>
      </c>
    </row>
    <row r="78" spans="1:14" x14ac:dyDescent="0.35">
      <c r="A78">
        <v>75</v>
      </c>
      <c r="B78">
        <f>'[21]R03_GABM-data'!$H77</f>
        <v>0</v>
      </c>
      <c r="C78">
        <f>'[22]GABM_R03_RossAPI-data'!$H77</f>
        <v>0</v>
      </c>
      <c r="D78">
        <f>'[23]GABM_R03_RandiAPI-data'!$H77</f>
        <v>0</v>
      </c>
      <c r="E78">
        <f>'[24]GABM_R03_NavidAPI-data'!$H77</f>
        <v>0</v>
      </c>
      <c r="F78">
        <f>'[25]GABM_R03_Terry-data'!$H77</f>
        <v>2</v>
      </c>
      <c r="G78">
        <f>'[26]GABM_R03_SarahAPI-data'!$H77</f>
        <v>2</v>
      </c>
      <c r="H78">
        <f>'[27]GABM_R03_savannah-data'!$H77</f>
        <v>1</v>
      </c>
      <c r="I78">
        <f>'[28]GABM_R03_MitchellAPI-data'!$H77</f>
        <v>8</v>
      </c>
      <c r="J78">
        <f>'[29]GABM_R03_SudipaAPI-data'!$H77</f>
        <v>0</v>
      </c>
      <c r="K78">
        <f>'[30]R03_GABM_run2-data'!$H77</f>
        <v>2</v>
      </c>
      <c r="L78">
        <f t="shared" si="2"/>
        <v>1.5</v>
      </c>
      <c r="N78">
        <f t="shared" si="3"/>
        <v>347.8</v>
      </c>
    </row>
    <row r="79" spans="1:14" x14ac:dyDescent="0.35">
      <c r="A79">
        <v>76</v>
      </c>
      <c r="B79">
        <f>'[21]R03_GABM-data'!$H78</f>
        <v>0</v>
      </c>
      <c r="C79">
        <f>'[22]GABM_R03_RossAPI-data'!$H78</f>
        <v>0</v>
      </c>
      <c r="D79">
        <f>'[23]GABM_R03_RandiAPI-data'!$H78</f>
        <v>0</v>
      </c>
      <c r="E79">
        <f>'[24]GABM_R03_NavidAPI-data'!$H78</f>
        <v>0</v>
      </c>
      <c r="F79">
        <f>'[25]GABM_R03_Terry-data'!$H78</f>
        <v>4</v>
      </c>
      <c r="G79">
        <f>'[26]GABM_R03_SarahAPI-data'!$H78</f>
        <v>1</v>
      </c>
      <c r="H79">
        <f>'[27]GABM_R03_savannah-data'!$H78</f>
        <v>0</v>
      </c>
      <c r="I79">
        <f>'[28]GABM_R03_MitchellAPI-data'!$H78</f>
        <v>3</v>
      </c>
      <c r="J79">
        <f>'[29]GABM_R03_SudipaAPI-data'!$H78</f>
        <v>1</v>
      </c>
      <c r="K79">
        <f>'[30]R03_GABM_run2-data'!$H78</f>
        <v>1</v>
      </c>
      <c r="L79">
        <f t="shared" si="2"/>
        <v>1</v>
      </c>
      <c r="N79">
        <f t="shared" si="3"/>
        <v>348.8</v>
      </c>
    </row>
    <row r="80" spans="1:14" x14ac:dyDescent="0.35">
      <c r="A80">
        <v>77</v>
      </c>
      <c r="B80">
        <f>'[21]R03_GABM-data'!$H79</f>
        <v>0</v>
      </c>
      <c r="C80">
        <f>'[22]GABM_R03_RossAPI-data'!$H79</f>
        <v>0</v>
      </c>
      <c r="D80">
        <f>'[23]GABM_R03_RandiAPI-data'!$H79</f>
        <v>0</v>
      </c>
      <c r="E80">
        <f>'[24]GABM_R03_NavidAPI-data'!$H79</f>
        <v>0</v>
      </c>
      <c r="F80">
        <f>'[25]GABM_R03_Terry-data'!$H79</f>
        <v>3</v>
      </c>
      <c r="G80">
        <f>'[26]GABM_R03_SarahAPI-data'!$H79</f>
        <v>3</v>
      </c>
      <c r="H80">
        <f>'[27]GABM_R03_savannah-data'!$H79</f>
        <v>1</v>
      </c>
      <c r="I80">
        <f>'[28]GABM_R03_MitchellAPI-data'!$H79</f>
        <v>14</v>
      </c>
      <c r="J80">
        <f>'[29]GABM_R03_SudipaAPI-data'!$H79</f>
        <v>0</v>
      </c>
      <c r="K80">
        <f>'[30]R03_GABM_run2-data'!$H79</f>
        <v>2</v>
      </c>
      <c r="L80">
        <f t="shared" si="2"/>
        <v>2.2999999999999998</v>
      </c>
      <c r="N80">
        <f t="shared" si="3"/>
        <v>351.1</v>
      </c>
    </row>
    <row r="81" spans="1:14" x14ac:dyDescent="0.35">
      <c r="A81">
        <v>78</v>
      </c>
      <c r="B81">
        <f>'[21]R03_GABM-data'!$H80</f>
        <v>0</v>
      </c>
      <c r="C81">
        <f>'[22]GABM_R03_RossAPI-data'!$H80</f>
        <v>0</v>
      </c>
      <c r="D81">
        <f>'[23]GABM_R03_RandiAPI-data'!$H80</f>
        <v>0</v>
      </c>
      <c r="E81">
        <f>'[24]GABM_R03_NavidAPI-data'!$H80</f>
        <v>0</v>
      </c>
      <c r="F81">
        <f>'[25]GABM_R03_Terry-data'!$H80</f>
        <v>1</v>
      </c>
      <c r="G81">
        <f>'[26]GABM_R03_SarahAPI-data'!$H80</f>
        <v>3</v>
      </c>
      <c r="H81">
        <f>'[27]GABM_R03_savannah-data'!$H80</f>
        <v>0</v>
      </c>
      <c r="I81">
        <f>'[28]GABM_R03_MitchellAPI-data'!$H80</f>
        <v>6</v>
      </c>
      <c r="J81">
        <f>'[29]GABM_R03_SudipaAPI-data'!$H80</f>
        <v>0</v>
      </c>
      <c r="K81">
        <f>'[30]R03_GABM_run2-data'!$H80</f>
        <v>4</v>
      </c>
      <c r="L81">
        <f t="shared" si="2"/>
        <v>1.4</v>
      </c>
      <c r="N81">
        <f t="shared" si="3"/>
        <v>352.5</v>
      </c>
    </row>
    <row r="82" spans="1:14" x14ac:dyDescent="0.35">
      <c r="A82">
        <v>79</v>
      </c>
      <c r="B82">
        <f>'[21]R03_GABM-data'!$H81</f>
        <v>0</v>
      </c>
      <c r="C82">
        <f>'[22]GABM_R03_RossAPI-data'!$H81</f>
        <v>0</v>
      </c>
      <c r="D82">
        <f>'[23]GABM_R03_RandiAPI-data'!$H81</f>
        <v>0</v>
      </c>
      <c r="E82">
        <f>'[24]GABM_R03_NavidAPI-data'!$H81</f>
        <v>0</v>
      </c>
      <c r="F82">
        <f>'[25]GABM_R03_Terry-data'!$H81</f>
        <v>2</v>
      </c>
      <c r="G82">
        <f>'[26]GABM_R03_SarahAPI-data'!$H81</f>
        <v>1</v>
      </c>
      <c r="H82">
        <f>'[27]GABM_R03_savannah-data'!$H81</f>
        <v>0</v>
      </c>
      <c r="I82">
        <f>'[28]GABM_R03_MitchellAPI-data'!$H81</f>
        <v>1</v>
      </c>
      <c r="J82">
        <f>'[29]GABM_R03_SudipaAPI-data'!$H81</f>
        <v>1</v>
      </c>
      <c r="K82">
        <f>'[30]R03_GABM_run2-data'!$H81</f>
        <v>0</v>
      </c>
      <c r="L82">
        <f t="shared" si="2"/>
        <v>0.5</v>
      </c>
      <c r="N82">
        <f t="shared" si="3"/>
        <v>353</v>
      </c>
    </row>
    <row r="83" spans="1:14" x14ac:dyDescent="0.35">
      <c r="A83">
        <v>80</v>
      </c>
      <c r="B83">
        <f>'[21]R03_GABM-data'!$H82</f>
        <v>0</v>
      </c>
      <c r="C83">
        <f>'[22]GABM_R03_RossAPI-data'!$H82</f>
        <v>0</v>
      </c>
      <c r="D83">
        <f>'[23]GABM_R03_RandiAPI-data'!$H82</f>
        <v>0</v>
      </c>
      <c r="E83">
        <f>'[24]GABM_R03_NavidAPI-data'!$H82</f>
        <v>0</v>
      </c>
      <c r="F83">
        <f>'[25]GABM_R03_Terry-data'!$H82</f>
        <v>0</v>
      </c>
      <c r="G83">
        <f>'[26]GABM_R03_SarahAPI-data'!$H82</f>
        <v>2</v>
      </c>
      <c r="H83">
        <f>'[27]GABM_R03_savannah-data'!$H82</f>
        <v>2</v>
      </c>
      <c r="I83">
        <f>'[28]GABM_R03_MitchellAPI-data'!$H82</f>
        <v>4</v>
      </c>
      <c r="J83">
        <f>'[29]GABM_R03_SudipaAPI-data'!$H82</f>
        <v>1</v>
      </c>
      <c r="K83">
        <f>'[30]R03_GABM_run2-data'!$H82</f>
        <v>2</v>
      </c>
      <c r="L83">
        <f t="shared" si="2"/>
        <v>1.1000000000000001</v>
      </c>
      <c r="N83">
        <f t="shared" si="3"/>
        <v>354.1</v>
      </c>
    </row>
    <row r="84" spans="1:14" x14ac:dyDescent="0.35">
      <c r="A84">
        <v>81</v>
      </c>
      <c r="B84">
        <f>'[21]R03_GABM-data'!$H83</f>
        <v>0</v>
      </c>
      <c r="C84">
        <f>'[22]GABM_R03_RossAPI-data'!$H83</f>
        <v>0</v>
      </c>
      <c r="D84">
        <f>'[23]GABM_R03_RandiAPI-data'!$H83</f>
        <v>0</v>
      </c>
      <c r="E84">
        <f>'[24]GABM_R03_NavidAPI-data'!$H83</f>
        <v>0</v>
      </c>
      <c r="F84">
        <f>'[25]GABM_R03_Terry-data'!$H83</f>
        <v>0</v>
      </c>
      <c r="G84">
        <f>'[26]GABM_R03_SarahAPI-data'!$H83</f>
        <v>0</v>
      </c>
      <c r="H84">
        <f>'[27]GABM_R03_savannah-data'!$H83</f>
        <v>1</v>
      </c>
      <c r="I84">
        <f>'[28]GABM_R03_MitchellAPI-data'!$H83</f>
        <v>1</v>
      </c>
      <c r="J84">
        <f>'[29]GABM_R03_SudipaAPI-data'!$H83</f>
        <v>1</v>
      </c>
      <c r="K84">
        <f>'[30]R03_GABM_run2-data'!$H83</f>
        <v>1</v>
      </c>
      <c r="L84">
        <f t="shared" si="2"/>
        <v>0.4</v>
      </c>
      <c r="N84">
        <f t="shared" si="3"/>
        <v>354.5</v>
      </c>
    </row>
    <row r="85" spans="1:14" x14ac:dyDescent="0.35">
      <c r="A85">
        <v>82</v>
      </c>
      <c r="B85">
        <f>'[21]R03_GABM-data'!$H84</f>
        <v>0</v>
      </c>
      <c r="C85">
        <f>'[22]GABM_R03_RossAPI-data'!$H84</f>
        <v>0</v>
      </c>
      <c r="D85">
        <f>'[23]GABM_R03_RandiAPI-data'!$H84</f>
        <v>0</v>
      </c>
      <c r="E85">
        <f>'[24]GABM_R03_NavidAPI-data'!$H84</f>
        <v>0</v>
      </c>
      <c r="F85">
        <f>'[25]GABM_R03_Terry-data'!$H84</f>
        <v>0</v>
      </c>
      <c r="G85">
        <f>'[26]GABM_R03_SarahAPI-data'!$H84</f>
        <v>0</v>
      </c>
      <c r="H85">
        <f>'[27]GABM_R03_savannah-data'!$H84</f>
        <v>0</v>
      </c>
      <c r="I85">
        <f>'[28]GABM_R03_MitchellAPI-data'!$H84</f>
        <v>1</v>
      </c>
      <c r="J85">
        <f>'[29]GABM_R03_SudipaAPI-data'!$H84</f>
        <v>3</v>
      </c>
      <c r="K85">
        <f>'[30]R03_GABM_run2-data'!$H84</f>
        <v>1</v>
      </c>
      <c r="L85">
        <f t="shared" si="2"/>
        <v>0.5</v>
      </c>
      <c r="N85">
        <f t="shared" si="3"/>
        <v>355</v>
      </c>
    </row>
    <row r="86" spans="1:14" x14ac:dyDescent="0.35">
      <c r="A86">
        <v>83</v>
      </c>
      <c r="B86">
        <f>'[21]R03_GABM-data'!$H85</f>
        <v>0</v>
      </c>
      <c r="C86">
        <f>'[22]GABM_R03_RossAPI-data'!$H85</f>
        <v>0</v>
      </c>
      <c r="D86">
        <f>'[23]GABM_R03_RandiAPI-data'!$H85</f>
        <v>0</v>
      </c>
      <c r="E86">
        <f>'[24]GABM_R03_NavidAPI-data'!$H85</f>
        <v>0</v>
      </c>
      <c r="F86">
        <f>'[25]GABM_R03_Terry-data'!$H85</f>
        <v>0</v>
      </c>
      <c r="G86">
        <f>'[26]GABM_R03_SarahAPI-data'!$H85</f>
        <v>0</v>
      </c>
      <c r="H86">
        <f>'[27]GABM_R03_savannah-data'!$H85</f>
        <v>1</v>
      </c>
      <c r="I86">
        <f>'[28]GABM_R03_MitchellAPI-data'!$H85</f>
        <v>0</v>
      </c>
      <c r="J86">
        <f>'[29]GABM_R03_SudipaAPI-data'!$H85</f>
        <v>3</v>
      </c>
      <c r="K86">
        <f>'[30]R03_GABM_run2-data'!$H85</f>
        <v>1</v>
      </c>
      <c r="L86">
        <f t="shared" si="2"/>
        <v>0.5</v>
      </c>
      <c r="N86">
        <f t="shared" si="3"/>
        <v>355.5</v>
      </c>
    </row>
    <row r="87" spans="1:14" x14ac:dyDescent="0.35">
      <c r="A87">
        <v>84</v>
      </c>
      <c r="B87">
        <f>'[21]R03_GABM-data'!$H86</f>
        <v>0</v>
      </c>
      <c r="C87">
        <f>'[22]GABM_R03_RossAPI-data'!$H86</f>
        <v>0</v>
      </c>
      <c r="D87">
        <f>'[23]GABM_R03_RandiAPI-data'!$H86</f>
        <v>0</v>
      </c>
      <c r="E87">
        <f>'[24]GABM_R03_NavidAPI-data'!$H86</f>
        <v>0</v>
      </c>
      <c r="F87">
        <f>'[25]GABM_R03_Terry-data'!$H86</f>
        <v>0</v>
      </c>
      <c r="G87">
        <f>'[26]GABM_R03_SarahAPI-data'!$H86</f>
        <v>1</v>
      </c>
      <c r="H87">
        <f>'[27]GABM_R03_savannah-data'!$H86</f>
        <v>0</v>
      </c>
      <c r="I87">
        <f>'[28]GABM_R03_MitchellAPI-data'!$H86</f>
        <v>1</v>
      </c>
      <c r="J87">
        <f>'[29]GABM_R03_SudipaAPI-data'!$H86</f>
        <v>1</v>
      </c>
      <c r="K87">
        <f>'[30]R03_GABM_run2-data'!$H86</f>
        <v>1</v>
      </c>
      <c r="L87">
        <f t="shared" si="2"/>
        <v>0.4</v>
      </c>
      <c r="N87">
        <f t="shared" si="3"/>
        <v>355.9</v>
      </c>
    </row>
    <row r="88" spans="1:14" x14ac:dyDescent="0.35">
      <c r="A88">
        <v>85</v>
      </c>
      <c r="B88">
        <f>'[21]R03_GABM-data'!$H87</f>
        <v>0</v>
      </c>
      <c r="C88">
        <f>'[22]GABM_R03_RossAPI-data'!$H87</f>
        <v>0</v>
      </c>
      <c r="D88">
        <f>'[23]GABM_R03_RandiAPI-data'!$H87</f>
        <v>0</v>
      </c>
      <c r="E88">
        <f>'[24]GABM_R03_NavidAPI-data'!$H87</f>
        <v>0</v>
      </c>
      <c r="F88">
        <f>'[25]GABM_R03_Terry-data'!$H87</f>
        <v>0</v>
      </c>
      <c r="G88">
        <f>'[26]GABM_R03_SarahAPI-data'!$H87</f>
        <v>1</v>
      </c>
      <c r="H88">
        <f>'[27]GABM_R03_savannah-data'!$H87</f>
        <v>0</v>
      </c>
      <c r="I88">
        <f>'[28]GABM_R03_MitchellAPI-data'!$H87</f>
        <v>1</v>
      </c>
      <c r="J88">
        <f>'[29]GABM_R03_SudipaAPI-data'!$H87</f>
        <v>1</v>
      </c>
      <c r="K88">
        <f>'[30]R03_GABM_run2-data'!$H87</f>
        <v>1</v>
      </c>
      <c r="L88">
        <f t="shared" si="2"/>
        <v>0.4</v>
      </c>
      <c r="N88">
        <f t="shared" si="3"/>
        <v>356.29999999999995</v>
      </c>
    </row>
    <row r="89" spans="1:14" x14ac:dyDescent="0.35">
      <c r="A89">
        <v>86</v>
      </c>
      <c r="B89">
        <f>'[21]R03_GABM-data'!$H88</f>
        <v>0</v>
      </c>
      <c r="C89">
        <f>'[22]GABM_R03_RossAPI-data'!$H88</f>
        <v>0</v>
      </c>
      <c r="D89">
        <f>'[23]GABM_R03_RandiAPI-data'!$H88</f>
        <v>0</v>
      </c>
      <c r="E89">
        <f>'[24]GABM_R03_NavidAPI-data'!$H88</f>
        <v>0</v>
      </c>
      <c r="F89">
        <f>'[25]GABM_R03_Terry-data'!$H88</f>
        <v>0</v>
      </c>
      <c r="G89">
        <f>'[26]GABM_R03_SarahAPI-data'!$H88</f>
        <v>3</v>
      </c>
      <c r="H89">
        <f>'[27]GABM_R03_savannah-data'!$H88</f>
        <v>0</v>
      </c>
      <c r="I89">
        <f>'[28]GABM_R03_MitchellAPI-data'!$H88</f>
        <v>0</v>
      </c>
      <c r="J89">
        <f>'[29]GABM_R03_SudipaAPI-data'!$H88</f>
        <v>0</v>
      </c>
      <c r="K89">
        <f>'[30]R03_GABM_run2-data'!$H88</f>
        <v>0</v>
      </c>
      <c r="L89">
        <f t="shared" si="2"/>
        <v>0.3</v>
      </c>
      <c r="N89">
        <f t="shared" si="3"/>
        <v>356.59999999999997</v>
      </c>
    </row>
    <row r="90" spans="1:14" x14ac:dyDescent="0.35">
      <c r="A90">
        <v>87</v>
      </c>
      <c r="B90">
        <f>'[21]R03_GABM-data'!$H89</f>
        <v>0</v>
      </c>
      <c r="C90">
        <f>'[22]GABM_R03_RossAPI-data'!$H89</f>
        <v>0</v>
      </c>
      <c r="D90">
        <f>'[23]GABM_R03_RandiAPI-data'!$H89</f>
        <v>0</v>
      </c>
      <c r="E90">
        <f>'[24]GABM_R03_NavidAPI-data'!$H89</f>
        <v>0</v>
      </c>
      <c r="F90">
        <f>'[25]GABM_R03_Terry-data'!$H89</f>
        <v>0</v>
      </c>
      <c r="G90">
        <f>'[26]GABM_R03_SarahAPI-data'!$H89</f>
        <v>2</v>
      </c>
      <c r="H90">
        <f>'[27]GABM_R03_savannah-data'!$H89</f>
        <v>0</v>
      </c>
      <c r="I90">
        <f>'[28]GABM_R03_MitchellAPI-data'!$H89</f>
        <v>2</v>
      </c>
      <c r="J90">
        <f>'[29]GABM_R03_SudipaAPI-data'!$H89</f>
        <v>1</v>
      </c>
      <c r="K90">
        <f>'[30]R03_GABM_run2-data'!$H89</f>
        <v>0</v>
      </c>
      <c r="L90">
        <f t="shared" si="2"/>
        <v>0.5</v>
      </c>
      <c r="N90">
        <f t="shared" si="3"/>
        <v>357.09999999999997</v>
      </c>
    </row>
    <row r="91" spans="1:14" x14ac:dyDescent="0.35">
      <c r="A91">
        <v>88</v>
      </c>
      <c r="B91">
        <f>'[21]R03_GABM-data'!$H90</f>
        <v>0</v>
      </c>
      <c r="C91">
        <f>'[22]GABM_R03_RossAPI-data'!$H90</f>
        <v>0</v>
      </c>
      <c r="D91">
        <f>'[23]GABM_R03_RandiAPI-data'!$H90</f>
        <v>0</v>
      </c>
      <c r="E91">
        <f>'[24]GABM_R03_NavidAPI-data'!$H90</f>
        <v>0</v>
      </c>
      <c r="F91">
        <f>'[25]GABM_R03_Terry-data'!$H90</f>
        <v>0</v>
      </c>
      <c r="G91">
        <f>'[26]GABM_R03_SarahAPI-data'!$H90</f>
        <v>3</v>
      </c>
      <c r="H91">
        <f>'[27]GABM_R03_savannah-data'!$H90</f>
        <v>0</v>
      </c>
      <c r="I91">
        <f>'[28]GABM_R03_MitchellAPI-data'!$H90</f>
        <v>1</v>
      </c>
      <c r="J91">
        <f>'[29]GABM_R03_SudipaAPI-data'!$H90</f>
        <v>1</v>
      </c>
      <c r="K91">
        <f>'[30]R03_GABM_run2-data'!$H90</f>
        <v>0</v>
      </c>
      <c r="L91">
        <f t="shared" si="2"/>
        <v>0.5</v>
      </c>
      <c r="N91">
        <f t="shared" si="3"/>
        <v>357.59999999999997</v>
      </c>
    </row>
    <row r="92" spans="1:14" x14ac:dyDescent="0.35">
      <c r="A92">
        <v>89</v>
      </c>
      <c r="B92">
        <f>'[21]R03_GABM-data'!$H91</f>
        <v>0</v>
      </c>
      <c r="C92">
        <f>'[22]GABM_R03_RossAPI-data'!$H91</f>
        <v>0</v>
      </c>
      <c r="D92">
        <f>'[23]GABM_R03_RandiAPI-data'!$H91</f>
        <v>0</v>
      </c>
      <c r="E92">
        <f>'[24]GABM_R03_NavidAPI-data'!$H91</f>
        <v>0</v>
      </c>
      <c r="F92">
        <f>'[25]GABM_R03_Terry-data'!$H91</f>
        <v>0</v>
      </c>
      <c r="G92">
        <f>'[26]GABM_R03_SarahAPI-data'!$H91</f>
        <v>2</v>
      </c>
      <c r="H92">
        <f>'[27]GABM_R03_savannah-data'!$H91</f>
        <v>0</v>
      </c>
      <c r="I92">
        <f>'[28]GABM_R03_MitchellAPI-data'!$H91</f>
        <v>0</v>
      </c>
      <c r="J92">
        <f>'[29]GABM_R03_SudipaAPI-data'!$H91</f>
        <v>0</v>
      </c>
      <c r="K92">
        <f>'[30]R03_GABM_run2-data'!$H91</f>
        <v>0</v>
      </c>
      <c r="L92">
        <f t="shared" si="2"/>
        <v>0.2</v>
      </c>
      <c r="N92">
        <f t="shared" si="3"/>
        <v>357.79999999999995</v>
      </c>
    </row>
    <row r="93" spans="1:14" x14ac:dyDescent="0.35">
      <c r="A93">
        <v>90</v>
      </c>
      <c r="B93">
        <f>'[21]R03_GABM-data'!$H92</f>
        <v>0</v>
      </c>
      <c r="C93">
        <f>'[22]GABM_R03_RossAPI-data'!$H92</f>
        <v>0</v>
      </c>
      <c r="D93">
        <f>'[23]GABM_R03_RandiAPI-data'!$H92</f>
        <v>0</v>
      </c>
      <c r="E93">
        <f>'[24]GABM_R03_NavidAPI-data'!$H92</f>
        <v>0</v>
      </c>
      <c r="F93">
        <f>'[25]GABM_R03_Terry-data'!$H92</f>
        <v>0</v>
      </c>
      <c r="G93">
        <f>'[26]GABM_R03_SarahAPI-data'!$H92</f>
        <v>0</v>
      </c>
      <c r="H93">
        <f>'[27]GABM_R03_savannah-data'!$H92</f>
        <v>0</v>
      </c>
      <c r="I93">
        <f>'[28]GABM_R03_MitchellAPI-data'!$H92</f>
        <v>8</v>
      </c>
      <c r="J93">
        <f>'[29]GABM_R03_SudipaAPI-data'!$H92</f>
        <v>1</v>
      </c>
      <c r="K93">
        <f>'[30]R03_GABM_run2-data'!$H92</f>
        <v>1</v>
      </c>
      <c r="L93">
        <f t="shared" si="2"/>
        <v>1</v>
      </c>
      <c r="N93">
        <f t="shared" si="3"/>
        <v>358.79999999999995</v>
      </c>
    </row>
    <row r="94" spans="1:14" x14ac:dyDescent="0.35">
      <c r="A94">
        <v>91</v>
      </c>
      <c r="B94">
        <f>'[21]R03_GABM-data'!$H93</f>
        <v>0</v>
      </c>
      <c r="C94">
        <f>'[22]GABM_R03_RossAPI-data'!$H93</f>
        <v>0</v>
      </c>
      <c r="D94">
        <f>'[23]GABM_R03_RandiAPI-data'!$H93</f>
        <v>0</v>
      </c>
      <c r="E94">
        <f>'[24]GABM_R03_NavidAPI-data'!$H93</f>
        <v>0</v>
      </c>
      <c r="F94">
        <f>'[25]GABM_R03_Terry-data'!$H93</f>
        <v>0</v>
      </c>
      <c r="G94">
        <f>'[26]GABM_R03_SarahAPI-data'!$H93</f>
        <v>0</v>
      </c>
      <c r="H94">
        <f>'[27]GABM_R03_savannah-data'!$H93</f>
        <v>0</v>
      </c>
      <c r="I94">
        <f>'[28]GABM_R03_MitchellAPI-data'!$H93</f>
        <v>1</v>
      </c>
      <c r="J94">
        <f>'[29]GABM_R03_SudipaAPI-data'!$H93</f>
        <v>1</v>
      </c>
      <c r="K94">
        <f>'[30]R03_GABM_run2-data'!$H93</f>
        <v>0</v>
      </c>
      <c r="L94">
        <f t="shared" si="2"/>
        <v>0.2</v>
      </c>
      <c r="N94">
        <f t="shared" si="3"/>
        <v>358.99999999999994</v>
      </c>
    </row>
    <row r="95" spans="1:14" x14ac:dyDescent="0.35">
      <c r="A95">
        <v>92</v>
      </c>
      <c r="B95">
        <f>'[21]R03_GABM-data'!$H94</f>
        <v>0</v>
      </c>
      <c r="C95">
        <f>'[22]GABM_R03_RossAPI-data'!$H94</f>
        <v>0</v>
      </c>
      <c r="D95">
        <f>'[23]GABM_R03_RandiAPI-data'!$H94</f>
        <v>0</v>
      </c>
      <c r="E95">
        <f>'[24]GABM_R03_NavidAPI-data'!$H94</f>
        <v>0</v>
      </c>
      <c r="F95">
        <f>'[25]GABM_R03_Terry-data'!$H94</f>
        <v>0</v>
      </c>
      <c r="G95">
        <f>'[26]GABM_R03_SarahAPI-data'!$H94</f>
        <v>0</v>
      </c>
      <c r="H95">
        <f>'[27]GABM_R03_savannah-data'!$H94</f>
        <v>0</v>
      </c>
      <c r="I95">
        <f>'[28]GABM_R03_MitchellAPI-data'!$H94</f>
        <v>2</v>
      </c>
      <c r="J95">
        <f>'[29]GABM_R03_SudipaAPI-data'!$H94</f>
        <v>2</v>
      </c>
      <c r="K95">
        <f>'[30]R03_GABM_run2-data'!$H94</f>
        <v>0</v>
      </c>
      <c r="L95">
        <f t="shared" si="2"/>
        <v>0.4</v>
      </c>
      <c r="N95">
        <f t="shared" si="3"/>
        <v>359.39999999999992</v>
      </c>
    </row>
    <row r="96" spans="1:14" x14ac:dyDescent="0.35">
      <c r="A96">
        <v>93</v>
      </c>
      <c r="B96">
        <f>'[21]R03_GABM-data'!$H95</f>
        <v>0</v>
      </c>
      <c r="C96">
        <f>'[22]GABM_R03_RossAPI-data'!$H95</f>
        <v>0</v>
      </c>
      <c r="D96">
        <f>'[23]GABM_R03_RandiAPI-data'!$H95</f>
        <v>0</v>
      </c>
      <c r="E96">
        <f>'[24]GABM_R03_NavidAPI-data'!$H95</f>
        <v>0</v>
      </c>
      <c r="F96">
        <f>'[25]GABM_R03_Terry-data'!$H95</f>
        <v>0</v>
      </c>
      <c r="G96">
        <f>'[26]GABM_R03_SarahAPI-data'!$H95</f>
        <v>0</v>
      </c>
      <c r="H96">
        <f>'[27]GABM_R03_savannah-data'!$H95</f>
        <v>0</v>
      </c>
      <c r="I96">
        <f>'[28]GABM_R03_MitchellAPI-data'!$H95</f>
        <v>7</v>
      </c>
      <c r="J96">
        <f>'[29]GABM_R03_SudipaAPI-data'!$H95</f>
        <v>1</v>
      </c>
      <c r="K96">
        <f>'[30]R03_GABM_run2-data'!$H95</f>
        <v>0</v>
      </c>
      <c r="L96">
        <f t="shared" si="2"/>
        <v>0.8</v>
      </c>
      <c r="N96">
        <f t="shared" si="3"/>
        <v>360.19999999999993</v>
      </c>
    </row>
    <row r="97" spans="1:14" x14ac:dyDescent="0.35">
      <c r="A97">
        <v>94</v>
      </c>
      <c r="B97">
        <f>'[21]R03_GABM-data'!$H96</f>
        <v>0</v>
      </c>
      <c r="C97">
        <f>'[22]GABM_R03_RossAPI-data'!$H96</f>
        <v>0</v>
      </c>
      <c r="D97">
        <f>'[23]GABM_R03_RandiAPI-data'!$H96</f>
        <v>0</v>
      </c>
      <c r="E97">
        <f>'[24]GABM_R03_NavidAPI-data'!$H96</f>
        <v>0</v>
      </c>
      <c r="F97">
        <f>'[25]GABM_R03_Terry-data'!$H96</f>
        <v>0</v>
      </c>
      <c r="G97">
        <f>'[26]GABM_R03_SarahAPI-data'!$H96</f>
        <v>1</v>
      </c>
      <c r="H97">
        <f>'[27]GABM_R03_savannah-data'!$H96</f>
        <v>0</v>
      </c>
      <c r="I97">
        <f>'[28]GABM_R03_MitchellAPI-data'!$H96</f>
        <v>4</v>
      </c>
      <c r="J97">
        <f>'[29]GABM_R03_SudipaAPI-data'!$H96</f>
        <v>1</v>
      </c>
      <c r="K97">
        <f>'[30]R03_GABM_run2-data'!$H96</f>
        <v>0</v>
      </c>
      <c r="L97">
        <f t="shared" si="2"/>
        <v>0.6</v>
      </c>
      <c r="N97">
        <f t="shared" si="3"/>
        <v>360.79999999999995</v>
      </c>
    </row>
    <row r="98" spans="1:14" x14ac:dyDescent="0.35">
      <c r="A98">
        <v>95</v>
      </c>
      <c r="B98">
        <f>'[21]R03_GABM-data'!$H97</f>
        <v>0</v>
      </c>
      <c r="C98">
        <f>'[22]GABM_R03_RossAPI-data'!$H97</f>
        <v>0</v>
      </c>
      <c r="D98">
        <f>'[23]GABM_R03_RandiAPI-data'!$H97</f>
        <v>0</v>
      </c>
      <c r="E98">
        <f>'[24]GABM_R03_NavidAPI-data'!$H97</f>
        <v>0</v>
      </c>
      <c r="F98">
        <f>'[25]GABM_R03_Terry-data'!$H97</f>
        <v>0</v>
      </c>
      <c r="G98">
        <f>'[26]GABM_R03_SarahAPI-data'!$H97</f>
        <v>3</v>
      </c>
      <c r="H98">
        <f>'[27]GABM_R03_savannah-data'!$H97</f>
        <v>0</v>
      </c>
      <c r="I98">
        <f>'[28]GABM_R03_MitchellAPI-data'!$H97</f>
        <v>2</v>
      </c>
      <c r="J98">
        <f>'[29]GABM_R03_SudipaAPI-data'!$H97</f>
        <v>0</v>
      </c>
      <c r="K98">
        <f>'[30]R03_GABM_run2-data'!$H97</f>
        <v>0</v>
      </c>
      <c r="L98">
        <f t="shared" si="2"/>
        <v>0.5</v>
      </c>
      <c r="N98">
        <f t="shared" si="3"/>
        <v>361.29999999999995</v>
      </c>
    </row>
    <row r="99" spans="1:14" x14ac:dyDescent="0.35">
      <c r="A99">
        <v>96</v>
      </c>
      <c r="B99">
        <f>'[21]R03_GABM-data'!$H98</f>
        <v>0</v>
      </c>
      <c r="C99">
        <f>'[22]GABM_R03_RossAPI-data'!$H98</f>
        <v>0</v>
      </c>
      <c r="D99">
        <f>'[23]GABM_R03_RandiAPI-data'!$H98</f>
        <v>0</v>
      </c>
      <c r="E99">
        <f>'[24]GABM_R03_NavidAPI-data'!$H98</f>
        <v>0</v>
      </c>
      <c r="F99">
        <f>'[25]GABM_R03_Terry-data'!$H98</f>
        <v>0</v>
      </c>
      <c r="G99">
        <f>'[26]GABM_R03_SarahAPI-data'!$H98</f>
        <v>2</v>
      </c>
      <c r="H99">
        <f>'[27]GABM_R03_savannah-data'!$H98</f>
        <v>0</v>
      </c>
      <c r="I99">
        <f>'[28]GABM_R03_MitchellAPI-data'!$H98</f>
        <v>1</v>
      </c>
      <c r="J99">
        <f>'[29]GABM_R03_SudipaAPI-data'!$H98</f>
        <v>0</v>
      </c>
      <c r="K99">
        <f>'[30]R03_GABM_run2-data'!$H98</f>
        <v>0</v>
      </c>
      <c r="L99">
        <f t="shared" si="2"/>
        <v>0.3</v>
      </c>
      <c r="N99">
        <f t="shared" si="3"/>
        <v>361.59999999999997</v>
      </c>
    </row>
    <row r="100" spans="1:14" x14ac:dyDescent="0.35">
      <c r="A100">
        <v>97</v>
      </c>
      <c r="B100">
        <f>'[21]R03_GABM-data'!$H99</f>
        <v>0</v>
      </c>
      <c r="C100">
        <f>'[22]GABM_R03_RossAPI-data'!$H99</f>
        <v>0</v>
      </c>
      <c r="D100">
        <f>'[23]GABM_R03_RandiAPI-data'!$H99</f>
        <v>0</v>
      </c>
      <c r="E100">
        <f>'[24]GABM_R03_NavidAPI-data'!$H99</f>
        <v>0</v>
      </c>
      <c r="F100">
        <f>'[25]GABM_R03_Terry-data'!$H99</f>
        <v>0</v>
      </c>
      <c r="G100">
        <f>'[26]GABM_R03_SarahAPI-data'!$H99</f>
        <v>3</v>
      </c>
      <c r="H100">
        <f>'[27]GABM_R03_savannah-data'!$H99</f>
        <v>0</v>
      </c>
      <c r="I100">
        <f>'[28]GABM_R03_MitchellAPI-data'!$H99</f>
        <v>4</v>
      </c>
      <c r="J100">
        <f>'[29]GABM_R03_SudipaAPI-data'!$H99</f>
        <v>0</v>
      </c>
      <c r="K100">
        <f>'[30]R03_GABM_run2-data'!$H99</f>
        <v>0</v>
      </c>
      <c r="L100">
        <f t="shared" si="2"/>
        <v>0.7</v>
      </c>
      <c r="N100">
        <f t="shared" si="3"/>
        <v>362.29999999999995</v>
      </c>
    </row>
    <row r="101" spans="1:14" x14ac:dyDescent="0.35">
      <c r="A101">
        <v>98</v>
      </c>
      <c r="B101">
        <f>'[21]R03_GABM-data'!$H100</f>
        <v>0</v>
      </c>
      <c r="C101">
        <f>'[22]GABM_R03_RossAPI-data'!$H100</f>
        <v>0</v>
      </c>
      <c r="D101">
        <f>'[23]GABM_R03_RandiAPI-data'!$H100</f>
        <v>0</v>
      </c>
      <c r="E101">
        <f>'[24]GABM_R03_NavidAPI-data'!$H100</f>
        <v>0</v>
      </c>
      <c r="F101">
        <f>'[25]GABM_R03_Terry-data'!$H100</f>
        <v>0</v>
      </c>
      <c r="G101">
        <f>'[26]GABM_R03_SarahAPI-data'!$H100</f>
        <v>0</v>
      </c>
      <c r="H101">
        <f>'[27]GABM_R03_savannah-data'!$H100</f>
        <v>0</v>
      </c>
      <c r="I101">
        <f>'[28]GABM_R03_MitchellAPI-data'!$H100</f>
        <v>1</v>
      </c>
      <c r="J101">
        <f>'[29]GABM_R03_SudipaAPI-data'!$H100</f>
        <v>0</v>
      </c>
      <c r="K101">
        <f>'[30]R03_GABM_run2-data'!$H100</f>
        <v>0</v>
      </c>
      <c r="L101">
        <f t="shared" si="2"/>
        <v>0.1</v>
      </c>
      <c r="N101">
        <f t="shared" si="3"/>
        <v>362.4</v>
      </c>
    </row>
    <row r="102" spans="1:14" x14ac:dyDescent="0.35">
      <c r="A102">
        <v>99</v>
      </c>
      <c r="B102">
        <f>'[21]R03_GABM-data'!$H101</f>
        <v>0</v>
      </c>
      <c r="C102">
        <f>'[22]GABM_R03_RossAPI-data'!$H101</f>
        <v>0</v>
      </c>
      <c r="D102">
        <f>'[23]GABM_R03_RandiAPI-data'!$H101</f>
        <v>0</v>
      </c>
      <c r="E102">
        <f>'[24]GABM_R03_NavidAPI-data'!$H101</f>
        <v>0</v>
      </c>
      <c r="F102">
        <f>'[25]GABM_R03_Terry-data'!$H101</f>
        <v>0</v>
      </c>
      <c r="G102">
        <f>'[26]GABM_R03_SarahAPI-data'!$H101</f>
        <v>0</v>
      </c>
      <c r="H102">
        <f>'[27]GABM_R03_savannah-data'!$H101</f>
        <v>0</v>
      </c>
      <c r="I102">
        <f>'[28]GABM_R03_MitchellAPI-data'!$H101</f>
        <v>2</v>
      </c>
      <c r="J102">
        <f>'[29]GABM_R03_SudipaAPI-data'!$H101</f>
        <v>2</v>
      </c>
      <c r="K102">
        <f>'[30]R03_GABM_run2-data'!$H101</f>
        <v>0</v>
      </c>
      <c r="L102">
        <f t="shared" si="2"/>
        <v>0.4</v>
      </c>
      <c r="N102">
        <f t="shared" si="3"/>
        <v>362.79999999999995</v>
      </c>
    </row>
    <row r="103" spans="1:14" x14ac:dyDescent="0.35">
      <c r="A103">
        <v>100</v>
      </c>
      <c r="B103">
        <f>'[21]R03_GABM-data'!$H102</f>
        <v>0</v>
      </c>
      <c r="C103">
        <f>'[22]GABM_R03_RossAPI-data'!$H102</f>
        <v>0</v>
      </c>
      <c r="D103">
        <f>'[23]GABM_R03_RandiAPI-data'!$H102</f>
        <v>0</v>
      </c>
      <c r="E103">
        <f>'[24]GABM_R03_NavidAPI-data'!$H102</f>
        <v>0</v>
      </c>
      <c r="F103">
        <f>'[25]GABM_R03_Terry-data'!$H102</f>
        <v>0</v>
      </c>
      <c r="G103">
        <f>'[26]GABM_R03_SarahAPI-data'!$H102</f>
        <v>0</v>
      </c>
      <c r="H103">
        <f>'[27]GABM_R03_savannah-data'!$H102</f>
        <v>0</v>
      </c>
      <c r="I103">
        <f>'[28]GABM_R03_MitchellAPI-data'!$H102</f>
        <v>1</v>
      </c>
      <c r="J103">
        <f>'[29]GABM_R03_SudipaAPI-data'!$H102</f>
        <v>1</v>
      </c>
      <c r="K103">
        <f>'[30]R03_GABM_run2-data'!$H102</f>
        <v>0</v>
      </c>
      <c r="L103">
        <f t="shared" si="2"/>
        <v>0.2</v>
      </c>
      <c r="N103">
        <f t="shared" si="3"/>
        <v>362.99999999999994</v>
      </c>
    </row>
    <row r="104" spans="1:14" x14ac:dyDescent="0.35">
      <c r="A104">
        <v>101</v>
      </c>
      <c r="B104">
        <f>'[21]R03_GABM-data'!$H103</f>
        <v>0</v>
      </c>
      <c r="C104">
        <f>'[22]GABM_R03_RossAPI-data'!$H103</f>
        <v>0</v>
      </c>
      <c r="D104">
        <f>'[23]GABM_R03_RandiAPI-data'!$H103</f>
        <v>0</v>
      </c>
      <c r="E104">
        <f>'[24]GABM_R03_NavidAPI-data'!$H103</f>
        <v>0</v>
      </c>
      <c r="F104">
        <f>'[25]GABM_R03_Terry-data'!$H103</f>
        <v>0</v>
      </c>
      <c r="G104">
        <f>'[26]GABM_R03_SarahAPI-data'!$H103</f>
        <v>0</v>
      </c>
      <c r="H104">
        <f>'[27]GABM_R03_savannah-data'!$H103</f>
        <v>0</v>
      </c>
      <c r="I104">
        <f>'[28]GABM_R03_MitchellAPI-data'!$H103</f>
        <v>0</v>
      </c>
      <c r="J104">
        <f>'[29]GABM_R03_SudipaAPI-data'!$H103</f>
        <v>0</v>
      </c>
      <c r="K104">
        <f>'[30]R03_GABM_run2-data'!$H103</f>
        <v>0</v>
      </c>
      <c r="L104">
        <f t="shared" si="2"/>
        <v>0</v>
      </c>
      <c r="N104">
        <f t="shared" si="3"/>
        <v>362.99999999999994</v>
      </c>
    </row>
    <row r="105" spans="1:14" x14ac:dyDescent="0.35">
      <c r="A105">
        <v>102</v>
      </c>
      <c r="B105">
        <f>'[21]R03_GABM-data'!$H104</f>
        <v>0</v>
      </c>
      <c r="C105">
        <f>'[22]GABM_R03_RossAPI-data'!$H104</f>
        <v>0</v>
      </c>
      <c r="D105">
        <f>'[23]GABM_R03_RandiAPI-data'!$H104</f>
        <v>0</v>
      </c>
      <c r="E105">
        <f>'[24]GABM_R03_NavidAPI-data'!$H104</f>
        <v>0</v>
      </c>
      <c r="F105">
        <f>'[25]GABM_R03_Terry-data'!$H104</f>
        <v>0</v>
      </c>
      <c r="G105">
        <f>'[26]GABM_R03_SarahAPI-data'!$H104</f>
        <v>2</v>
      </c>
      <c r="H105">
        <f>'[27]GABM_R03_savannah-data'!$H104</f>
        <v>0</v>
      </c>
      <c r="I105">
        <f>'[28]GABM_R03_MitchellAPI-data'!$H104</f>
        <v>0</v>
      </c>
      <c r="J105">
        <f>'[29]GABM_R03_SudipaAPI-data'!$H104</f>
        <v>0</v>
      </c>
      <c r="K105">
        <f>'[30]R03_GABM_run2-data'!$H104</f>
        <v>0</v>
      </c>
      <c r="L105">
        <f t="shared" si="2"/>
        <v>0.2</v>
      </c>
      <c r="N105">
        <f t="shared" si="3"/>
        <v>363.19999999999993</v>
      </c>
    </row>
    <row r="106" spans="1:14" x14ac:dyDescent="0.35">
      <c r="A106">
        <v>103</v>
      </c>
      <c r="B106">
        <f>'[21]R03_GABM-data'!$H105</f>
        <v>0</v>
      </c>
      <c r="C106">
        <f>'[22]GABM_R03_RossAPI-data'!$H105</f>
        <v>0</v>
      </c>
      <c r="D106">
        <f>'[23]GABM_R03_RandiAPI-data'!$H105</f>
        <v>0</v>
      </c>
      <c r="E106">
        <f>'[24]GABM_R03_NavidAPI-data'!$H105</f>
        <v>0</v>
      </c>
      <c r="F106">
        <f>'[25]GABM_R03_Terry-data'!$H105</f>
        <v>0</v>
      </c>
      <c r="G106">
        <f>'[26]GABM_R03_SarahAPI-data'!$H105</f>
        <v>1</v>
      </c>
      <c r="H106">
        <f>'[27]GABM_R03_savannah-data'!$H105</f>
        <v>0</v>
      </c>
      <c r="I106">
        <f>'[28]GABM_R03_MitchellAPI-data'!$H105</f>
        <v>0</v>
      </c>
      <c r="J106">
        <f>'[29]GABM_R03_SudipaAPI-data'!$H105</f>
        <v>0</v>
      </c>
      <c r="K106">
        <f>'[30]R03_GABM_run2-data'!$H105</f>
        <v>0</v>
      </c>
      <c r="L106">
        <f t="shared" si="2"/>
        <v>0.1</v>
      </c>
      <c r="N106">
        <f t="shared" si="3"/>
        <v>363.29999999999995</v>
      </c>
    </row>
    <row r="107" spans="1:14" x14ac:dyDescent="0.35">
      <c r="A107">
        <v>104</v>
      </c>
      <c r="B107">
        <f>'[21]R03_GABM-data'!$H106</f>
        <v>0</v>
      </c>
      <c r="C107">
        <f>'[22]GABM_R03_RossAPI-data'!$H106</f>
        <v>0</v>
      </c>
      <c r="D107">
        <f>'[23]GABM_R03_RandiAPI-data'!$H106</f>
        <v>0</v>
      </c>
      <c r="E107">
        <f>'[24]GABM_R03_NavidAPI-data'!$H106</f>
        <v>0</v>
      </c>
      <c r="F107">
        <f>'[25]GABM_R03_Terry-data'!$H106</f>
        <v>0</v>
      </c>
      <c r="G107">
        <f>'[26]GABM_R03_SarahAPI-data'!$H106</f>
        <v>1</v>
      </c>
      <c r="H107">
        <f>'[27]GABM_R03_savannah-data'!$H106</f>
        <v>0</v>
      </c>
      <c r="I107">
        <f>'[28]GABM_R03_MitchellAPI-data'!$H106</f>
        <v>0</v>
      </c>
      <c r="J107">
        <f>'[29]GABM_R03_SudipaAPI-data'!$H106</f>
        <v>0</v>
      </c>
      <c r="K107">
        <f>'[30]R03_GABM_run2-data'!$H106</f>
        <v>0</v>
      </c>
      <c r="L107">
        <f t="shared" si="2"/>
        <v>0.1</v>
      </c>
      <c r="N107">
        <f t="shared" si="3"/>
        <v>363.4</v>
      </c>
    </row>
    <row r="108" spans="1:14" x14ac:dyDescent="0.35">
      <c r="A108">
        <v>105</v>
      </c>
      <c r="B108">
        <f>'[21]R03_GABM-data'!$H107</f>
        <v>0</v>
      </c>
      <c r="C108">
        <f>'[22]GABM_R03_RossAPI-data'!$H107</f>
        <v>0</v>
      </c>
      <c r="D108">
        <f>'[23]GABM_R03_RandiAPI-data'!$H107</f>
        <v>0</v>
      </c>
      <c r="E108">
        <f>'[24]GABM_R03_NavidAPI-data'!$H107</f>
        <v>0</v>
      </c>
      <c r="F108">
        <f>'[25]GABM_R03_Terry-data'!$H107</f>
        <v>0</v>
      </c>
      <c r="G108">
        <f>'[26]GABM_R03_SarahAPI-data'!$H107</f>
        <v>1</v>
      </c>
      <c r="H108">
        <f>'[27]GABM_R03_savannah-data'!$H107</f>
        <v>0</v>
      </c>
      <c r="I108">
        <f>'[28]GABM_R03_MitchellAPI-data'!$H107</f>
        <v>2</v>
      </c>
      <c r="J108">
        <f>'[29]GABM_R03_SudipaAPI-data'!$H107</f>
        <v>2</v>
      </c>
      <c r="K108">
        <f>'[30]R03_GABM_run2-data'!$H107</f>
        <v>0</v>
      </c>
      <c r="L108">
        <f t="shared" si="2"/>
        <v>0.5</v>
      </c>
      <c r="N108">
        <f t="shared" si="3"/>
        <v>363.9</v>
      </c>
    </row>
    <row r="109" spans="1:14" x14ac:dyDescent="0.35">
      <c r="A109">
        <v>106</v>
      </c>
      <c r="B109">
        <f>'[21]R03_GABM-data'!$H108</f>
        <v>0</v>
      </c>
      <c r="C109">
        <f>'[22]GABM_R03_RossAPI-data'!$H108</f>
        <v>0</v>
      </c>
      <c r="D109">
        <f>'[23]GABM_R03_RandiAPI-data'!$H108</f>
        <v>0</v>
      </c>
      <c r="E109">
        <f>'[24]GABM_R03_NavidAPI-data'!$H108</f>
        <v>0</v>
      </c>
      <c r="F109">
        <f>'[25]GABM_R03_Terry-data'!$H108</f>
        <v>0</v>
      </c>
      <c r="G109">
        <f>'[26]GABM_R03_SarahAPI-data'!$H108</f>
        <v>1</v>
      </c>
      <c r="H109">
        <f>'[27]GABM_R03_savannah-data'!$H108</f>
        <v>0</v>
      </c>
      <c r="I109">
        <f>'[28]GABM_R03_MitchellAPI-data'!$H108</f>
        <v>1</v>
      </c>
      <c r="J109">
        <f>'[29]GABM_R03_SudipaAPI-data'!$H108</f>
        <v>1</v>
      </c>
      <c r="K109">
        <f>'[30]R03_GABM_run2-data'!$H108</f>
        <v>0</v>
      </c>
      <c r="L109">
        <f t="shared" si="2"/>
        <v>0.3</v>
      </c>
      <c r="N109">
        <f t="shared" si="3"/>
        <v>364.2</v>
      </c>
    </row>
    <row r="110" spans="1:14" x14ac:dyDescent="0.35">
      <c r="A110">
        <v>107</v>
      </c>
      <c r="B110">
        <f>'[21]R03_GABM-data'!$H109</f>
        <v>0</v>
      </c>
      <c r="C110">
        <f>'[22]GABM_R03_RossAPI-data'!$H109</f>
        <v>0</v>
      </c>
      <c r="D110">
        <f>'[23]GABM_R03_RandiAPI-data'!$H109</f>
        <v>0</v>
      </c>
      <c r="E110">
        <f>'[24]GABM_R03_NavidAPI-data'!$H109</f>
        <v>0</v>
      </c>
      <c r="F110">
        <f>'[25]GABM_R03_Terry-data'!$H109</f>
        <v>0</v>
      </c>
      <c r="G110">
        <f>'[26]GABM_R03_SarahAPI-data'!$H109</f>
        <v>1</v>
      </c>
      <c r="H110">
        <f>'[27]GABM_R03_savannah-data'!$H109</f>
        <v>0</v>
      </c>
      <c r="I110">
        <f>'[28]GABM_R03_MitchellAPI-data'!$H109</f>
        <v>1</v>
      </c>
      <c r="J110">
        <f>'[29]GABM_R03_SudipaAPI-data'!$H109</f>
        <v>0</v>
      </c>
      <c r="K110">
        <f>'[30]R03_GABM_run2-data'!$H109</f>
        <v>0</v>
      </c>
      <c r="L110">
        <f t="shared" si="2"/>
        <v>0.2</v>
      </c>
      <c r="N110">
        <f t="shared" si="3"/>
        <v>364.4</v>
      </c>
    </row>
    <row r="111" spans="1:14" x14ac:dyDescent="0.35">
      <c r="A111">
        <v>108</v>
      </c>
      <c r="B111">
        <f>'[21]R03_GABM-data'!$H110</f>
        <v>0</v>
      </c>
      <c r="C111">
        <f>'[22]GABM_R03_RossAPI-data'!$H110</f>
        <v>0</v>
      </c>
      <c r="D111">
        <f>'[23]GABM_R03_RandiAPI-data'!$H110</f>
        <v>0</v>
      </c>
      <c r="E111">
        <f>'[24]GABM_R03_NavidAPI-data'!$H110</f>
        <v>0</v>
      </c>
      <c r="F111">
        <f>'[25]GABM_R03_Terry-data'!$H110</f>
        <v>0</v>
      </c>
      <c r="G111">
        <f>'[26]GABM_R03_SarahAPI-data'!$H110</f>
        <v>1</v>
      </c>
      <c r="H111">
        <f>'[27]GABM_R03_savannah-data'!$H110</f>
        <v>0</v>
      </c>
      <c r="I111">
        <f>'[28]GABM_R03_MitchellAPI-data'!$H110</f>
        <v>1</v>
      </c>
      <c r="J111">
        <f>'[29]GABM_R03_SudipaAPI-data'!$H110</f>
        <v>3</v>
      </c>
      <c r="K111">
        <f>'[30]R03_GABM_run2-data'!$H110</f>
        <v>0</v>
      </c>
      <c r="L111">
        <f t="shared" si="2"/>
        <v>0.5</v>
      </c>
      <c r="N111">
        <f t="shared" si="3"/>
        <v>364.9</v>
      </c>
    </row>
    <row r="112" spans="1:14" x14ac:dyDescent="0.35">
      <c r="A112">
        <v>109</v>
      </c>
      <c r="B112">
        <f>'[21]R03_GABM-data'!$H111</f>
        <v>0</v>
      </c>
      <c r="C112">
        <f>'[22]GABM_R03_RossAPI-data'!$H111</f>
        <v>0</v>
      </c>
      <c r="D112">
        <f>'[23]GABM_R03_RandiAPI-data'!$H111</f>
        <v>0</v>
      </c>
      <c r="E112">
        <f>'[24]GABM_R03_NavidAPI-data'!$H111</f>
        <v>0</v>
      </c>
      <c r="F112">
        <f>'[25]GABM_R03_Terry-data'!$H111</f>
        <v>0</v>
      </c>
      <c r="G112">
        <f>'[26]GABM_R03_SarahAPI-data'!$H111</f>
        <v>4</v>
      </c>
      <c r="H112">
        <f>'[27]GABM_R03_savannah-data'!$H111</f>
        <v>0</v>
      </c>
      <c r="I112">
        <f>'[28]GABM_R03_MitchellAPI-data'!$H111</f>
        <v>1</v>
      </c>
      <c r="J112">
        <f>'[29]GABM_R03_SudipaAPI-data'!$H111</f>
        <v>1</v>
      </c>
      <c r="K112">
        <f>'[30]R03_GABM_run2-data'!$H111</f>
        <v>0</v>
      </c>
      <c r="L112">
        <f t="shared" si="2"/>
        <v>0.6</v>
      </c>
      <c r="N112">
        <f t="shared" si="3"/>
        <v>365.5</v>
      </c>
    </row>
    <row r="113" spans="1:14" x14ac:dyDescent="0.35">
      <c r="A113">
        <v>110</v>
      </c>
      <c r="B113">
        <f>'[21]R03_GABM-data'!$H112</f>
        <v>0</v>
      </c>
      <c r="C113">
        <f>'[22]GABM_R03_RossAPI-data'!$H112</f>
        <v>0</v>
      </c>
      <c r="D113">
        <f>'[23]GABM_R03_RandiAPI-data'!$H112</f>
        <v>0</v>
      </c>
      <c r="E113">
        <f>'[24]GABM_R03_NavidAPI-data'!$H112</f>
        <v>0</v>
      </c>
      <c r="F113">
        <f>'[25]GABM_R03_Terry-data'!$H112</f>
        <v>0</v>
      </c>
      <c r="G113">
        <f>'[26]GABM_R03_SarahAPI-data'!$H112</f>
        <v>3</v>
      </c>
      <c r="H113">
        <f>'[27]GABM_R03_savannah-data'!$H112</f>
        <v>0</v>
      </c>
      <c r="I113">
        <f>'[28]GABM_R03_MitchellAPI-data'!$H112</f>
        <v>0</v>
      </c>
      <c r="J113">
        <f>'[29]GABM_R03_SudipaAPI-data'!$H112</f>
        <v>0</v>
      </c>
      <c r="K113">
        <f>'[30]R03_GABM_run2-data'!$H112</f>
        <v>0</v>
      </c>
      <c r="L113">
        <f t="shared" si="2"/>
        <v>0.3</v>
      </c>
      <c r="N113">
        <f t="shared" si="3"/>
        <v>365.8</v>
      </c>
    </row>
    <row r="114" spans="1:14" x14ac:dyDescent="0.35">
      <c r="A114">
        <v>111</v>
      </c>
      <c r="B114">
        <f>'[21]R03_GABM-data'!$H113</f>
        <v>0</v>
      </c>
      <c r="C114">
        <f>'[22]GABM_R03_RossAPI-data'!$H113</f>
        <v>0</v>
      </c>
      <c r="D114">
        <f>'[23]GABM_R03_RandiAPI-data'!$H113</f>
        <v>0</v>
      </c>
      <c r="E114">
        <f>'[24]GABM_R03_NavidAPI-data'!$H113</f>
        <v>0</v>
      </c>
      <c r="F114">
        <f>'[25]GABM_R03_Terry-data'!$H113</f>
        <v>0</v>
      </c>
      <c r="G114">
        <f>'[26]GABM_R03_SarahAPI-data'!$H113</f>
        <v>2</v>
      </c>
      <c r="H114">
        <f>'[27]GABM_R03_savannah-data'!$H113</f>
        <v>0</v>
      </c>
      <c r="I114">
        <f>'[28]GABM_R03_MitchellAPI-data'!$H113</f>
        <v>0</v>
      </c>
      <c r="J114">
        <f>'[29]GABM_R03_SudipaAPI-data'!$H113</f>
        <v>2</v>
      </c>
      <c r="K114">
        <f>'[30]R03_GABM_run2-data'!$H113</f>
        <v>0</v>
      </c>
      <c r="L114">
        <f t="shared" si="2"/>
        <v>0.4</v>
      </c>
      <c r="N114">
        <f t="shared" si="3"/>
        <v>366.2</v>
      </c>
    </row>
    <row r="115" spans="1:14" x14ac:dyDescent="0.35">
      <c r="A115">
        <v>112</v>
      </c>
      <c r="B115">
        <f>'[21]R03_GABM-data'!$H114</f>
        <v>0</v>
      </c>
      <c r="C115">
        <f>'[22]GABM_R03_RossAPI-data'!$H114</f>
        <v>0</v>
      </c>
      <c r="D115">
        <f>'[23]GABM_R03_RandiAPI-data'!$H114</f>
        <v>0</v>
      </c>
      <c r="E115">
        <f>'[24]GABM_R03_NavidAPI-data'!$H114</f>
        <v>0</v>
      </c>
      <c r="F115">
        <f>'[25]GABM_R03_Terry-data'!$H114</f>
        <v>0</v>
      </c>
      <c r="G115">
        <f>'[26]GABM_R03_SarahAPI-data'!$H114</f>
        <v>4</v>
      </c>
      <c r="H115">
        <f>'[27]GABM_R03_savannah-data'!$H114</f>
        <v>0</v>
      </c>
      <c r="I115">
        <f>'[28]GABM_R03_MitchellAPI-data'!$H114</f>
        <v>0</v>
      </c>
      <c r="J115">
        <f>'[29]GABM_R03_SudipaAPI-data'!$H114</f>
        <v>2</v>
      </c>
      <c r="K115">
        <f>'[30]R03_GABM_run2-data'!$H114</f>
        <v>0</v>
      </c>
      <c r="L115">
        <f t="shared" si="2"/>
        <v>0.6</v>
      </c>
      <c r="N115">
        <f t="shared" si="3"/>
        <v>366.8</v>
      </c>
    </row>
    <row r="116" spans="1:14" x14ac:dyDescent="0.35">
      <c r="A116">
        <v>113</v>
      </c>
      <c r="B116">
        <f>'[21]R03_GABM-data'!$H115</f>
        <v>0</v>
      </c>
      <c r="C116">
        <f>'[22]GABM_R03_RossAPI-data'!$H115</f>
        <v>0</v>
      </c>
      <c r="D116">
        <f>'[23]GABM_R03_RandiAPI-data'!$H115</f>
        <v>0</v>
      </c>
      <c r="E116">
        <f>'[24]GABM_R03_NavidAPI-data'!$H115</f>
        <v>0</v>
      </c>
      <c r="F116">
        <f>'[25]GABM_R03_Terry-data'!$H115</f>
        <v>0</v>
      </c>
      <c r="G116">
        <f>'[26]GABM_R03_SarahAPI-data'!$H115</f>
        <v>5</v>
      </c>
      <c r="H116">
        <f>'[27]GABM_R03_savannah-data'!$H115</f>
        <v>0</v>
      </c>
      <c r="I116">
        <f>'[28]GABM_R03_MitchellAPI-data'!$H115</f>
        <v>0</v>
      </c>
      <c r="J116">
        <f>'[29]GABM_R03_SudipaAPI-data'!$H115</f>
        <v>1</v>
      </c>
      <c r="K116">
        <f>'[30]R03_GABM_run2-data'!$H115</f>
        <v>0</v>
      </c>
      <c r="L116">
        <f t="shared" si="2"/>
        <v>0.6</v>
      </c>
      <c r="N116">
        <f t="shared" si="3"/>
        <v>367.40000000000003</v>
      </c>
    </row>
    <row r="117" spans="1:14" x14ac:dyDescent="0.35">
      <c r="A117">
        <v>114</v>
      </c>
      <c r="B117">
        <f>'[21]R03_GABM-data'!$H116</f>
        <v>0</v>
      </c>
      <c r="C117">
        <f>'[22]GABM_R03_RossAPI-data'!$H116</f>
        <v>0</v>
      </c>
      <c r="D117">
        <f>'[23]GABM_R03_RandiAPI-data'!$H116</f>
        <v>0</v>
      </c>
      <c r="E117">
        <f>'[24]GABM_R03_NavidAPI-data'!$H116</f>
        <v>0</v>
      </c>
      <c r="F117">
        <f>'[25]GABM_R03_Terry-data'!$H116</f>
        <v>0</v>
      </c>
      <c r="G117">
        <f>'[26]GABM_R03_SarahAPI-data'!$H116</f>
        <v>2</v>
      </c>
      <c r="H117">
        <f>'[27]GABM_R03_savannah-data'!$H116</f>
        <v>0</v>
      </c>
      <c r="I117">
        <f>'[28]GABM_R03_MitchellAPI-data'!$H116</f>
        <v>0</v>
      </c>
      <c r="J117">
        <f>'[29]GABM_R03_SudipaAPI-data'!$H116</f>
        <v>9</v>
      </c>
      <c r="K117">
        <f>'[30]R03_GABM_run2-data'!$H116</f>
        <v>0</v>
      </c>
      <c r="L117">
        <f t="shared" si="2"/>
        <v>1.1000000000000001</v>
      </c>
      <c r="N117">
        <f t="shared" si="3"/>
        <v>368.50000000000006</v>
      </c>
    </row>
    <row r="118" spans="1:14" x14ac:dyDescent="0.35">
      <c r="A118">
        <v>115</v>
      </c>
      <c r="B118">
        <f>'[21]R03_GABM-data'!$H117</f>
        <v>0</v>
      </c>
      <c r="C118">
        <f>'[22]GABM_R03_RossAPI-data'!$H117</f>
        <v>0</v>
      </c>
      <c r="D118">
        <f>'[23]GABM_R03_RandiAPI-data'!$H117</f>
        <v>0</v>
      </c>
      <c r="E118">
        <f>'[24]GABM_R03_NavidAPI-data'!$H117</f>
        <v>0</v>
      </c>
      <c r="F118">
        <f>'[25]GABM_R03_Terry-data'!$H117</f>
        <v>0</v>
      </c>
      <c r="G118">
        <f>'[26]GABM_R03_SarahAPI-data'!$H117</f>
        <v>4</v>
      </c>
      <c r="H118">
        <f>'[27]GABM_R03_savannah-data'!$H117</f>
        <v>0</v>
      </c>
      <c r="I118">
        <f>'[28]GABM_R03_MitchellAPI-data'!$H117</f>
        <v>0</v>
      </c>
      <c r="J118">
        <f>'[29]GABM_R03_SudipaAPI-data'!$H117</f>
        <v>2</v>
      </c>
      <c r="K118">
        <f>'[30]R03_GABM_run2-data'!$H117</f>
        <v>0</v>
      </c>
      <c r="L118">
        <f t="shared" si="2"/>
        <v>0.6</v>
      </c>
      <c r="N118">
        <f t="shared" si="3"/>
        <v>369.10000000000008</v>
      </c>
    </row>
    <row r="119" spans="1:14" x14ac:dyDescent="0.35">
      <c r="A119">
        <v>116</v>
      </c>
      <c r="B119">
        <f>'[21]R03_GABM-data'!$H118</f>
        <v>0</v>
      </c>
      <c r="C119">
        <f>'[22]GABM_R03_RossAPI-data'!$H118</f>
        <v>0</v>
      </c>
      <c r="D119">
        <f>'[23]GABM_R03_RandiAPI-data'!$H118</f>
        <v>0</v>
      </c>
      <c r="E119">
        <f>'[24]GABM_R03_NavidAPI-data'!$H118</f>
        <v>0</v>
      </c>
      <c r="F119">
        <f>'[25]GABM_R03_Terry-data'!$H118</f>
        <v>0</v>
      </c>
      <c r="G119">
        <f>'[26]GABM_R03_SarahAPI-data'!$H118</f>
        <v>2</v>
      </c>
      <c r="H119">
        <f>'[27]GABM_R03_savannah-data'!$H118</f>
        <v>0</v>
      </c>
      <c r="I119">
        <f>'[28]GABM_R03_MitchellAPI-data'!$H118</f>
        <v>0</v>
      </c>
      <c r="J119">
        <f>'[29]GABM_R03_SudipaAPI-data'!$H118</f>
        <v>2</v>
      </c>
      <c r="K119">
        <f>'[30]R03_GABM_run2-data'!$H118</f>
        <v>0</v>
      </c>
      <c r="L119">
        <f t="shared" si="2"/>
        <v>0.4</v>
      </c>
      <c r="N119">
        <f t="shared" si="3"/>
        <v>369.50000000000006</v>
      </c>
    </row>
    <row r="120" spans="1:14" x14ac:dyDescent="0.35">
      <c r="A120">
        <v>117</v>
      </c>
      <c r="B120">
        <f>'[21]R03_GABM-data'!$H119</f>
        <v>0</v>
      </c>
      <c r="C120">
        <f>'[22]GABM_R03_RossAPI-data'!$H119</f>
        <v>0</v>
      </c>
      <c r="D120">
        <f>'[23]GABM_R03_RandiAPI-data'!$H119</f>
        <v>0</v>
      </c>
      <c r="E120">
        <f>'[24]GABM_R03_NavidAPI-data'!$H119</f>
        <v>0</v>
      </c>
      <c r="F120">
        <f>'[25]GABM_R03_Terry-data'!$H119</f>
        <v>0</v>
      </c>
      <c r="G120">
        <f>'[26]GABM_R03_SarahAPI-data'!$H119</f>
        <v>1</v>
      </c>
      <c r="H120">
        <f>'[27]GABM_R03_savannah-data'!$H119</f>
        <v>0</v>
      </c>
      <c r="I120">
        <f>'[28]GABM_R03_MitchellAPI-data'!$H119</f>
        <v>0</v>
      </c>
      <c r="J120">
        <f>'[29]GABM_R03_SudipaAPI-data'!$H119</f>
        <v>2</v>
      </c>
      <c r="K120">
        <f>'[30]R03_GABM_run2-data'!$H119</f>
        <v>0</v>
      </c>
      <c r="L120">
        <f t="shared" si="2"/>
        <v>0.3</v>
      </c>
      <c r="N120">
        <f t="shared" si="3"/>
        <v>369.80000000000007</v>
      </c>
    </row>
    <row r="121" spans="1:14" x14ac:dyDescent="0.35">
      <c r="A121">
        <v>118</v>
      </c>
      <c r="B121">
        <f>'[21]R03_GABM-data'!$H120</f>
        <v>0</v>
      </c>
      <c r="C121">
        <f>'[22]GABM_R03_RossAPI-data'!$H120</f>
        <v>0</v>
      </c>
      <c r="D121">
        <f>'[23]GABM_R03_RandiAPI-data'!$H120</f>
        <v>0</v>
      </c>
      <c r="E121">
        <f>'[24]GABM_R03_NavidAPI-data'!$H120</f>
        <v>0</v>
      </c>
      <c r="F121">
        <f>'[25]GABM_R03_Terry-data'!$H120</f>
        <v>0</v>
      </c>
      <c r="G121">
        <f>'[26]GABM_R03_SarahAPI-data'!$H120</f>
        <v>0</v>
      </c>
      <c r="H121">
        <f>'[27]GABM_R03_savannah-data'!$H120</f>
        <v>0</v>
      </c>
      <c r="I121">
        <f>'[28]GABM_R03_MitchellAPI-data'!$H120</f>
        <v>0</v>
      </c>
      <c r="J121">
        <f>'[29]GABM_R03_SudipaAPI-data'!$H120</f>
        <v>1</v>
      </c>
      <c r="K121">
        <f>'[30]R03_GABM_run2-data'!$H120</f>
        <v>0</v>
      </c>
      <c r="L121">
        <f t="shared" si="2"/>
        <v>0.1</v>
      </c>
      <c r="N121">
        <f t="shared" si="3"/>
        <v>369.90000000000009</v>
      </c>
    </row>
    <row r="122" spans="1:14" x14ac:dyDescent="0.35">
      <c r="A122">
        <v>119</v>
      </c>
      <c r="B122">
        <f>'[21]R03_GABM-data'!$H121</f>
        <v>0</v>
      </c>
      <c r="C122">
        <f>'[22]GABM_R03_RossAPI-data'!$H121</f>
        <v>0</v>
      </c>
      <c r="D122">
        <f>'[23]GABM_R03_RandiAPI-data'!$H121</f>
        <v>0</v>
      </c>
      <c r="E122">
        <f>'[24]GABM_R03_NavidAPI-data'!$H121</f>
        <v>0</v>
      </c>
      <c r="F122">
        <f>'[25]GABM_R03_Terry-data'!$H121</f>
        <v>0</v>
      </c>
      <c r="G122">
        <f>'[26]GABM_R03_SarahAPI-data'!$H121</f>
        <v>0</v>
      </c>
      <c r="H122">
        <f>'[27]GABM_R03_savannah-data'!$H121</f>
        <v>0</v>
      </c>
      <c r="I122">
        <f>'[28]GABM_R03_MitchellAPI-data'!$H121</f>
        <v>0</v>
      </c>
      <c r="J122">
        <f>'[29]GABM_R03_SudipaAPI-data'!$H121</f>
        <v>3</v>
      </c>
      <c r="K122">
        <f>'[30]R03_GABM_run2-data'!$H121</f>
        <v>0</v>
      </c>
      <c r="L122">
        <f t="shared" si="2"/>
        <v>0.3</v>
      </c>
      <c r="N122">
        <f t="shared" si="3"/>
        <v>370.2000000000001</v>
      </c>
    </row>
    <row r="123" spans="1:14" x14ac:dyDescent="0.35">
      <c r="A123">
        <v>120</v>
      </c>
      <c r="B123">
        <f>'[21]R03_GABM-data'!$H122</f>
        <v>0</v>
      </c>
      <c r="C123">
        <f>'[22]GABM_R03_RossAPI-data'!$H122</f>
        <v>0</v>
      </c>
      <c r="D123">
        <f>'[23]GABM_R03_RandiAPI-data'!$H122</f>
        <v>0</v>
      </c>
      <c r="E123">
        <f>'[24]GABM_R03_NavidAPI-data'!$H122</f>
        <v>0</v>
      </c>
      <c r="F123">
        <f>'[25]GABM_R03_Terry-data'!$H122</f>
        <v>0</v>
      </c>
      <c r="G123">
        <f>'[26]GABM_R03_SarahAPI-data'!$H122</f>
        <v>0</v>
      </c>
      <c r="H123">
        <f>'[27]GABM_R03_savannah-data'!$H122</f>
        <v>0</v>
      </c>
      <c r="I123">
        <f>'[28]GABM_R03_MitchellAPI-data'!$H122</f>
        <v>0</v>
      </c>
      <c r="J123">
        <f>'[29]GABM_R03_SudipaAPI-data'!$H122</f>
        <v>2</v>
      </c>
      <c r="K123">
        <f>'[30]R03_GABM_run2-data'!$H122</f>
        <v>0</v>
      </c>
      <c r="L123">
        <f t="shared" si="2"/>
        <v>0.2</v>
      </c>
      <c r="N123">
        <f t="shared" si="3"/>
        <v>370.40000000000009</v>
      </c>
    </row>
    <row r="124" spans="1:14" x14ac:dyDescent="0.35">
      <c r="A124">
        <v>121</v>
      </c>
      <c r="B124">
        <f>'[21]R03_GABM-data'!$H123</f>
        <v>0</v>
      </c>
      <c r="C124">
        <f>'[22]GABM_R03_RossAPI-data'!$H123</f>
        <v>0</v>
      </c>
      <c r="D124">
        <f>'[23]GABM_R03_RandiAPI-data'!$H123</f>
        <v>0</v>
      </c>
      <c r="E124">
        <f>'[24]GABM_R03_NavidAPI-data'!$H123</f>
        <v>0</v>
      </c>
      <c r="F124">
        <f>'[25]GABM_R03_Terry-data'!$H123</f>
        <v>0</v>
      </c>
      <c r="G124">
        <f>'[26]GABM_R03_SarahAPI-data'!$H123</f>
        <v>0</v>
      </c>
      <c r="H124">
        <f>'[27]GABM_R03_savannah-data'!$H123</f>
        <v>0</v>
      </c>
      <c r="I124">
        <f>'[28]GABM_R03_MitchellAPI-data'!$H123</f>
        <v>0</v>
      </c>
      <c r="J124">
        <f>'[29]GABM_R03_SudipaAPI-data'!$H123</f>
        <v>4</v>
      </c>
      <c r="K124">
        <f>'[30]R03_GABM_run2-data'!$H123</f>
        <v>0</v>
      </c>
      <c r="L124">
        <f t="shared" si="2"/>
        <v>0.4</v>
      </c>
      <c r="N124">
        <f t="shared" si="3"/>
        <v>370.80000000000007</v>
      </c>
    </row>
    <row r="125" spans="1:14" x14ac:dyDescent="0.35">
      <c r="A125">
        <v>122</v>
      </c>
      <c r="B125">
        <f>'[21]R03_GABM-data'!$H124</f>
        <v>0</v>
      </c>
      <c r="C125">
        <f>'[22]GABM_R03_RossAPI-data'!$H124</f>
        <v>0</v>
      </c>
      <c r="D125">
        <f>'[23]GABM_R03_RandiAPI-data'!$H124</f>
        <v>0</v>
      </c>
      <c r="E125">
        <f>'[24]GABM_R03_NavidAPI-data'!$H124</f>
        <v>0</v>
      </c>
      <c r="F125">
        <f>'[25]GABM_R03_Terry-data'!$H124</f>
        <v>0</v>
      </c>
      <c r="G125">
        <f>'[26]GABM_R03_SarahAPI-data'!$H124</f>
        <v>0</v>
      </c>
      <c r="H125">
        <f>'[27]GABM_R03_savannah-data'!$H124</f>
        <v>0</v>
      </c>
      <c r="I125">
        <f>'[28]GABM_R03_MitchellAPI-data'!$H124</f>
        <v>0</v>
      </c>
      <c r="J125">
        <f>'[29]GABM_R03_SudipaAPI-data'!$H124</f>
        <v>3</v>
      </c>
      <c r="K125">
        <f>'[30]R03_GABM_run2-data'!$H124</f>
        <v>0</v>
      </c>
      <c r="L125">
        <f t="shared" si="2"/>
        <v>0.3</v>
      </c>
      <c r="N125">
        <f t="shared" si="3"/>
        <v>371.10000000000008</v>
      </c>
    </row>
    <row r="126" spans="1:14" x14ac:dyDescent="0.35">
      <c r="A126">
        <v>123</v>
      </c>
      <c r="B126">
        <f>'[21]R03_GABM-data'!$H125</f>
        <v>0</v>
      </c>
      <c r="C126">
        <f>'[22]GABM_R03_RossAPI-data'!$H125</f>
        <v>0</v>
      </c>
      <c r="D126">
        <f>'[23]GABM_R03_RandiAPI-data'!$H125</f>
        <v>0</v>
      </c>
      <c r="E126">
        <f>'[24]GABM_R03_NavidAPI-data'!$H125</f>
        <v>0</v>
      </c>
      <c r="F126">
        <f>'[25]GABM_R03_Terry-data'!$H125</f>
        <v>0</v>
      </c>
      <c r="G126">
        <f>'[26]GABM_R03_SarahAPI-data'!$H125</f>
        <v>0</v>
      </c>
      <c r="H126">
        <f>'[27]GABM_R03_savannah-data'!$H125</f>
        <v>0</v>
      </c>
      <c r="I126">
        <f>'[28]GABM_R03_MitchellAPI-data'!$H125</f>
        <v>0</v>
      </c>
      <c r="J126">
        <f>'[29]GABM_R03_SudipaAPI-data'!$H125</f>
        <v>5</v>
      </c>
      <c r="K126">
        <f>'[30]R03_GABM_run2-data'!$H125</f>
        <v>0</v>
      </c>
      <c r="L126">
        <f t="shared" si="2"/>
        <v>0.5</v>
      </c>
      <c r="N126">
        <f t="shared" si="3"/>
        <v>371.60000000000008</v>
      </c>
    </row>
    <row r="127" spans="1:14" x14ac:dyDescent="0.35">
      <c r="A127">
        <v>124</v>
      </c>
      <c r="B127">
        <f>'[21]R03_GABM-data'!$H126</f>
        <v>0</v>
      </c>
      <c r="C127">
        <f>'[22]GABM_R03_RossAPI-data'!$H126</f>
        <v>0</v>
      </c>
      <c r="D127">
        <f>'[23]GABM_R03_RandiAPI-data'!$H126</f>
        <v>0</v>
      </c>
      <c r="E127">
        <f>'[24]GABM_R03_NavidAPI-data'!$H126</f>
        <v>0</v>
      </c>
      <c r="F127">
        <f>'[25]GABM_R03_Terry-data'!$H126</f>
        <v>0</v>
      </c>
      <c r="G127">
        <f>'[26]GABM_R03_SarahAPI-data'!$H126</f>
        <v>0</v>
      </c>
      <c r="H127">
        <f>'[27]GABM_R03_savannah-data'!$H126</f>
        <v>0</v>
      </c>
      <c r="I127">
        <f>'[28]GABM_R03_MitchellAPI-data'!$H126</f>
        <v>0</v>
      </c>
      <c r="J127">
        <f>'[29]GABM_R03_SudipaAPI-data'!$H126</f>
        <v>3</v>
      </c>
      <c r="K127">
        <f>'[30]R03_GABM_run2-data'!$H126</f>
        <v>0</v>
      </c>
      <c r="L127">
        <f t="shared" si="2"/>
        <v>0.3</v>
      </c>
      <c r="N127">
        <f t="shared" si="3"/>
        <v>371.90000000000009</v>
      </c>
    </row>
    <row r="128" spans="1:14" x14ac:dyDescent="0.35">
      <c r="A128">
        <v>125</v>
      </c>
      <c r="B128">
        <f>'[21]R03_GABM-data'!$H127</f>
        <v>0</v>
      </c>
      <c r="C128">
        <f>'[22]GABM_R03_RossAPI-data'!$H127</f>
        <v>0</v>
      </c>
      <c r="D128">
        <f>'[23]GABM_R03_RandiAPI-data'!$H127</f>
        <v>0</v>
      </c>
      <c r="E128">
        <f>'[24]GABM_R03_NavidAPI-data'!$H127</f>
        <v>0</v>
      </c>
      <c r="F128">
        <f>'[25]GABM_R03_Terry-data'!$H127</f>
        <v>0</v>
      </c>
      <c r="G128">
        <f>'[26]GABM_R03_SarahAPI-data'!$H127</f>
        <v>0</v>
      </c>
      <c r="H128">
        <f>'[27]GABM_R03_savannah-data'!$H127</f>
        <v>0</v>
      </c>
      <c r="I128">
        <f>'[28]GABM_R03_MitchellAPI-data'!$H127</f>
        <v>0</v>
      </c>
      <c r="J128">
        <f>'[29]GABM_R03_SudipaAPI-data'!$H127</f>
        <v>1</v>
      </c>
      <c r="K128">
        <f>'[30]R03_GABM_run2-data'!$H127</f>
        <v>0</v>
      </c>
      <c r="L128">
        <f t="shared" si="2"/>
        <v>0.1</v>
      </c>
      <c r="N128">
        <f t="shared" si="3"/>
        <v>372.00000000000011</v>
      </c>
    </row>
    <row r="129" spans="1:14" x14ac:dyDescent="0.35">
      <c r="A129">
        <v>126</v>
      </c>
      <c r="B129">
        <f>'[21]R03_GABM-data'!$H128</f>
        <v>0</v>
      </c>
      <c r="C129">
        <f>'[22]GABM_R03_RossAPI-data'!$H128</f>
        <v>0</v>
      </c>
      <c r="D129">
        <f>'[23]GABM_R03_RandiAPI-data'!$H128</f>
        <v>0</v>
      </c>
      <c r="E129">
        <f>'[24]GABM_R03_NavidAPI-data'!$H128</f>
        <v>0</v>
      </c>
      <c r="F129">
        <f>'[25]GABM_R03_Terry-data'!$H128</f>
        <v>0</v>
      </c>
      <c r="G129">
        <f>'[26]GABM_R03_SarahAPI-data'!$H128</f>
        <v>0</v>
      </c>
      <c r="H129">
        <f>'[27]GABM_R03_savannah-data'!$H128</f>
        <v>0</v>
      </c>
      <c r="I129">
        <f>'[28]GABM_R03_MitchellAPI-data'!$H128</f>
        <v>0</v>
      </c>
      <c r="J129">
        <f>'[29]GABM_R03_SudipaAPI-data'!$H128</f>
        <v>0</v>
      </c>
      <c r="K129">
        <f>'[30]R03_GABM_run2-data'!$H128</f>
        <v>0</v>
      </c>
      <c r="L129">
        <f t="shared" si="2"/>
        <v>0</v>
      </c>
      <c r="N129">
        <f t="shared" si="3"/>
        <v>372.00000000000011</v>
      </c>
    </row>
    <row r="130" spans="1:14" x14ac:dyDescent="0.35">
      <c r="A130">
        <v>127</v>
      </c>
      <c r="B130">
        <f>'[21]R03_GABM-data'!$H129</f>
        <v>0</v>
      </c>
      <c r="C130">
        <f>'[22]GABM_R03_RossAPI-data'!$H129</f>
        <v>0</v>
      </c>
      <c r="D130">
        <f>'[23]GABM_R03_RandiAPI-data'!$H129</f>
        <v>0</v>
      </c>
      <c r="E130">
        <f>'[24]GABM_R03_NavidAPI-data'!$H129</f>
        <v>0</v>
      </c>
      <c r="F130">
        <f>'[25]GABM_R03_Terry-data'!$H129</f>
        <v>0</v>
      </c>
      <c r="G130">
        <f>'[26]GABM_R03_SarahAPI-data'!$H129</f>
        <v>0</v>
      </c>
      <c r="H130">
        <f>'[27]GABM_R03_savannah-data'!$H129</f>
        <v>0</v>
      </c>
      <c r="I130">
        <f>'[28]GABM_R03_MitchellAPI-data'!$H129</f>
        <v>0</v>
      </c>
      <c r="J130">
        <f>'[29]GABM_R03_SudipaAPI-data'!$H129</f>
        <v>0</v>
      </c>
      <c r="K130">
        <f>'[30]R03_GABM_run2-data'!$H129</f>
        <v>0</v>
      </c>
      <c r="L130">
        <f t="shared" si="2"/>
        <v>0</v>
      </c>
      <c r="N130">
        <f t="shared" si="3"/>
        <v>372.00000000000011</v>
      </c>
    </row>
    <row r="131" spans="1:14" x14ac:dyDescent="0.35">
      <c r="A131">
        <v>128</v>
      </c>
      <c r="B131">
        <f>'[21]R03_GABM-data'!$H130</f>
        <v>0</v>
      </c>
      <c r="C131">
        <f>'[22]GABM_R03_RossAPI-data'!$H130</f>
        <v>0</v>
      </c>
      <c r="D131">
        <f>'[23]GABM_R03_RandiAPI-data'!$H130</f>
        <v>0</v>
      </c>
      <c r="E131">
        <f>'[24]GABM_R03_NavidAPI-data'!$H130</f>
        <v>0</v>
      </c>
      <c r="F131">
        <f>'[25]GABM_R03_Terry-data'!$H130</f>
        <v>0</v>
      </c>
      <c r="G131">
        <f>'[26]GABM_R03_SarahAPI-data'!$H130</f>
        <v>0</v>
      </c>
      <c r="H131">
        <f>'[27]GABM_R03_savannah-data'!$H130</f>
        <v>0</v>
      </c>
      <c r="I131">
        <f>'[28]GABM_R03_MitchellAPI-data'!$H130</f>
        <v>0</v>
      </c>
      <c r="J131">
        <f>'[29]GABM_R03_SudipaAPI-data'!$H130</f>
        <v>0</v>
      </c>
      <c r="K131">
        <f>'[30]R03_GABM_run2-data'!$H130</f>
        <v>0</v>
      </c>
      <c r="L131">
        <f t="shared" si="2"/>
        <v>0</v>
      </c>
      <c r="N131">
        <f t="shared" si="3"/>
        <v>372.00000000000011</v>
      </c>
    </row>
    <row r="132" spans="1:14" x14ac:dyDescent="0.35">
      <c r="A132">
        <v>129</v>
      </c>
      <c r="B132">
        <f>'[21]R03_GABM-data'!$H131</f>
        <v>0</v>
      </c>
      <c r="C132">
        <f>'[22]GABM_R03_RossAPI-data'!$H131</f>
        <v>0</v>
      </c>
      <c r="D132">
        <f>'[23]GABM_R03_RandiAPI-data'!$H131</f>
        <v>0</v>
      </c>
      <c r="E132">
        <f>'[24]GABM_R03_NavidAPI-data'!$H131</f>
        <v>0</v>
      </c>
      <c r="F132">
        <f>'[25]GABM_R03_Terry-data'!$H131</f>
        <v>0</v>
      </c>
      <c r="G132">
        <f>'[26]GABM_R03_SarahAPI-data'!$H131</f>
        <v>0</v>
      </c>
      <c r="H132">
        <f>'[27]GABM_R03_savannah-data'!$H131</f>
        <v>0</v>
      </c>
      <c r="I132">
        <f>'[28]GABM_R03_MitchellAPI-data'!$H131</f>
        <v>0</v>
      </c>
      <c r="J132">
        <f>'[29]GABM_R03_SudipaAPI-data'!$H131</f>
        <v>0</v>
      </c>
      <c r="K132">
        <f>'[30]R03_GABM_run2-data'!$H131</f>
        <v>0</v>
      </c>
      <c r="L132">
        <f t="shared" ref="L132:L195" si="4">AVERAGE(B132:K132)</f>
        <v>0</v>
      </c>
      <c r="N132">
        <f t="shared" si="3"/>
        <v>372.00000000000011</v>
      </c>
    </row>
    <row r="133" spans="1:14" x14ac:dyDescent="0.35">
      <c r="A133">
        <v>130</v>
      </c>
      <c r="B133">
        <f>'[21]R03_GABM-data'!$H132</f>
        <v>0</v>
      </c>
      <c r="C133">
        <f>'[22]GABM_R03_RossAPI-data'!$H132</f>
        <v>0</v>
      </c>
      <c r="D133">
        <f>'[23]GABM_R03_RandiAPI-data'!$H132</f>
        <v>0</v>
      </c>
      <c r="E133">
        <f>'[24]GABM_R03_NavidAPI-data'!$H132</f>
        <v>0</v>
      </c>
      <c r="F133">
        <f>'[25]GABM_R03_Terry-data'!$H132</f>
        <v>0</v>
      </c>
      <c r="G133">
        <f>'[26]GABM_R03_SarahAPI-data'!$H132</f>
        <v>0</v>
      </c>
      <c r="H133">
        <f>'[27]GABM_R03_savannah-data'!$H132</f>
        <v>0</v>
      </c>
      <c r="I133">
        <f>'[28]GABM_R03_MitchellAPI-data'!$H132</f>
        <v>0</v>
      </c>
      <c r="J133">
        <f>'[29]GABM_R03_SudipaAPI-data'!$H132</f>
        <v>0</v>
      </c>
      <c r="K133">
        <f>'[30]R03_GABM_run2-data'!$H132</f>
        <v>0</v>
      </c>
      <c r="L133">
        <f t="shared" si="4"/>
        <v>0</v>
      </c>
      <c r="N133">
        <f t="shared" ref="N133:N196" si="5">N132+L133</f>
        <v>372.00000000000011</v>
      </c>
    </row>
    <row r="134" spans="1:14" x14ac:dyDescent="0.35">
      <c r="A134">
        <v>131</v>
      </c>
      <c r="B134">
        <f>'[21]R03_GABM-data'!$H133</f>
        <v>0</v>
      </c>
      <c r="C134">
        <f>'[22]GABM_R03_RossAPI-data'!$H133</f>
        <v>0</v>
      </c>
      <c r="D134">
        <f>'[23]GABM_R03_RandiAPI-data'!$H133</f>
        <v>0</v>
      </c>
      <c r="E134">
        <f>'[24]GABM_R03_NavidAPI-data'!$H133</f>
        <v>0</v>
      </c>
      <c r="F134">
        <f>'[25]GABM_R03_Terry-data'!$H133</f>
        <v>0</v>
      </c>
      <c r="G134">
        <f>'[26]GABM_R03_SarahAPI-data'!$H133</f>
        <v>0</v>
      </c>
      <c r="H134">
        <f>'[27]GABM_R03_savannah-data'!$H133</f>
        <v>0</v>
      </c>
      <c r="I134">
        <f>'[28]GABM_R03_MitchellAPI-data'!$H133</f>
        <v>0</v>
      </c>
      <c r="J134">
        <f>'[29]GABM_R03_SudipaAPI-data'!$H133</f>
        <v>2</v>
      </c>
      <c r="K134">
        <f>'[30]R03_GABM_run2-data'!$H133</f>
        <v>0</v>
      </c>
      <c r="L134">
        <f t="shared" si="4"/>
        <v>0.2</v>
      </c>
      <c r="N134">
        <f t="shared" si="5"/>
        <v>372.2000000000001</v>
      </c>
    </row>
    <row r="135" spans="1:14" x14ac:dyDescent="0.35">
      <c r="A135">
        <v>132</v>
      </c>
      <c r="B135">
        <f>'[21]R03_GABM-data'!$H134</f>
        <v>0</v>
      </c>
      <c r="C135">
        <f>'[22]GABM_R03_RossAPI-data'!$H134</f>
        <v>0</v>
      </c>
      <c r="D135">
        <f>'[23]GABM_R03_RandiAPI-data'!$H134</f>
        <v>0</v>
      </c>
      <c r="E135">
        <f>'[24]GABM_R03_NavidAPI-data'!$H134</f>
        <v>0</v>
      </c>
      <c r="F135">
        <f>'[25]GABM_R03_Terry-data'!$H134</f>
        <v>0</v>
      </c>
      <c r="G135">
        <f>'[26]GABM_R03_SarahAPI-data'!$H134</f>
        <v>0</v>
      </c>
      <c r="H135">
        <f>'[27]GABM_R03_savannah-data'!$H134</f>
        <v>0</v>
      </c>
      <c r="I135">
        <f>'[28]GABM_R03_MitchellAPI-data'!$H134</f>
        <v>0</v>
      </c>
      <c r="J135">
        <f>'[29]GABM_R03_SudipaAPI-data'!$H134</f>
        <v>1</v>
      </c>
      <c r="K135">
        <f>'[30]R03_GABM_run2-data'!$H134</f>
        <v>0</v>
      </c>
      <c r="L135">
        <f t="shared" si="4"/>
        <v>0.1</v>
      </c>
      <c r="N135">
        <f t="shared" si="5"/>
        <v>372.30000000000013</v>
      </c>
    </row>
    <row r="136" spans="1:14" x14ac:dyDescent="0.35">
      <c r="A136">
        <v>133</v>
      </c>
      <c r="B136">
        <f>'[21]R03_GABM-data'!$H135</f>
        <v>0</v>
      </c>
      <c r="C136">
        <f>'[22]GABM_R03_RossAPI-data'!$H135</f>
        <v>0</v>
      </c>
      <c r="D136">
        <f>'[23]GABM_R03_RandiAPI-data'!$H135</f>
        <v>0</v>
      </c>
      <c r="E136">
        <f>'[24]GABM_R03_NavidAPI-data'!$H135</f>
        <v>0</v>
      </c>
      <c r="F136">
        <f>'[25]GABM_R03_Terry-data'!$H135</f>
        <v>0</v>
      </c>
      <c r="G136">
        <f>'[26]GABM_R03_SarahAPI-data'!$H135</f>
        <v>0</v>
      </c>
      <c r="H136">
        <f>'[27]GABM_R03_savannah-data'!$H135</f>
        <v>0</v>
      </c>
      <c r="I136">
        <f>'[28]GABM_R03_MitchellAPI-data'!$H135</f>
        <v>0</v>
      </c>
      <c r="J136">
        <f>'[29]GABM_R03_SudipaAPI-data'!$H135</f>
        <v>2</v>
      </c>
      <c r="K136">
        <f>'[30]R03_GABM_run2-data'!$H135</f>
        <v>0</v>
      </c>
      <c r="L136">
        <f t="shared" si="4"/>
        <v>0.2</v>
      </c>
      <c r="N136">
        <f t="shared" si="5"/>
        <v>372.50000000000011</v>
      </c>
    </row>
    <row r="137" spans="1:14" x14ac:dyDescent="0.35">
      <c r="A137">
        <v>134</v>
      </c>
      <c r="B137">
        <f>'[21]R03_GABM-data'!$H136</f>
        <v>0</v>
      </c>
      <c r="C137">
        <f>'[22]GABM_R03_RossAPI-data'!$H136</f>
        <v>0</v>
      </c>
      <c r="D137">
        <f>'[23]GABM_R03_RandiAPI-data'!$H136</f>
        <v>0</v>
      </c>
      <c r="E137">
        <f>'[24]GABM_R03_NavidAPI-data'!$H136</f>
        <v>0</v>
      </c>
      <c r="F137">
        <f>'[25]GABM_R03_Terry-data'!$H136</f>
        <v>0</v>
      </c>
      <c r="G137">
        <f>'[26]GABM_R03_SarahAPI-data'!$H136</f>
        <v>0</v>
      </c>
      <c r="H137">
        <f>'[27]GABM_R03_savannah-data'!$H136</f>
        <v>0</v>
      </c>
      <c r="I137">
        <f>'[28]GABM_R03_MitchellAPI-data'!$H136</f>
        <v>0</v>
      </c>
      <c r="J137">
        <f>'[29]GABM_R03_SudipaAPI-data'!$H136</f>
        <v>3</v>
      </c>
      <c r="K137">
        <f>'[30]R03_GABM_run2-data'!$H136</f>
        <v>0</v>
      </c>
      <c r="L137">
        <f t="shared" si="4"/>
        <v>0.3</v>
      </c>
      <c r="N137">
        <f t="shared" si="5"/>
        <v>372.80000000000013</v>
      </c>
    </row>
    <row r="138" spans="1:14" x14ac:dyDescent="0.35">
      <c r="A138">
        <v>135</v>
      </c>
      <c r="B138">
        <f>'[21]R03_GABM-data'!$H137</f>
        <v>0</v>
      </c>
      <c r="C138">
        <f>'[22]GABM_R03_RossAPI-data'!$H137</f>
        <v>0</v>
      </c>
      <c r="D138">
        <f>'[23]GABM_R03_RandiAPI-data'!$H137</f>
        <v>0</v>
      </c>
      <c r="E138">
        <f>'[24]GABM_R03_NavidAPI-data'!$H137</f>
        <v>0</v>
      </c>
      <c r="F138">
        <f>'[25]GABM_R03_Terry-data'!$H137</f>
        <v>0</v>
      </c>
      <c r="G138">
        <f>'[26]GABM_R03_SarahAPI-data'!$H137</f>
        <v>0</v>
      </c>
      <c r="H138">
        <f>'[27]GABM_R03_savannah-data'!$H137</f>
        <v>0</v>
      </c>
      <c r="I138">
        <f>'[28]GABM_R03_MitchellAPI-data'!$H137</f>
        <v>0</v>
      </c>
      <c r="J138">
        <f>'[29]GABM_R03_SudipaAPI-data'!$H137</f>
        <v>0</v>
      </c>
      <c r="K138">
        <f>'[30]R03_GABM_run2-data'!$H137</f>
        <v>0</v>
      </c>
      <c r="L138">
        <f t="shared" si="4"/>
        <v>0</v>
      </c>
      <c r="N138">
        <f t="shared" si="5"/>
        <v>372.80000000000013</v>
      </c>
    </row>
    <row r="139" spans="1:14" x14ac:dyDescent="0.35">
      <c r="A139">
        <v>136</v>
      </c>
      <c r="B139">
        <f>'[21]R03_GABM-data'!$H138</f>
        <v>0</v>
      </c>
      <c r="C139">
        <f>'[22]GABM_R03_RossAPI-data'!$H138</f>
        <v>0</v>
      </c>
      <c r="D139">
        <f>'[23]GABM_R03_RandiAPI-data'!$H138</f>
        <v>0</v>
      </c>
      <c r="E139">
        <f>'[24]GABM_R03_NavidAPI-data'!$H138</f>
        <v>0</v>
      </c>
      <c r="F139">
        <f>'[25]GABM_R03_Terry-data'!$H138</f>
        <v>0</v>
      </c>
      <c r="G139">
        <f>'[26]GABM_R03_SarahAPI-data'!$H138</f>
        <v>0</v>
      </c>
      <c r="H139">
        <f>'[27]GABM_R03_savannah-data'!$H138</f>
        <v>0</v>
      </c>
      <c r="I139">
        <f>'[28]GABM_R03_MitchellAPI-data'!$H138</f>
        <v>0</v>
      </c>
      <c r="J139">
        <f>'[29]GABM_R03_SudipaAPI-data'!$H138</f>
        <v>0</v>
      </c>
      <c r="K139">
        <f>'[30]R03_GABM_run2-data'!$H138</f>
        <v>0</v>
      </c>
      <c r="L139">
        <f t="shared" si="4"/>
        <v>0</v>
      </c>
      <c r="N139">
        <f t="shared" si="5"/>
        <v>372.80000000000013</v>
      </c>
    </row>
    <row r="140" spans="1:14" x14ac:dyDescent="0.35">
      <c r="A140">
        <v>137</v>
      </c>
      <c r="B140">
        <f>'[21]R03_GABM-data'!$H139</f>
        <v>0</v>
      </c>
      <c r="C140">
        <f>'[22]GABM_R03_RossAPI-data'!$H139</f>
        <v>0</v>
      </c>
      <c r="D140">
        <f>'[23]GABM_R03_RandiAPI-data'!$H139</f>
        <v>0</v>
      </c>
      <c r="E140">
        <f>'[24]GABM_R03_NavidAPI-data'!$H139</f>
        <v>0</v>
      </c>
      <c r="F140">
        <f>'[25]GABM_R03_Terry-data'!$H139</f>
        <v>0</v>
      </c>
      <c r="G140">
        <f>'[26]GABM_R03_SarahAPI-data'!$H139</f>
        <v>0</v>
      </c>
      <c r="H140">
        <f>'[27]GABM_R03_savannah-data'!$H139</f>
        <v>0</v>
      </c>
      <c r="I140">
        <f>'[28]GABM_R03_MitchellAPI-data'!$H139</f>
        <v>0</v>
      </c>
      <c r="J140">
        <f>'[29]GABM_R03_SudipaAPI-data'!$H139</f>
        <v>0</v>
      </c>
      <c r="K140">
        <f>'[30]R03_GABM_run2-data'!$H139</f>
        <v>0</v>
      </c>
      <c r="L140">
        <f t="shared" si="4"/>
        <v>0</v>
      </c>
      <c r="N140">
        <f t="shared" si="5"/>
        <v>372.80000000000013</v>
      </c>
    </row>
    <row r="141" spans="1:14" x14ac:dyDescent="0.35">
      <c r="A141">
        <v>138</v>
      </c>
      <c r="B141">
        <f>'[21]R03_GABM-data'!$H140</f>
        <v>0</v>
      </c>
      <c r="C141">
        <f>'[22]GABM_R03_RossAPI-data'!$H140</f>
        <v>0</v>
      </c>
      <c r="D141">
        <f>'[23]GABM_R03_RandiAPI-data'!$H140</f>
        <v>0</v>
      </c>
      <c r="E141">
        <f>'[24]GABM_R03_NavidAPI-data'!$H140</f>
        <v>0</v>
      </c>
      <c r="F141">
        <f>'[25]GABM_R03_Terry-data'!$H140</f>
        <v>0</v>
      </c>
      <c r="G141">
        <f>'[26]GABM_R03_SarahAPI-data'!$H140</f>
        <v>0</v>
      </c>
      <c r="H141">
        <f>'[27]GABM_R03_savannah-data'!$H140</f>
        <v>0</v>
      </c>
      <c r="I141">
        <f>'[28]GABM_R03_MitchellAPI-data'!$H140</f>
        <v>0</v>
      </c>
      <c r="J141">
        <f>'[29]GABM_R03_SudipaAPI-data'!$H140</f>
        <v>0</v>
      </c>
      <c r="K141">
        <f>'[30]R03_GABM_run2-data'!$H140</f>
        <v>0</v>
      </c>
      <c r="L141">
        <f t="shared" si="4"/>
        <v>0</v>
      </c>
      <c r="N141">
        <f t="shared" si="5"/>
        <v>372.80000000000013</v>
      </c>
    </row>
    <row r="142" spans="1:14" x14ac:dyDescent="0.35">
      <c r="A142">
        <v>139</v>
      </c>
      <c r="B142">
        <f>'[21]R03_GABM-data'!$H141</f>
        <v>0</v>
      </c>
      <c r="C142">
        <f>'[22]GABM_R03_RossAPI-data'!$H141</f>
        <v>0</v>
      </c>
      <c r="D142">
        <f>'[23]GABM_R03_RandiAPI-data'!$H141</f>
        <v>0</v>
      </c>
      <c r="E142">
        <f>'[24]GABM_R03_NavidAPI-data'!$H141</f>
        <v>0</v>
      </c>
      <c r="F142">
        <f>'[25]GABM_R03_Terry-data'!$H141</f>
        <v>0</v>
      </c>
      <c r="G142">
        <f>'[26]GABM_R03_SarahAPI-data'!$H141</f>
        <v>0</v>
      </c>
      <c r="H142">
        <f>'[27]GABM_R03_savannah-data'!$H141</f>
        <v>0</v>
      </c>
      <c r="I142">
        <f>'[28]GABM_R03_MitchellAPI-data'!$H141</f>
        <v>0</v>
      </c>
      <c r="J142">
        <f>'[29]GABM_R03_SudipaAPI-data'!$H141</f>
        <v>0</v>
      </c>
      <c r="K142">
        <f>'[30]R03_GABM_run2-data'!$H141</f>
        <v>0</v>
      </c>
      <c r="L142">
        <f t="shared" si="4"/>
        <v>0</v>
      </c>
      <c r="N142">
        <f t="shared" si="5"/>
        <v>372.80000000000013</v>
      </c>
    </row>
    <row r="143" spans="1:14" x14ac:dyDescent="0.35">
      <c r="A143">
        <v>140</v>
      </c>
      <c r="B143">
        <f>'[21]R03_GABM-data'!$H142</f>
        <v>0</v>
      </c>
      <c r="C143">
        <f>'[22]GABM_R03_RossAPI-data'!$H142</f>
        <v>0</v>
      </c>
      <c r="D143">
        <f>'[23]GABM_R03_RandiAPI-data'!$H142</f>
        <v>0</v>
      </c>
      <c r="E143">
        <f>'[24]GABM_R03_NavidAPI-data'!$H142</f>
        <v>0</v>
      </c>
      <c r="F143">
        <f>'[25]GABM_R03_Terry-data'!$H142</f>
        <v>0</v>
      </c>
      <c r="G143">
        <f>'[26]GABM_R03_SarahAPI-data'!$H142</f>
        <v>0</v>
      </c>
      <c r="H143">
        <f>'[27]GABM_R03_savannah-data'!$H142</f>
        <v>0</v>
      </c>
      <c r="I143">
        <f>'[28]GABM_R03_MitchellAPI-data'!$H142</f>
        <v>0</v>
      </c>
      <c r="J143">
        <f>'[29]GABM_R03_SudipaAPI-data'!$H142</f>
        <v>2</v>
      </c>
      <c r="K143">
        <f>'[30]R03_GABM_run2-data'!$H142</f>
        <v>0</v>
      </c>
      <c r="L143">
        <f t="shared" si="4"/>
        <v>0.2</v>
      </c>
      <c r="N143">
        <f t="shared" si="5"/>
        <v>373.00000000000011</v>
      </c>
    </row>
    <row r="144" spans="1:14" x14ac:dyDescent="0.35">
      <c r="A144">
        <v>141</v>
      </c>
      <c r="B144">
        <f>'[21]R03_GABM-data'!$H143</f>
        <v>0</v>
      </c>
      <c r="C144">
        <f>'[22]GABM_R03_RossAPI-data'!$H143</f>
        <v>0</v>
      </c>
      <c r="D144">
        <f>'[23]GABM_R03_RandiAPI-data'!$H143</f>
        <v>0</v>
      </c>
      <c r="E144">
        <f>'[24]GABM_R03_NavidAPI-data'!$H143</f>
        <v>0</v>
      </c>
      <c r="F144">
        <f>'[25]GABM_R03_Terry-data'!$H143</f>
        <v>0</v>
      </c>
      <c r="G144">
        <f>'[26]GABM_R03_SarahAPI-data'!$H143</f>
        <v>0</v>
      </c>
      <c r="H144">
        <f>'[27]GABM_R03_savannah-data'!$H143</f>
        <v>0</v>
      </c>
      <c r="I144">
        <f>'[28]GABM_R03_MitchellAPI-data'!$H143</f>
        <v>0</v>
      </c>
      <c r="J144">
        <f>'[29]GABM_R03_SudipaAPI-data'!$H143</f>
        <v>1</v>
      </c>
      <c r="K144">
        <f>'[30]R03_GABM_run2-data'!$H143</f>
        <v>0</v>
      </c>
      <c r="L144">
        <f t="shared" si="4"/>
        <v>0.1</v>
      </c>
      <c r="N144">
        <f t="shared" si="5"/>
        <v>373.10000000000014</v>
      </c>
    </row>
    <row r="145" spans="1:14" x14ac:dyDescent="0.35">
      <c r="A145">
        <v>142</v>
      </c>
      <c r="B145">
        <f>'[21]R03_GABM-data'!$H144</f>
        <v>0</v>
      </c>
      <c r="C145">
        <f>'[22]GABM_R03_RossAPI-data'!$H144</f>
        <v>0</v>
      </c>
      <c r="D145">
        <f>'[23]GABM_R03_RandiAPI-data'!$H144</f>
        <v>0</v>
      </c>
      <c r="E145">
        <f>'[24]GABM_R03_NavidAPI-data'!$H144</f>
        <v>0</v>
      </c>
      <c r="F145">
        <f>'[25]GABM_R03_Terry-data'!$H144</f>
        <v>0</v>
      </c>
      <c r="G145">
        <f>'[26]GABM_R03_SarahAPI-data'!$H144</f>
        <v>0</v>
      </c>
      <c r="H145">
        <f>'[27]GABM_R03_savannah-data'!$H144</f>
        <v>0</v>
      </c>
      <c r="I145">
        <f>'[28]GABM_R03_MitchellAPI-data'!$H144</f>
        <v>0</v>
      </c>
      <c r="J145">
        <f>'[29]GABM_R03_SudipaAPI-data'!$H144</f>
        <v>3</v>
      </c>
      <c r="K145">
        <f>'[30]R03_GABM_run2-data'!$H144</f>
        <v>0</v>
      </c>
      <c r="L145">
        <f t="shared" si="4"/>
        <v>0.3</v>
      </c>
      <c r="N145">
        <f t="shared" si="5"/>
        <v>373.40000000000015</v>
      </c>
    </row>
    <row r="146" spans="1:14" x14ac:dyDescent="0.35">
      <c r="A146">
        <v>143</v>
      </c>
      <c r="B146">
        <f>'[21]R03_GABM-data'!$H145</f>
        <v>0</v>
      </c>
      <c r="C146">
        <f>'[22]GABM_R03_RossAPI-data'!$H145</f>
        <v>0</v>
      </c>
      <c r="D146">
        <f>'[23]GABM_R03_RandiAPI-data'!$H145</f>
        <v>0</v>
      </c>
      <c r="E146">
        <f>'[24]GABM_R03_NavidAPI-data'!$H145</f>
        <v>0</v>
      </c>
      <c r="F146">
        <f>'[25]GABM_R03_Terry-data'!$H145</f>
        <v>0</v>
      </c>
      <c r="G146">
        <f>'[26]GABM_R03_SarahAPI-data'!$H145</f>
        <v>0</v>
      </c>
      <c r="H146">
        <f>'[27]GABM_R03_savannah-data'!$H145</f>
        <v>0</v>
      </c>
      <c r="I146">
        <f>'[28]GABM_R03_MitchellAPI-data'!$H145</f>
        <v>0</v>
      </c>
      <c r="J146">
        <f>'[29]GABM_R03_SudipaAPI-data'!$H145</f>
        <v>5</v>
      </c>
      <c r="K146">
        <f>'[30]R03_GABM_run2-data'!$H145</f>
        <v>0</v>
      </c>
      <c r="L146">
        <f t="shared" si="4"/>
        <v>0.5</v>
      </c>
      <c r="N146">
        <f t="shared" si="5"/>
        <v>373.90000000000015</v>
      </c>
    </row>
    <row r="147" spans="1:14" x14ac:dyDescent="0.35">
      <c r="A147">
        <v>144</v>
      </c>
      <c r="B147">
        <f>'[21]R03_GABM-data'!$H146</f>
        <v>0</v>
      </c>
      <c r="C147">
        <f>'[22]GABM_R03_RossAPI-data'!$H146</f>
        <v>0</v>
      </c>
      <c r="D147">
        <f>'[23]GABM_R03_RandiAPI-data'!$H146</f>
        <v>0</v>
      </c>
      <c r="E147">
        <f>'[24]GABM_R03_NavidAPI-data'!$H146</f>
        <v>0</v>
      </c>
      <c r="F147">
        <f>'[25]GABM_R03_Terry-data'!$H146</f>
        <v>0</v>
      </c>
      <c r="G147">
        <f>'[26]GABM_R03_SarahAPI-data'!$H146</f>
        <v>0</v>
      </c>
      <c r="H147">
        <f>'[27]GABM_R03_savannah-data'!$H146</f>
        <v>0</v>
      </c>
      <c r="I147">
        <f>'[28]GABM_R03_MitchellAPI-data'!$H146</f>
        <v>0</v>
      </c>
      <c r="J147">
        <f>'[29]GABM_R03_SudipaAPI-data'!$H146</f>
        <v>4</v>
      </c>
      <c r="K147">
        <f>'[30]R03_GABM_run2-data'!$H146</f>
        <v>0</v>
      </c>
      <c r="L147">
        <f t="shared" si="4"/>
        <v>0.4</v>
      </c>
      <c r="N147">
        <f t="shared" si="5"/>
        <v>374.30000000000013</v>
      </c>
    </row>
    <row r="148" spans="1:14" x14ac:dyDescent="0.35">
      <c r="A148">
        <v>145</v>
      </c>
      <c r="B148">
        <f>'[21]R03_GABM-data'!$H147</f>
        <v>0</v>
      </c>
      <c r="C148">
        <f>'[22]GABM_R03_RossAPI-data'!$H147</f>
        <v>0</v>
      </c>
      <c r="D148">
        <f>'[23]GABM_R03_RandiAPI-data'!$H147</f>
        <v>0</v>
      </c>
      <c r="E148">
        <f>'[24]GABM_R03_NavidAPI-data'!$H147</f>
        <v>0</v>
      </c>
      <c r="F148">
        <f>'[25]GABM_R03_Terry-data'!$H147</f>
        <v>0</v>
      </c>
      <c r="G148">
        <f>'[26]GABM_R03_SarahAPI-data'!$H147</f>
        <v>0</v>
      </c>
      <c r="H148">
        <f>'[27]GABM_R03_savannah-data'!$H147</f>
        <v>0</v>
      </c>
      <c r="I148">
        <f>'[28]GABM_R03_MitchellAPI-data'!$H147</f>
        <v>0</v>
      </c>
      <c r="J148">
        <f>'[29]GABM_R03_SudipaAPI-data'!$H147</f>
        <v>4</v>
      </c>
      <c r="K148">
        <f>'[30]R03_GABM_run2-data'!$H147</f>
        <v>0</v>
      </c>
      <c r="L148">
        <f t="shared" si="4"/>
        <v>0.4</v>
      </c>
      <c r="N148">
        <f t="shared" si="5"/>
        <v>374.7000000000001</v>
      </c>
    </row>
    <row r="149" spans="1:14" x14ac:dyDescent="0.35">
      <c r="A149">
        <v>146</v>
      </c>
      <c r="B149">
        <f>'[21]R03_GABM-data'!$H148</f>
        <v>0</v>
      </c>
      <c r="C149">
        <f>'[22]GABM_R03_RossAPI-data'!$H148</f>
        <v>0</v>
      </c>
      <c r="D149">
        <f>'[23]GABM_R03_RandiAPI-data'!$H148</f>
        <v>0</v>
      </c>
      <c r="E149">
        <f>'[24]GABM_R03_NavidAPI-data'!$H148</f>
        <v>0</v>
      </c>
      <c r="F149">
        <f>'[25]GABM_R03_Terry-data'!$H148</f>
        <v>0</v>
      </c>
      <c r="G149">
        <f>'[26]GABM_R03_SarahAPI-data'!$H148</f>
        <v>0</v>
      </c>
      <c r="H149">
        <f>'[27]GABM_R03_savannah-data'!$H148</f>
        <v>0</v>
      </c>
      <c r="I149">
        <f>'[28]GABM_R03_MitchellAPI-data'!$H148</f>
        <v>0</v>
      </c>
      <c r="J149">
        <f>'[29]GABM_R03_SudipaAPI-data'!$H148</f>
        <v>5</v>
      </c>
      <c r="K149">
        <f>'[30]R03_GABM_run2-data'!$H148</f>
        <v>0</v>
      </c>
      <c r="L149">
        <f t="shared" si="4"/>
        <v>0.5</v>
      </c>
      <c r="N149">
        <f t="shared" si="5"/>
        <v>375.2000000000001</v>
      </c>
    </row>
    <row r="150" spans="1:14" x14ac:dyDescent="0.35">
      <c r="A150">
        <v>147</v>
      </c>
      <c r="B150">
        <f>'[21]R03_GABM-data'!$H149</f>
        <v>0</v>
      </c>
      <c r="C150">
        <f>'[22]GABM_R03_RossAPI-data'!$H149</f>
        <v>0</v>
      </c>
      <c r="D150">
        <f>'[23]GABM_R03_RandiAPI-data'!$H149</f>
        <v>0</v>
      </c>
      <c r="E150">
        <f>'[24]GABM_R03_NavidAPI-data'!$H149</f>
        <v>0</v>
      </c>
      <c r="F150">
        <f>'[25]GABM_R03_Terry-data'!$H149</f>
        <v>0</v>
      </c>
      <c r="G150">
        <f>'[26]GABM_R03_SarahAPI-data'!$H149</f>
        <v>0</v>
      </c>
      <c r="H150">
        <f>'[27]GABM_R03_savannah-data'!$H149</f>
        <v>0</v>
      </c>
      <c r="I150">
        <f>'[28]GABM_R03_MitchellAPI-data'!$H149</f>
        <v>0</v>
      </c>
      <c r="J150">
        <f>'[29]GABM_R03_SudipaAPI-data'!$H149</f>
        <v>3</v>
      </c>
      <c r="K150">
        <f>'[30]R03_GABM_run2-data'!$H149</f>
        <v>0</v>
      </c>
      <c r="L150">
        <f t="shared" si="4"/>
        <v>0.3</v>
      </c>
      <c r="N150">
        <f t="shared" si="5"/>
        <v>375.50000000000011</v>
      </c>
    </row>
    <row r="151" spans="1:14" x14ac:dyDescent="0.35">
      <c r="A151">
        <v>148</v>
      </c>
      <c r="B151">
        <f>'[21]R03_GABM-data'!$H150</f>
        <v>0</v>
      </c>
      <c r="C151">
        <f>'[22]GABM_R03_RossAPI-data'!$H150</f>
        <v>0</v>
      </c>
      <c r="D151">
        <f>'[23]GABM_R03_RandiAPI-data'!$H150</f>
        <v>0</v>
      </c>
      <c r="E151">
        <f>'[24]GABM_R03_NavidAPI-data'!$H150</f>
        <v>0</v>
      </c>
      <c r="F151">
        <f>'[25]GABM_R03_Terry-data'!$H150</f>
        <v>0</v>
      </c>
      <c r="G151">
        <f>'[26]GABM_R03_SarahAPI-data'!$H150</f>
        <v>0</v>
      </c>
      <c r="H151">
        <f>'[27]GABM_R03_savannah-data'!$H150</f>
        <v>0</v>
      </c>
      <c r="I151">
        <f>'[28]GABM_R03_MitchellAPI-data'!$H150</f>
        <v>0</v>
      </c>
      <c r="J151">
        <f>'[29]GABM_R03_SudipaAPI-data'!$H150</f>
        <v>4</v>
      </c>
      <c r="K151">
        <f>'[30]R03_GABM_run2-data'!$H150</f>
        <v>0</v>
      </c>
      <c r="L151">
        <f t="shared" si="4"/>
        <v>0.4</v>
      </c>
      <c r="N151">
        <f t="shared" si="5"/>
        <v>375.90000000000009</v>
      </c>
    </row>
    <row r="152" spans="1:14" x14ac:dyDescent="0.35">
      <c r="A152">
        <v>149</v>
      </c>
      <c r="B152">
        <f>'[21]R03_GABM-data'!$H151</f>
        <v>0</v>
      </c>
      <c r="C152">
        <f>'[22]GABM_R03_RossAPI-data'!$H151</f>
        <v>0</v>
      </c>
      <c r="D152">
        <f>'[23]GABM_R03_RandiAPI-data'!$H151</f>
        <v>0</v>
      </c>
      <c r="E152">
        <f>'[24]GABM_R03_NavidAPI-data'!$H151</f>
        <v>0</v>
      </c>
      <c r="F152">
        <f>'[25]GABM_R03_Terry-data'!$H151</f>
        <v>0</v>
      </c>
      <c r="G152">
        <f>'[26]GABM_R03_SarahAPI-data'!$H151</f>
        <v>0</v>
      </c>
      <c r="H152">
        <f>'[27]GABM_R03_savannah-data'!$H151</f>
        <v>0</v>
      </c>
      <c r="I152">
        <f>'[28]GABM_R03_MitchellAPI-data'!$H151</f>
        <v>0</v>
      </c>
      <c r="J152">
        <f>'[29]GABM_R03_SudipaAPI-data'!$H151</f>
        <v>0</v>
      </c>
      <c r="K152">
        <f>'[30]R03_GABM_run2-data'!$H151</f>
        <v>0</v>
      </c>
      <c r="L152">
        <f t="shared" si="4"/>
        <v>0</v>
      </c>
      <c r="N152">
        <f t="shared" si="5"/>
        <v>375.90000000000009</v>
      </c>
    </row>
    <row r="153" spans="1:14" x14ac:dyDescent="0.35">
      <c r="A153">
        <v>150</v>
      </c>
      <c r="B153">
        <f>'[21]R03_GABM-data'!$H152</f>
        <v>0</v>
      </c>
      <c r="C153">
        <f>'[22]GABM_R03_RossAPI-data'!$H152</f>
        <v>0</v>
      </c>
      <c r="D153">
        <f>'[23]GABM_R03_RandiAPI-data'!$H152</f>
        <v>0</v>
      </c>
      <c r="E153">
        <f>'[24]GABM_R03_NavidAPI-data'!$H152</f>
        <v>0</v>
      </c>
      <c r="F153">
        <f>'[25]GABM_R03_Terry-data'!$H152</f>
        <v>0</v>
      </c>
      <c r="G153">
        <f>'[26]GABM_R03_SarahAPI-data'!$H152</f>
        <v>0</v>
      </c>
      <c r="H153">
        <f>'[27]GABM_R03_savannah-data'!$H152</f>
        <v>0</v>
      </c>
      <c r="I153">
        <f>'[28]GABM_R03_MitchellAPI-data'!$H152</f>
        <v>0</v>
      </c>
      <c r="J153">
        <f>'[29]GABM_R03_SudipaAPI-data'!$H152</f>
        <v>2</v>
      </c>
      <c r="K153">
        <f>'[30]R03_GABM_run2-data'!$H152</f>
        <v>0</v>
      </c>
      <c r="L153">
        <f t="shared" si="4"/>
        <v>0.2</v>
      </c>
      <c r="N153">
        <f t="shared" si="5"/>
        <v>376.10000000000008</v>
      </c>
    </row>
    <row r="154" spans="1:14" x14ac:dyDescent="0.35">
      <c r="A154">
        <v>151</v>
      </c>
      <c r="B154">
        <f>'[21]R03_GABM-data'!$H153</f>
        <v>0</v>
      </c>
      <c r="C154">
        <f>'[22]GABM_R03_RossAPI-data'!$H153</f>
        <v>0</v>
      </c>
      <c r="D154">
        <f>'[23]GABM_R03_RandiAPI-data'!$H153</f>
        <v>0</v>
      </c>
      <c r="E154">
        <f>'[24]GABM_R03_NavidAPI-data'!$H153</f>
        <v>0</v>
      </c>
      <c r="F154">
        <f>'[25]GABM_R03_Terry-data'!$H153</f>
        <v>0</v>
      </c>
      <c r="G154">
        <f>'[26]GABM_R03_SarahAPI-data'!$H153</f>
        <v>0</v>
      </c>
      <c r="H154">
        <f>'[27]GABM_R03_savannah-data'!$H153</f>
        <v>0</v>
      </c>
      <c r="I154">
        <f>'[28]GABM_R03_MitchellAPI-data'!$H153</f>
        <v>0</v>
      </c>
      <c r="J154">
        <f>'[29]GABM_R03_SudipaAPI-data'!$H153</f>
        <v>0</v>
      </c>
      <c r="K154">
        <f>'[30]R03_GABM_run2-data'!$H153</f>
        <v>0</v>
      </c>
      <c r="L154">
        <f t="shared" si="4"/>
        <v>0</v>
      </c>
      <c r="N154">
        <f t="shared" si="5"/>
        <v>376.10000000000008</v>
      </c>
    </row>
    <row r="155" spans="1:14" x14ac:dyDescent="0.35">
      <c r="A155">
        <v>152</v>
      </c>
      <c r="B155">
        <f>'[21]R03_GABM-data'!$H154</f>
        <v>0</v>
      </c>
      <c r="C155">
        <f>'[22]GABM_R03_RossAPI-data'!$H154</f>
        <v>0</v>
      </c>
      <c r="D155">
        <f>'[23]GABM_R03_RandiAPI-data'!$H154</f>
        <v>0</v>
      </c>
      <c r="E155">
        <f>'[24]GABM_R03_NavidAPI-data'!$H154</f>
        <v>0</v>
      </c>
      <c r="F155">
        <f>'[25]GABM_R03_Terry-data'!$H154</f>
        <v>0</v>
      </c>
      <c r="G155">
        <f>'[26]GABM_R03_SarahAPI-data'!$H154</f>
        <v>0</v>
      </c>
      <c r="H155">
        <f>'[27]GABM_R03_savannah-data'!$H154</f>
        <v>0</v>
      </c>
      <c r="I155">
        <f>'[28]GABM_R03_MitchellAPI-data'!$H154</f>
        <v>0</v>
      </c>
      <c r="J155">
        <f>'[29]GABM_R03_SudipaAPI-data'!$H154</f>
        <v>1</v>
      </c>
      <c r="K155">
        <f>'[30]R03_GABM_run2-data'!$H154</f>
        <v>0</v>
      </c>
      <c r="L155">
        <f t="shared" si="4"/>
        <v>0.1</v>
      </c>
      <c r="N155">
        <f t="shared" si="5"/>
        <v>376.2000000000001</v>
      </c>
    </row>
    <row r="156" spans="1:14" x14ac:dyDescent="0.35">
      <c r="A156">
        <v>153</v>
      </c>
      <c r="B156">
        <f>'[21]R03_GABM-data'!$H155</f>
        <v>0</v>
      </c>
      <c r="C156">
        <f>'[22]GABM_R03_RossAPI-data'!$H155</f>
        <v>0</v>
      </c>
      <c r="D156">
        <f>'[23]GABM_R03_RandiAPI-data'!$H155</f>
        <v>0</v>
      </c>
      <c r="E156">
        <f>'[24]GABM_R03_NavidAPI-data'!$H155</f>
        <v>0</v>
      </c>
      <c r="F156">
        <f>'[25]GABM_R03_Terry-data'!$H155</f>
        <v>0</v>
      </c>
      <c r="G156">
        <f>'[26]GABM_R03_SarahAPI-data'!$H155</f>
        <v>0</v>
      </c>
      <c r="H156">
        <f>'[27]GABM_R03_savannah-data'!$H155</f>
        <v>0</v>
      </c>
      <c r="I156">
        <f>'[28]GABM_R03_MitchellAPI-data'!$H155</f>
        <v>0</v>
      </c>
      <c r="J156">
        <f>'[29]GABM_R03_SudipaAPI-data'!$H155</f>
        <v>1</v>
      </c>
      <c r="K156">
        <f>'[30]R03_GABM_run2-data'!$H155</f>
        <v>0</v>
      </c>
      <c r="L156">
        <f t="shared" si="4"/>
        <v>0.1</v>
      </c>
      <c r="N156">
        <f t="shared" si="5"/>
        <v>376.30000000000013</v>
      </c>
    </row>
    <row r="157" spans="1:14" x14ac:dyDescent="0.35">
      <c r="A157">
        <v>154</v>
      </c>
      <c r="B157">
        <f>'[21]R03_GABM-data'!$H156</f>
        <v>0</v>
      </c>
      <c r="C157">
        <f>'[22]GABM_R03_RossAPI-data'!$H156</f>
        <v>0</v>
      </c>
      <c r="D157">
        <f>'[23]GABM_R03_RandiAPI-data'!$H156</f>
        <v>0</v>
      </c>
      <c r="E157">
        <f>'[24]GABM_R03_NavidAPI-data'!$H156</f>
        <v>0</v>
      </c>
      <c r="F157">
        <f>'[25]GABM_R03_Terry-data'!$H156</f>
        <v>0</v>
      </c>
      <c r="G157">
        <f>'[26]GABM_R03_SarahAPI-data'!$H156</f>
        <v>0</v>
      </c>
      <c r="H157">
        <f>'[27]GABM_R03_savannah-data'!$H156</f>
        <v>0</v>
      </c>
      <c r="I157">
        <f>'[28]GABM_R03_MitchellAPI-data'!$H156</f>
        <v>0</v>
      </c>
      <c r="J157">
        <f>'[29]GABM_R03_SudipaAPI-data'!$H156</f>
        <v>1</v>
      </c>
      <c r="K157">
        <f>'[30]R03_GABM_run2-data'!$H156</f>
        <v>0</v>
      </c>
      <c r="L157">
        <f t="shared" si="4"/>
        <v>0.1</v>
      </c>
      <c r="N157">
        <f t="shared" si="5"/>
        <v>376.40000000000015</v>
      </c>
    </row>
    <row r="158" spans="1:14" x14ac:dyDescent="0.35">
      <c r="A158">
        <v>155</v>
      </c>
      <c r="B158">
        <f>'[21]R03_GABM-data'!$H157</f>
        <v>0</v>
      </c>
      <c r="C158">
        <f>'[22]GABM_R03_RossAPI-data'!$H157</f>
        <v>0</v>
      </c>
      <c r="D158">
        <f>'[23]GABM_R03_RandiAPI-data'!$H157</f>
        <v>0</v>
      </c>
      <c r="E158">
        <f>'[24]GABM_R03_NavidAPI-data'!$H157</f>
        <v>0</v>
      </c>
      <c r="F158">
        <f>'[25]GABM_R03_Terry-data'!$H157</f>
        <v>0</v>
      </c>
      <c r="G158">
        <f>'[26]GABM_R03_SarahAPI-data'!$H157</f>
        <v>0</v>
      </c>
      <c r="H158">
        <f>'[27]GABM_R03_savannah-data'!$H157</f>
        <v>0</v>
      </c>
      <c r="I158">
        <f>'[28]GABM_R03_MitchellAPI-data'!$H157</f>
        <v>0</v>
      </c>
      <c r="J158">
        <f>'[29]GABM_R03_SudipaAPI-data'!$H157</f>
        <v>0</v>
      </c>
      <c r="K158">
        <f>'[30]R03_GABM_run2-data'!$H157</f>
        <v>0</v>
      </c>
      <c r="L158">
        <f t="shared" si="4"/>
        <v>0</v>
      </c>
      <c r="N158">
        <f t="shared" si="5"/>
        <v>376.40000000000015</v>
      </c>
    </row>
    <row r="159" spans="1:14" x14ac:dyDescent="0.35">
      <c r="A159">
        <v>156</v>
      </c>
      <c r="B159">
        <f>'[21]R03_GABM-data'!$H158</f>
        <v>0</v>
      </c>
      <c r="C159">
        <f>'[22]GABM_R03_RossAPI-data'!$H158</f>
        <v>0</v>
      </c>
      <c r="D159">
        <f>'[23]GABM_R03_RandiAPI-data'!$H158</f>
        <v>0</v>
      </c>
      <c r="E159">
        <f>'[24]GABM_R03_NavidAPI-data'!$H158</f>
        <v>0</v>
      </c>
      <c r="F159">
        <f>'[25]GABM_R03_Terry-data'!$H158</f>
        <v>0</v>
      </c>
      <c r="G159">
        <f>'[26]GABM_R03_SarahAPI-data'!$H158</f>
        <v>0</v>
      </c>
      <c r="H159">
        <f>'[27]GABM_R03_savannah-data'!$H158</f>
        <v>0</v>
      </c>
      <c r="I159">
        <f>'[28]GABM_R03_MitchellAPI-data'!$H158</f>
        <v>0</v>
      </c>
      <c r="J159">
        <f>'[29]GABM_R03_SudipaAPI-data'!$H158</f>
        <v>0</v>
      </c>
      <c r="K159">
        <f>'[30]R03_GABM_run2-data'!$H158</f>
        <v>0</v>
      </c>
      <c r="L159">
        <f t="shared" si="4"/>
        <v>0</v>
      </c>
      <c r="N159">
        <f t="shared" si="5"/>
        <v>376.40000000000015</v>
      </c>
    </row>
    <row r="160" spans="1:14" x14ac:dyDescent="0.35">
      <c r="A160">
        <v>157</v>
      </c>
      <c r="B160">
        <f>'[21]R03_GABM-data'!$H159</f>
        <v>0</v>
      </c>
      <c r="C160">
        <f>'[22]GABM_R03_RossAPI-data'!$H159</f>
        <v>0</v>
      </c>
      <c r="D160">
        <f>'[23]GABM_R03_RandiAPI-data'!$H159</f>
        <v>0</v>
      </c>
      <c r="E160">
        <f>'[24]GABM_R03_NavidAPI-data'!$H159</f>
        <v>0</v>
      </c>
      <c r="F160">
        <f>'[25]GABM_R03_Terry-data'!$H159</f>
        <v>0</v>
      </c>
      <c r="G160">
        <f>'[26]GABM_R03_SarahAPI-data'!$H159</f>
        <v>0</v>
      </c>
      <c r="H160">
        <f>'[27]GABM_R03_savannah-data'!$H159</f>
        <v>0</v>
      </c>
      <c r="I160">
        <f>'[28]GABM_R03_MitchellAPI-data'!$H159</f>
        <v>0</v>
      </c>
      <c r="J160">
        <f>'[29]GABM_R03_SudipaAPI-data'!$H159</f>
        <v>0</v>
      </c>
      <c r="K160">
        <f>'[30]R03_GABM_run2-data'!$H159</f>
        <v>0</v>
      </c>
      <c r="L160">
        <f t="shared" si="4"/>
        <v>0</v>
      </c>
      <c r="N160">
        <f t="shared" si="5"/>
        <v>376.40000000000015</v>
      </c>
    </row>
    <row r="161" spans="1:14" x14ac:dyDescent="0.35">
      <c r="A161">
        <v>158</v>
      </c>
      <c r="B161">
        <f>'[21]R03_GABM-data'!$H160</f>
        <v>0</v>
      </c>
      <c r="C161">
        <f>'[22]GABM_R03_RossAPI-data'!$H160</f>
        <v>0</v>
      </c>
      <c r="D161">
        <f>'[23]GABM_R03_RandiAPI-data'!$H160</f>
        <v>0</v>
      </c>
      <c r="E161">
        <f>'[24]GABM_R03_NavidAPI-data'!$H160</f>
        <v>0</v>
      </c>
      <c r="F161">
        <f>'[25]GABM_R03_Terry-data'!$H160</f>
        <v>0</v>
      </c>
      <c r="G161">
        <f>'[26]GABM_R03_SarahAPI-data'!$H160</f>
        <v>0</v>
      </c>
      <c r="H161">
        <f>'[27]GABM_R03_savannah-data'!$H160</f>
        <v>0</v>
      </c>
      <c r="I161">
        <f>'[28]GABM_R03_MitchellAPI-data'!$H160</f>
        <v>0</v>
      </c>
      <c r="J161">
        <f>'[29]GABM_R03_SudipaAPI-data'!$H160</f>
        <v>0</v>
      </c>
      <c r="K161">
        <f>'[30]R03_GABM_run2-data'!$H160</f>
        <v>0</v>
      </c>
      <c r="L161">
        <f t="shared" si="4"/>
        <v>0</v>
      </c>
      <c r="N161">
        <f t="shared" si="5"/>
        <v>376.40000000000015</v>
      </c>
    </row>
    <row r="162" spans="1:14" x14ac:dyDescent="0.35">
      <c r="A162">
        <v>159</v>
      </c>
      <c r="B162">
        <f>'[21]R03_GABM-data'!$H161</f>
        <v>0</v>
      </c>
      <c r="C162">
        <f>'[22]GABM_R03_RossAPI-data'!$H161</f>
        <v>0</v>
      </c>
      <c r="D162">
        <f>'[23]GABM_R03_RandiAPI-data'!$H161</f>
        <v>0</v>
      </c>
      <c r="E162">
        <f>'[24]GABM_R03_NavidAPI-data'!$H161</f>
        <v>0</v>
      </c>
      <c r="F162">
        <f>'[25]GABM_R03_Terry-data'!$H161</f>
        <v>0</v>
      </c>
      <c r="G162">
        <f>'[26]GABM_R03_SarahAPI-data'!$H161</f>
        <v>0</v>
      </c>
      <c r="H162">
        <f>'[27]GABM_R03_savannah-data'!$H161</f>
        <v>0</v>
      </c>
      <c r="I162">
        <f>'[28]GABM_R03_MitchellAPI-data'!$H161</f>
        <v>0</v>
      </c>
      <c r="J162">
        <f>'[29]GABM_R03_SudipaAPI-data'!$H161</f>
        <v>0</v>
      </c>
      <c r="K162">
        <f>'[30]R03_GABM_run2-data'!$H161</f>
        <v>0</v>
      </c>
      <c r="L162">
        <f t="shared" si="4"/>
        <v>0</v>
      </c>
      <c r="N162">
        <f t="shared" si="5"/>
        <v>376.40000000000015</v>
      </c>
    </row>
    <row r="163" spans="1:14" x14ac:dyDescent="0.35">
      <c r="A163">
        <v>160</v>
      </c>
      <c r="B163">
        <f>'[21]R03_GABM-data'!$H162</f>
        <v>0</v>
      </c>
      <c r="C163">
        <f>'[22]GABM_R03_RossAPI-data'!$H162</f>
        <v>0</v>
      </c>
      <c r="D163">
        <f>'[23]GABM_R03_RandiAPI-data'!$H162</f>
        <v>0</v>
      </c>
      <c r="E163">
        <f>'[24]GABM_R03_NavidAPI-data'!$H162</f>
        <v>0</v>
      </c>
      <c r="F163">
        <f>'[25]GABM_R03_Terry-data'!$H162</f>
        <v>0</v>
      </c>
      <c r="G163">
        <f>'[26]GABM_R03_SarahAPI-data'!$H162</f>
        <v>0</v>
      </c>
      <c r="H163">
        <f>'[27]GABM_R03_savannah-data'!$H162</f>
        <v>0</v>
      </c>
      <c r="I163">
        <f>'[28]GABM_R03_MitchellAPI-data'!$H162</f>
        <v>0</v>
      </c>
      <c r="J163">
        <f>'[29]GABM_R03_SudipaAPI-data'!$H162</f>
        <v>1</v>
      </c>
      <c r="K163">
        <f>'[30]R03_GABM_run2-data'!$H162</f>
        <v>0</v>
      </c>
      <c r="L163">
        <f t="shared" si="4"/>
        <v>0.1</v>
      </c>
      <c r="N163">
        <f t="shared" si="5"/>
        <v>376.50000000000017</v>
      </c>
    </row>
    <row r="164" spans="1:14" x14ac:dyDescent="0.35">
      <c r="A164">
        <v>161</v>
      </c>
      <c r="B164">
        <f>'[21]R03_GABM-data'!$H163</f>
        <v>0</v>
      </c>
      <c r="C164">
        <f>'[22]GABM_R03_RossAPI-data'!$H163</f>
        <v>0</v>
      </c>
      <c r="D164">
        <f>'[23]GABM_R03_RandiAPI-data'!$H163</f>
        <v>0</v>
      </c>
      <c r="E164">
        <f>'[24]GABM_R03_NavidAPI-data'!$H163</f>
        <v>0</v>
      </c>
      <c r="F164">
        <f>'[25]GABM_R03_Terry-data'!$H163</f>
        <v>0</v>
      </c>
      <c r="G164">
        <f>'[26]GABM_R03_SarahAPI-data'!$H163</f>
        <v>0</v>
      </c>
      <c r="H164">
        <f>'[27]GABM_R03_savannah-data'!$H163</f>
        <v>0</v>
      </c>
      <c r="I164">
        <f>'[28]GABM_R03_MitchellAPI-data'!$H163</f>
        <v>0</v>
      </c>
      <c r="J164">
        <f>'[29]GABM_R03_SudipaAPI-data'!$H163</f>
        <v>0</v>
      </c>
      <c r="K164">
        <f>'[30]R03_GABM_run2-data'!$H163</f>
        <v>0</v>
      </c>
      <c r="L164">
        <f t="shared" si="4"/>
        <v>0</v>
      </c>
      <c r="N164">
        <f t="shared" si="5"/>
        <v>376.50000000000017</v>
      </c>
    </row>
    <row r="165" spans="1:14" x14ac:dyDescent="0.35">
      <c r="A165">
        <v>162</v>
      </c>
      <c r="B165">
        <f>'[21]R03_GABM-data'!$H164</f>
        <v>0</v>
      </c>
      <c r="C165">
        <f>'[22]GABM_R03_RossAPI-data'!$H164</f>
        <v>0</v>
      </c>
      <c r="D165">
        <f>'[23]GABM_R03_RandiAPI-data'!$H164</f>
        <v>0</v>
      </c>
      <c r="E165">
        <f>'[24]GABM_R03_NavidAPI-data'!$H164</f>
        <v>0</v>
      </c>
      <c r="F165">
        <f>'[25]GABM_R03_Terry-data'!$H164</f>
        <v>0</v>
      </c>
      <c r="G165">
        <f>'[26]GABM_R03_SarahAPI-data'!$H164</f>
        <v>0</v>
      </c>
      <c r="H165">
        <f>'[27]GABM_R03_savannah-data'!$H164</f>
        <v>0</v>
      </c>
      <c r="I165">
        <f>'[28]GABM_R03_MitchellAPI-data'!$H164</f>
        <v>0</v>
      </c>
      <c r="J165">
        <f>'[29]GABM_R03_SudipaAPI-data'!$H164</f>
        <v>2</v>
      </c>
      <c r="K165">
        <f>'[30]R03_GABM_run2-data'!$H164</f>
        <v>0</v>
      </c>
      <c r="L165">
        <f t="shared" si="4"/>
        <v>0.2</v>
      </c>
      <c r="N165">
        <f t="shared" si="5"/>
        <v>376.70000000000016</v>
      </c>
    </row>
    <row r="166" spans="1:14" x14ac:dyDescent="0.35">
      <c r="A166">
        <v>163</v>
      </c>
      <c r="B166">
        <f>'[21]R03_GABM-data'!$H165</f>
        <v>0</v>
      </c>
      <c r="C166">
        <f>'[22]GABM_R03_RossAPI-data'!$H165</f>
        <v>0</v>
      </c>
      <c r="D166">
        <f>'[23]GABM_R03_RandiAPI-data'!$H165</f>
        <v>0</v>
      </c>
      <c r="E166">
        <f>'[24]GABM_R03_NavidAPI-data'!$H165</f>
        <v>0</v>
      </c>
      <c r="F166">
        <f>'[25]GABM_R03_Terry-data'!$H165</f>
        <v>0</v>
      </c>
      <c r="G166">
        <f>'[26]GABM_R03_SarahAPI-data'!$H165</f>
        <v>0</v>
      </c>
      <c r="H166">
        <f>'[27]GABM_R03_savannah-data'!$H165</f>
        <v>0</v>
      </c>
      <c r="I166">
        <f>'[28]GABM_R03_MitchellAPI-data'!$H165</f>
        <v>0</v>
      </c>
      <c r="J166">
        <f>'[29]GABM_R03_SudipaAPI-data'!$H165</f>
        <v>3</v>
      </c>
      <c r="K166">
        <f>'[30]R03_GABM_run2-data'!$H165</f>
        <v>0</v>
      </c>
      <c r="L166">
        <f t="shared" si="4"/>
        <v>0.3</v>
      </c>
      <c r="N166">
        <f t="shared" si="5"/>
        <v>377.00000000000017</v>
      </c>
    </row>
    <row r="167" spans="1:14" x14ac:dyDescent="0.35">
      <c r="A167">
        <v>164</v>
      </c>
      <c r="B167">
        <f>'[21]R03_GABM-data'!$H166</f>
        <v>0</v>
      </c>
      <c r="C167">
        <f>'[22]GABM_R03_RossAPI-data'!$H166</f>
        <v>0</v>
      </c>
      <c r="D167">
        <f>'[23]GABM_R03_RandiAPI-data'!$H166</f>
        <v>0</v>
      </c>
      <c r="E167">
        <f>'[24]GABM_R03_NavidAPI-data'!$H166</f>
        <v>0</v>
      </c>
      <c r="F167">
        <f>'[25]GABM_R03_Terry-data'!$H166</f>
        <v>0</v>
      </c>
      <c r="G167">
        <f>'[26]GABM_R03_SarahAPI-data'!$H166</f>
        <v>0</v>
      </c>
      <c r="H167">
        <f>'[27]GABM_R03_savannah-data'!$H166</f>
        <v>0</v>
      </c>
      <c r="I167">
        <f>'[28]GABM_R03_MitchellAPI-data'!$H166</f>
        <v>0</v>
      </c>
      <c r="J167">
        <f>'[29]GABM_R03_SudipaAPI-data'!$H166</f>
        <v>3</v>
      </c>
      <c r="K167">
        <f>'[30]R03_GABM_run2-data'!$H166</f>
        <v>0</v>
      </c>
      <c r="L167">
        <f t="shared" si="4"/>
        <v>0.3</v>
      </c>
      <c r="N167">
        <f t="shared" si="5"/>
        <v>377.30000000000018</v>
      </c>
    </row>
    <row r="168" spans="1:14" x14ac:dyDescent="0.35">
      <c r="A168">
        <v>165</v>
      </c>
      <c r="B168">
        <f>'[21]R03_GABM-data'!$H167</f>
        <v>0</v>
      </c>
      <c r="C168">
        <f>'[22]GABM_R03_RossAPI-data'!$H167</f>
        <v>0</v>
      </c>
      <c r="D168">
        <f>'[23]GABM_R03_RandiAPI-data'!$H167</f>
        <v>0</v>
      </c>
      <c r="E168">
        <f>'[24]GABM_R03_NavidAPI-data'!$H167</f>
        <v>0</v>
      </c>
      <c r="F168">
        <f>'[25]GABM_R03_Terry-data'!$H167</f>
        <v>0</v>
      </c>
      <c r="G168">
        <f>'[26]GABM_R03_SarahAPI-data'!$H167</f>
        <v>0</v>
      </c>
      <c r="H168">
        <f>'[27]GABM_R03_savannah-data'!$H167</f>
        <v>0</v>
      </c>
      <c r="I168">
        <f>'[28]GABM_R03_MitchellAPI-data'!$H167</f>
        <v>0</v>
      </c>
      <c r="J168">
        <f>'[29]GABM_R03_SudipaAPI-data'!$H167</f>
        <v>6</v>
      </c>
      <c r="K168">
        <f>'[30]R03_GABM_run2-data'!$H167</f>
        <v>0</v>
      </c>
      <c r="L168">
        <f t="shared" si="4"/>
        <v>0.6</v>
      </c>
      <c r="N168">
        <f t="shared" si="5"/>
        <v>377.9000000000002</v>
      </c>
    </row>
    <row r="169" spans="1:14" x14ac:dyDescent="0.35">
      <c r="A169">
        <v>166</v>
      </c>
      <c r="B169">
        <f>'[21]R03_GABM-data'!$H168</f>
        <v>0</v>
      </c>
      <c r="C169">
        <f>'[22]GABM_R03_RossAPI-data'!$H168</f>
        <v>0</v>
      </c>
      <c r="D169">
        <f>'[23]GABM_R03_RandiAPI-data'!$H168</f>
        <v>0</v>
      </c>
      <c r="E169">
        <f>'[24]GABM_R03_NavidAPI-data'!$H168</f>
        <v>0</v>
      </c>
      <c r="F169">
        <f>'[25]GABM_R03_Terry-data'!$H168</f>
        <v>0</v>
      </c>
      <c r="G169">
        <f>'[26]GABM_R03_SarahAPI-data'!$H168</f>
        <v>0</v>
      </c>
      <c r="H169">
        <f>'[27]GABM_R03_savannah-data'!$H168</f>
        <v>0</v>
      </c>
      <c r="I169">
        <f>'[28]GABM_R03_MitchellAPI-data'!$H168</f>
        <v>0</v>
      </c>
      <c r="J169">
        <f>'[29]GABM_R03_SudipaAPI-data'!$H168</f>
        <v>6</v>
      </c>
      <c r="K169">
        <f>'[30]R03_GABM_run2-data'!$H168</f>
        <v>0</v>
      </c>
      <c r="L169">
        <f t="shared" si="4"/>
        <v>0.6</v>
      </c>
      <c r="N169">
        <f t="shared" si="5"/>
        <v>378.50000000000023</v>
      </c>
    </row>
    <row r="170" spans="1:14" x14ac:dyDescent="0.35">
      <c r="A170">
        <v>167</v>
      </c>
      <c r="B170">
        <f>'[21]R03_GABM-data'!$H169</f>
        <v>0</v>
      </c>
      <c r="C170">
        <f>'[22]GABM_R03_RossAPI-data'!$H169</f>
        <v>0</v>
      </c>
      <c r="D170">
        <f>'[23]GABM_R03_RandiAPI-data'!$H169</f>
        <v>0</v>
      </c>
      <c r="E170">
        <f>'[24]GABM_R03_NavidAPI-data'!$H169</f>
        <v>0</v>
      </c>
      <c r="F170">
        <f>'[25]GABM_R03_Terry-data'!$H169</f>
        <v>0</v>
      </c>
      <c r="G170">
        <f>'[26]GABM_R03_SarahAPI-data'!$H169</f>
        <v>0</v>
      </c>
      <c r="H170">
        <f>'[27]GABM_R03_savannah-data'!$H169</f>
        <v>0</v>
      </c>
      <c r="I170">
        <f>'[28]GABM_R03_MitchellAPI-data'!$H169</f>
        <v>0</v>
      </c>
      <c r="J170">
        <f>'[29]GABM_R03_SudipaAPI-data'!$H169</f>
        <v>4</v>
      </c>
      <c r="K170">
        <f>'[30]R03_GABM_run2-data'!$H169</f>
        <v>0</v>
      </c>
      <c r="L170">
        <f t="shared" si="4"/>
        <v>0.4</v>
      </c>
      <c r="N170">
        <f t="shared" si="5"/>
        <v>378.9000000000002</v>
      </c>
    </row>
    <row r="171" spans="1:14" x14ac:dyDescent="0.35">
      <c r="A171">
        <v>168</v>
      </c>
      <c r="B171">
        <f>'[21]R03_GABM-data'!$H170</f>
        <v>0</v>
      </c>
      <c r="C171">
        <f>'[22]GABM_R03_RossAPI-data'!$H170</f>
        <v>0</v>
      </c>
      <c r="D171">
        <f>'[23]GABM_R03_RandiAPI-data'!$H170</f>
        <v>0</v>
      </c>
      <c r="E171">
        <f>'[24]GABM_R03_NavidAPI-data'!$H170</f>
        <v>0</v>
      </c>
      <c r="F171">
        <f>'[25]GABM_R03_Terry-data'!$H170</f>
        <v>0</v>
      </c>
      <c r="G171">
        <f>'[26]GABM_R03_SarahAPI-data'!$H170</f>
        <v>0</v>
      </c>
      <c r="H171">
        <f>'[27]GABM_R03_savannah-data'!$H170</f>
        <v>0</v>
      </c>
      <c r="I171">
        <f>'[28]GABM_R03_MitchellAPI-data'!$H170</f>
        <v>0</v>
      </c>
      <c r="J171">
        <f>'[29]GABM_R03_SudipaAPI-data'!$H170</f>
        <v>6</v>
      </c>
      <c r="K171">
        <f>'[30]R03_GABM_run2-data'!$H170</f>
        <v>0</v>
      </c>
      <c r="L171">
        <f t="shared" si="4"/>
        <v>0.6</v>
      </c>
      <c r="N171">
        <f t="shared" si="5"/>
        <v>379.50000000000023</v>
      </c>
    </row>
    <row r="172" spans="1:14" x14ac:dyDescent="0.35">
      <c r="A172">
        <v>169</v>
      </c>
      <c r="B172">
        <f>'[21]R03_GABM-data'!$H171</f>
        <v>0</v>
      </c>
      <c r="C172">
        <f>'[22]GABM_R03_RossAPI-data'!$H171</f>
        <v>0</v>
      </c>
      <c r="D172">
        <f>'[23]GABM_R03_RandiAPI-data'!$H171</f>
        <v>0</v>
      </c>
      <c r="E172">
        <f>'[24]GABM_R03_NavidAPI-data'!$H171</f>
        <v>0</v>
      </c>
      <c r="F172">
        <f>'[25]GABM_R03_Terry-data'!$H171</f>
        <v>0</v>
      </c>
      <c r="G172">
        <f>'[26]GABM_R03_SarahAPI-data'!$H171</f>
        <v>0</v>
      </c>
      <c r="H172">
        <f>'[27]GABM_R03_savannah-data'!$H171</f>
        <v>0</v>
      </c>
      <c r="I172">
        <f>'[28]GABM_R03_MitchellAPI-data'!$H171</f>
        <v>0</v>
      </c>
      <c r="J172">
        <f>'[29]GABM_R03_SudipaAPI-data'!$H171</f>
        <v>2</v>
      </c>
      <c r="K172">
        <f>'[30]R03_GABM_run2-data'!$H171</f>
        <v>0</v>
      </c>
      <c r="L172">
        <f t="shared" si="4"/>
        <v>0.2</v>
      </c>
      <c r="N172">
        <f t="shared" si="5"/>
        <v>379.70000000000022</v>
      </c>
    </row>
    <row r="173" spans="1:14" x14ac:dyDescent="0.35">
      <c r="A173">
        <v>170</v>
      </c>
      <c r="B173">
        <f>'[21]R03_GABM-data'!$H172</f>
        <v>0</v>
      </c>
      <c r="C173">
        <f>'[22]GABM_R03_RossAPI-data'!$H172</f>
        <v>0</v>
      </c>
      <c r="D173">
        <f>'[23]GABM_R03_RandiAPI-data'!$H172</f>
        <v>0</v>
      </c>
      <c r="E173">
        <f>'[24]GABM_R03_NavidAPI-data'!$H172</f>
        <v>0</v>
      </c>
      <c r="F173">
        <f>'[25]GABM_R03_Terry-data'!$H172</f>
        <v>0</v>
      </c>
      <c r="G173">
        <f>'[26]GABM_R03_SarahAPI-data'!$H172</f>
        <v>0</v>
      </c>
      <c r="H173">
        <f>'[27]GABM_R03_savannah-data'!$H172</f>
        <v>0</v>
      </c>
      <c r="I173">
        <f>'[28]GABM_R03_MitchellAPI-data'!$H172</f>
        <v>0</v>
      </c>
      <c r="J173">
        <f>'[29]GABM_R03_SudipaAPI-data'!$H172</f>
        <v>0</v>
      </c>
      <c r="K173">
        <f>'[30]R03_GABM_run2-data'!$H172</f>
        <v>0</v>
      </c>
      <c r="L173">
        <f t="shared" si="4"/>
        <v>0</v>
      </c>
      <c r="N173">
        <f t="shared" si="5"/>
        <v>379.70000000000022</v>
      </c>
    </row>
    <row r="174" spans="1:14" x14ac:dyDescent="0.35">
      <c r="A174">
        <v>171</v>
      </c>
      <c r="B174">
        <f>'[21]R03_GABM-data'!$H173</f>
        <v>0</v>
      </c>
      <c r="C174">
        <f>'[22]GABM_R03_RossAPI-data'!$H173</f>
        <v>0</v>
      </c>
      <c r="D174">
        <f>'[23]GABM_R03_RandiAPI-data'!$H173</f>
        <v>0</v>
      </c>
      <c r="E174">
        <f>'[24]GABM_R03_NavidAPI-data'!$H173</f>
        <v>0</v>
      </c>
      <c r="F174">
        <f>'[25]GABM_R03_Terry-data'!$H173</f>
        <v>0</v>
      </c>
      <c r="G174">
        <f>'[26]GABM_R03_SarahAPI-data'!$H173</f>
        <v>0</v>
      </c>
      <c r="H174">
        <f>'[27]GABM_R03_savannah-data'!$H173</f>
        <v>0</v>
      </c>
      <c r="I174">
        <f>'[28]GABM_R03_MitchellAPI-data'!$H173</f>
        <v>0</v>
      </c>
      <c r="J174">
        <f>'[29]GABM_R03_SudipaAPI-data'!$H173</f>
        <v>0</v>
      </c>
      <c r="K174">
        <f>'[30]R03_GABM_run2-data'!$H173</f>
        <v>0</v>
      </c>
      <c r="L174">
        <f t="shared" si="4"/>
        <v>0</v>
      </c>
      <c r="N174">
        <f t="shared" si="5"/>
        <v>379.70000000000022</v>
      </c>
    </row>
    <row r="175" spans="1:14" x14ac:dyDescent="0.35">
      <c r="A175">
        <v>172</v>
      </c>
      <c r="B175">
        <f>'[21]R03_GABM-data'!$H174</f>
        <v>0</v>
      </c>
      <c r="C175">
        <f>'[22]GABM_R03_RossAPI-data'!$H174</f>
        <v>0</v>
      </c>
      <c r="D175">
        <f>'[23]GABM_R03_RandiAPI-data'!$H174</f>
        <v>0</v>
      </c>
      <c r="E175">
        <f>'[24]GABM_R03_NavidAPI-data'!$H174</f>
        <v>0</v>
      </c>
      <c r="F175">
        <f>'[25]GABM_R03_Terry-data'!$H174</f>
        <v>0</v>
      </c>
      <c r="G175">
        <f>'[26]GABM_R03_SarahAPI-data'!$H174</f>
        <v>0</v>
      </c>
      <c r="H175">
        <f>'[27]GABM_R03_savannah-data'!$H174</f>
        <v>0</v>
      </c>
      <c r="I175">
        <f>'[28]GABM_R03_MitchellAPI-data'!$H174</f>
        <v>0</v>
      </c>
      <c r="J175">
        <f>'[29]GABM_R03_SudipaAPI-data'!$H174</f>
        <v>0</v>
      </c>
      <c r="K175">
        <f>'[30]R03_GABM_run2-data'!$H174</f>
        <v>0</v>
      </c>
      <c r="L175">
        <f t="shared" si="4"/>
        <v>0</v>
      </c>
      <c r="N175">
        <f t="shared" si="5"/>
        <v>379.70000000000022</v>
      </c>
    </row>
    <row r="176" spans="1:14" x14ac:dyDescent="0.35">
      <c r="A176">
        <v>173</v>
      </c>
      <c r="B176">
        <f>'[21]R03_GABM-data'!$H175</f>
        <v>0</v>
      </c>
      <c r="C176">
        <f>'[22]GABM_R03_RossAPI-data'!$H175</f>
        <v>0</v>
      </c>
      <c r="D176">
        <f>'[23]GABM_R03_RandiAPI-data'!$H175</f>
        <v>0</v>
      </c>
      <c r="E176">
        <f>'[24]GABM_R03_NavidAPI-data'!$H175</f>
        <v>0</v>
      </c>
      <c r="F176">
        <f>'[25]GABM_R03_Terry-data'!$H175</f>
        <v>0</v>
      </c>
      <c r="G176">
        <f>'[26]GABM_R03_SarahAPI-data'!$H175</f>
        <v>0</v>
      </c>
      <c r="H176">
        <f>'[27]GABM_R03_savannah-data'!$H175</f>
        <v>0</v>
      </c>
      <c r="I176">
        <f>'[28]GABM_R03_MitchellAPI-data'!$H175</f>
        <v>0</v>
      </c>
      <c r="J176">
        <f>'[29]GABM_R03_SudipaAPI-data'!$H175</f>
        <v>0</v>
      </c>
      <c r="K176">
        <f>'[30]R03_GABM_run2-data'!$H175</f>
        <v>0</v>
      </c>
      <c r="L176">
        <f t="shared" si="4"/>
        <v>0</v>
      </c>
      <c r="N176">
        <f t="shared" si="5"/>
        <v>379.70000000000022</v>
      </c>
    </row>
    <row r="177" spans="1:14" x14ac:dyDescent="0.35">
      <c r="A177">
        <v>174</v>
      </c>
      <c r="B177">
        <f>'[21]R03_GABM-data'!$H176</f>
        <v>0</v>
      </c>
      <c r="C177">
        <f>'[22]GABM_R03_RossAPI-data'!$H176</f>
        <v>0</v>
      </c>
      <c r="D177">
        <f>'[23]GABM_R03_RandiAPI-data'!$H176</f>
        <v>0</v>
      </c>
      <c r="E177">
        <f>'[24]GABM_R03_NavidAPI-data'!$H176</f>
        <v>0</v>
      </c>
      <c r="F177">
        <f>'[25]GABM_R03_Terry-data'!$H176</f>
        <v>0</v>
      </c>
      <c r="G177">
        <f>'[26]GABM_R03_SarahAPI-data'!$H176</f>
        <v>0</v>
      </c>
      <c r="H177">
        <f>'[27]GABM_R03_savannah-data'!$H176</f>
        <v>0</v>
      </c>
      <c r="I177">
        <f>'[28]GABM_R03_MitchellAPI-data'!$H176</f>
        <v>0</v>
      </c>
      <c r="J177">
        <f>'[29]GABM_R03_SudipaAPI-data'!$H176</f>
        <v>1</v>
      </c>
      <c r="K177">
        <f>'[30]R03_GABM_run2-data'!$H176</f>
        <v>0</v>
      </c>
      <c r="L177">
        <f t="shared" si="4"/>
        <v>0.1</v>
      </c>
      <c r="N177">
        <f t="shared" si="5"/>
        <v>379.80000000000024</v>
      </c>
    </row>
    <row r="178" spans="1:14" x14ac:dyDescent="0.35">
      <c r="A178">
        <v>175</v>
      </c>
      <c r="B178">
        <f>'[21]R03_GABM-data'!$H177</f>
        <v>0</v>
      </c>
      <c r="C178">
        <f>'[22]GABM_R03_RossAPI-data'!$H177</f>
        <v>0</v>
      </c>
      <c r="D178">
        <f>'[23]GABM_R03_RandiAPI-data'!$H177</f>
        <v>0</v>
      </c>
      <c r="E178">
        <f>'[24]GABM_R03_NavidAPI-data'!$H177</f>
        <v>0</v>
      </c>
      <c r="F178">
        <f>'[25]GABM_R03_Terry-data'!$H177</f>
        <v>0</v>
      </c>
      <c r="G178">
        <f>'[26]GABM_R03_SarahAPI-data'!$H177</f>
        <v>0</v>
      </c>
      <c r="H178">
        <f>'[27]GABM_R03_savannah-data'!$H177</f>
        <v>0</v>
      </c>
      <c r="I178">
        <f>'[28]GABM_R03_MitchellAPI-data'!$H177</f>
        <v>0</v>
      </c>
      <c r="J178">
        <f>'[29]GABM_R03_SudipaAPI-data'!$H177</f>
        <v>1</v>
      </c>
      <c r="K178">
        <f>'[30]R03_GABM_run2-data'!$H177</f>
        <v>0</v>
      </c>
      <c r="L178">
        <f t="shared" si="4"/>
        <v>0.1</v>
      </c>
      <c r="N178">
        <f t="shared" si="5"/>
        <v>379.90000000000026</v>
      </c>
    </row>
    <row r="179" spans="1:14" x14ac:dyDescent="0.35">
      <c r="A179">
        <v>176</v>
      </c>
      <c r="B179">
        <f>'[21]R03_GABM-data'!$H178</f>
        <v>0</v>
      </c>
      <c r="C179">
        <f>'[22]GABM_R03_RossAPI-data'!$H178</f>
        <v>0</v>
      </c>
      <c r="D179">
        <f>'[23]GABM_R03_RandiAPI-data'!$H178</f>
        <v>0</v>
      </c>
      <c r="E179">
        <f>'[24]GABM_R03_NavidAPI-data'!$H178</f>
        <v>0</v>
      </c>
      <c r="F179">
        <f>'[25]GABM_R03_Terry-data'!$H178</f>
        <v>0</v>
      </c>
      <c r="G179">
        <f>'[26]GABM_R03_SarahAPI-data'!$H178</f>
        <v>0</v>
      </c>
      <c r="H179">
        <f>'[27]GABM_R03_savannah-data'!$H178</f>
        <v>0</v>
      </c>
      <c r="I179">
        <f>'[28]GABM_R03_MitchellAPI-data'!$H178</f>
        <v>0</v>
      </c>
      <c r="J179">
        <f>'[29]GABM_R03_SudipaAPI-data'!$H178</f>
        <v>1</v>
      </c>
      <c r="K179">
        <f>'[30]R03_GABM_run2-data'!$H178</f>
        <v>0</v>
      </c>
      <c r="L179">
        <f t="shared" si="4"/>
        <v>0.1</v>
      </c>
      <c r="N179">
        <f t="shared" si="5"/>
        <v>380.00000000000028</v>
      </c>
    </row>
    <row r="180" spans="1:14" x14ac:dyDescent="0.35">
      <c r="A180">
        <v>177</v>
      </c>
      <c r="B180">
        <f>'[21]R03_GABM-data'!$H179</f>
        <v>0</v>
      </c>
      <c r="C180">
        <f>'[22]GABM_R03_RossAPI-data'!$H179</f>
        <v>0</v>
      </c>
      <c r="D180">
        <f>'[23]GABM_R03_RandiAPI-data'!$H179</f>
        <v>0</v>
      </c>
      <c r="E180">
        <f>'[24]GABM_R03_NavidAPI-data'!$H179</f>
        <v>0</v>
      </c>
      <c r="F180">
        <f>'[25]GABM_R03_Terry-data'!$H179</f>
        <v>0</v>
      </c>
      <c r="G180">
        <f>'[26]GABM_R03_SarahAPI-data'!$H179</f>
        <v>0</v>
      </c>
      <c r="H180">
        <f>'[27]GABM_R03_savannah-data'!$H179</f>
        <v>0</v>
      </c>
      <c r="I180">
        <f>'[28]GABM_R03_MitchellAPI-data'!$H179</f>
        <v>0</v>
      </c>
      <c r="J180">
        <f>'[29]GABM_R03_SudipaAPI-data'!$H179</f>
        <v>2</v>
      </c>
      <c r="K180">
        <f>'[30]R03_GABM_run2-data'!$H179</f>
        <v>0</v>
      </c>
      <c r="L180">
        <f t="shared" si="4"/>
        <v>0.2</v>
      </c>
      <c r="N180">
        <f t="shared" si="5"/>
        <v>380.20000000000027</v>
      </c>
    </row>
    <row r="181" spans="1:14" x14ac:dyDescent="0.35">
      <c r="A181">
        <v>178</v>
      </c>
      <c r="B181">
        <f>'[21]R03_GABM-data'!$H180</f>
        <v>0</v>
      </c>
      <c r="C181">
        <f>'[22]GABM_R03_RossAPI-data'!$H180</f>
        <v>0</v>
      </c>
      <c r="D181">
        <f>'[23]GABM_R03_RandiAPI-data'!$H180</f>
        <v>0</v>
      </c>
      <c r="E181">
        <f>'[24]GABM_R03_NavidAPI-data'!$H180</f>
        <v>0</v>
      </c>
      <c r="F181">
        <f>'[25]GABM_R03_Terry-data'!$H180</f>
        <v>0</v>
      </c>
      <c r="G181">
        <f>'[26]GABM_R03_SarahAPI-data'!$H180</f>
        <v>0</v>
      </c>
      <c r="H181">
        <f>'[27]GABM_R03_savannah-data'!$H180</f>
        <v>0</v>
      </c>
      <c r="I181">
        <f>'[28]GABM_R03_MitchellAPI-data'!$H180</f>
        <v>0</v>
      </c>
      <c r="J181">
        <f>'[29]GABM_R03_SudipaAPI-data'!$H180</f>
        <v>0</v>
      </c>
      <c r="K181">
        <f>'[30]R03_GABM_run2-data'!$H180</f>
        <v>0</v>
      </c>
      <c r="L181">
        <f t="shared" si="4"/>
        <v>0</v>
      </c>
      <c r="N181">
        <f t="shared" si="5"/>
        <v>380.20000000000027</v>
      </c>
    </row>
    <row r="182" spans="1:14" x14ac:dyDescent="0.35">
      <c r="A182">
        <v>179</v>
      </c>
      <c r="B182">
        <f>'[21]R03_GABM-data'!$H181</f>
        <v>0</v>
      </c>
      <c r="C182">
        <f>'[22]GABM_R03_RossAPI-data'!$H181</f>
        <v>0</v>
      </c>
      <c r="D182">
        <f>'[23]GABM_R03_RandiAPI-data'!$H181</f>
        <v>0</v>
      </c>
      <c r="E182">
        <f>'[24]GABM_R03_NavidAPI-data'!$H181</f>
        <v>0</v>
      </c>
      <c r="F182">
        <f>'[25]GABM_R03_Terry-data'!$H181</f>
        <v>0</v>
      </c>
      <c r="G182">
        <f>'[26]GABM_R03_SarahAPI-data'!$H181</f>
        <v>0</v>
      </c>
      <c r="H182">
        <f>'[27]GABM_R03_savannah-data'!$H181</f>
        <v>0</v>
      </c>
      <c r="I182">
        <f>'[28]GABM_R03_MitchellAPI-data'!$H181</f>
        <v>0</v>
      </c>
      <c r="J182">
        <f>'[29]GABM_R03_SudipaAPI-data'!$H181</f>
        <v>1</v>
      </c>
      <c r="K182">
        <f>'[30]R03_GABM_run2-data'!$H181</f>
        <v>0</v>
      </c>
      <c r="L182">
        <f t="shared" si="4"/>
        <v>0.1</v>
      </c>
      <c r="N182">
        <f t="shared" si="5"/>
        <v>380.3000000000003</v>
      </c>
    </row>
    <row r="183" spans="1:14" x14ac:dyDescent="0.35">
      <c r="A183">
        <v>180</v>
      </c>
      <c r="B183">
        <f>'[21]R03_GABM-data'!$H182</f>
        <v>0</v>
      </c>
      <c r="C183">
        <f>'[22]GABM_R03_RossAPI-data'!$H182</f>
        <v>0</v>
      </c>
      <c r="D183">
        <f>'[23]GABM_R03_RandiAPI-data'!$H182</f>
        <v>0</v>
      </c>
      <c r="E183">
        <f>'[24]GABM_R03_NavidAPI-data'!$H182</f>
        <v>0</v>
      </c>
      <c r="F183">
        <f>'[25]GABM_R03_Terry-data'!$H182</f>
        <v>0</v>
      </c>
      <c r="G183">
        <f>'[26]GABM_R03_SarahAPI-data'!$H182</f>
        <v>0</v>
      </c>
      <c r="H183">
        <f>'[27]GABM_R03_savannah-data'!$H182</f>
        <v>0</v>
      </c>
      <c r="I183">
        <f>'[28]GABM_R03_MitchellAPI-data'!$H182</f>
        <v>0</v>
      </c>
      <c r="J183">
        <f>'[29]GABM_R03_SudipaAPI-data'!$H182</f>
        <v>1</v>
      </c>
      <c r="K183">
        <f>'[30]R03_GABM_run2-data'!$H182</f>
        <v>0</v>
      </c>
      <c r="L183">
        <f t="shared" si="4"/>
        <v>0.1</v>
      </c>
      <c r="N183">
        <f t="shared" si="5"/>
        <v>380.40000000000032</v>
      </c>
    </row>
    <row r="184" spans="1:14" x14ac:dyDescent="0.35">
      <c r="A184">
        <v>181</v>
      </c>
      <c r="B184">
        <f>'[21]R03_GABM-data'!$H183</f>
        <v>0</v>
      </c>
      <c r="C184">
        <f>'[22]GABM_R03_RossAPI-data'!$H183</f>
        <v>0</v>
      </c>
      <c r="D184">
        <f>'[23]GABM_R03_RandiAPI-data'!$H183</f>
        <v>0</v>
      </c>
      <c r="E184">
        <f>'[24]GABM_R03_NavidAPI-data'!$H183</f>
        <v>0</v>
      </c>
      <c r="F184">
        <f>'[25]GABM_R03_Terry-data'!$H183</f>
        <v>0</v>
      </c>
      <c r="G184">
        <f>'[26]GABM_R03_SarahAPI-data'!$H183</f>
        <v>0</v>
      </c>
      <c r="H184">
        <f>'[27]GABM_R03_savannah-data'!$H183</f>
        <v>0</v>
      </c>
      <c r="I184">
        <f>'[28]GABM_R03_MitchellAPI-data'!$H183</f>
        <v>0</v>
      </c>
      <c r="J184">
        <f>'[29]GABM_R03_SudipaAPI-data'!$H183</f>
        <v>0</v>
      </c>
      <c r="K184">
        <f>'[30]R03_GABM_run2-data'!$H183</f>
        <v>0</v>
      </c>
      <c r="L184">
        <f t="shared" si="4"/>
        <v>0</v>
      </c>
      <c r="N184">
        <f t="shared" si="5"/>
        <v>380.40000000000032</v>
      </c>
    </row>
    <row r="185" spans="1:14" x14ac:dyDescent="0.35">
      <c r="A185">
        <v>182</v>
      </c>
      <c r="B185">
        <f>'[21]R03_GABM-data'!$H184</f>
        <v>0</v>
      </c>
      <c r="C185">
        <f>'[22]GABM_R03_RossAPI-data'!$H184</f>
        <v>0</v>
      </c>
      <c r="D185">
        <f>'[23]GABM_R03_RandiAPI-data'!$H184</f>
        <v>0</v>
      </c>
      <c r="E185">
        <f>'[24]GABM_R03_NavidAPI-data'!$H184</f>
        <v>0</v>
      </c>
      <c r="F185">
        <f>'[25]GABM_R03_Terry-data'!$H184</f>
        <v>0</v>
      </c>
      <c r="G185">
        <f>'[26]GABM_R03_SarahAPI-data'!$H184</f>
        <v>0</v>
      </c>
      <c r="H185">
        <f>'[27]GABM_R03_savannah-data'!$H184</f>
        <v>0</v>
      </c>
      <c r="I185">
        <f>'[28]GABM_R03_MitchellAPI-data'!$H184</f>
        <v>0</v>
      </c>
      <c r="J185">
        <f>'[29]GABM_R03_SudipaAPI-data'!$H184</f>
        <v>2</v>
      </c>
      <c r="K185">
        <f>'[30]R03_GABM_run2-data'!$H184</f>
        <v>0</v>
      </c>
      <c r="L185">
        <f t="shared" si="4"/>
        <v>0.2</v>
      </c>
      <c r="N185">
        <f t="shared" si="5"/>
        <v>380.60000000000031</v>
      </c>
    </row>
    <row r="186" spans="1:14" x14ac:dyDescent="0.35">
      <c r="A186">
        <v>183</v>
      </c>
      <c r="B186">
        <f>'[21]R03_GABM-data'!$H185</f>
        <v>0</v>
      </c>
      <c r="C186">
        <f>'[22]GABM_R03_RossAPI-data'!$H185</f>
        <v>0</v>
      </c>
      <c r="D186">
        <f>'[23]GABM_R03_RandiAPI-data'!$H185</f>
        <v>0</v>
      </c>
      <c r="E186">
        <f>'[24]GABM_R03_NavidAPI-data'!$H185</f>
        <v>0</v>
      </c>
      <c r="F186">
        <f>'[25]GABM_R03_Terry-data'!$H185</f>
        <v>0</v>
      </c>
      <c r="G186">
        <f>'[26]GABM_R03_SarahAPI-data'!$H185</f>
        <v>0</v>
      </c>
      <c r="H186">
        <f>'[27]GABM_R03_savannah-data'!$H185</f>
        <v>0</v>
      </c>
      <c r="I186">
        <f>'[28]GABM_R03_MitchellAPI-data'!$H185</f>
        <v>0</v>
      </c>
      <c r="J186">
        <f>'[29]GABM_R03_SudipaAPI-data'!$H185</f>
        <v>1</v>
      </c>
      <c r="K186">
        <f>'[30]R03_GABM_run2-data'!$H185</f>
        <v>0</v>
      </c>
      <c r="L186">
        <f t="shared" si="4"/>
        <v>0.1</v>
      </c>
      <c r="N186">
        <f t="shared" si="5"/>
        <v>380.70000000000033</v>
      </c>
    </row>
    <row r="187" spans="1:14" x14ac:dyDescent="0.35">
      <c r="A187">
        <v>184</v>
      </c>
      <c r="B187">
        <f>'[21]R03_GABM-data'!$H186</f>
        <v>0</v>
      </c>
      <c r="C187">
        <f>'[22]GABM_R03_RossAPI-data'!$H186</f>
        <v>0</v>
      </c>
      <c r="D187">
        <f>'[23]GABM_R03_RandiAPI-data'!$H186</f>
        <v>0</v>
      </c>
      <c r="E187">
        <f>'[24]GABM_R03_NavidAPI-data'!$H186</f>
        <v>0</v>
      </c>
      <c r="F187">
        <f>'[25]GABM_R03_Terry-data'!$H186</f>
        <v>0</v>
      </c>
      <c r="G187">
        <f>'[26]GABM_R03_SarahAPI-data'!$H186</f>
        <v>0</v>
      </c>
      <c r="H187">
        <f>'[27]GABM_R03_savannah-data'!$H186</f>
        <v>0</v>
      </c>
      <c r="I187">
        <f>'[28]GABM_R03_MitchellAPI-data'!$H186</f>
        <v>0</v>
      </c>
      <c r="J187">
        <f>'[29]GABM_R03_SudipaAPI-data'!$H186</f>
        <v>1</v>
      </c>
      <c r="K187">
        <f>'[30]R03_GABM_run2-data'!$H186</f>
        <v>0</v>
      </c>
      <c r="L187">
        <f t="shared" si="4"/>
        <v>0.1</v>
      </c>
      <c r="N187">
        <f t="shared" si="5"/>
        <v>380.80000000000035</v>
      </c>
    </row>
    <row r="188" spans="1:14" x14ac:dyDescent="0.35">
      <c r="A188">
        <v>185</v>
      </c>
      <c r="B188">
        <f>'[21]R03_GABM-data'!$H187</f>
        <v>0</v>
      </c>
      <c r="C188">
        <f>'[22]GABM_R03_RossAPI-data'!$H187</f>
        <v>0</v>
      </c>
      <c r="D188">
        <f>'[23]GABM_R03_RandiAPI-data'!$H187</f>
        <v>0</v>
      </c>
      <c r="E188">
        <f>'[24]GABM_R03_NavidAPI-data'!$H187</f>
        <v>0</v>
      </c>
      <c r="F188">
        <f>'[25]GABM_R03_Terry-data'!$H187</f>
        <v>0</v>
      </c>
      <c r="G188">
        <f>'[26]GABM_R03_SarahAPI-data'!$H187</f>
        <v>0</v>
      </c>
      <c r="H188">
        <f>'[27]GABM_R03_savannah-data'!$H187</f>
        <v>0</v>
      </c>
      <c r="I188">
        <f>'[28]GABM_R03_MitchellAPI-data'!$H187</f>
        <v>0</v>
      </c>
      <c r="J188">
        <f>'[29]GABM_R03_SudipaAPI-data'!$H187</f>
        <v>1</v>
      </c>
      <c r="K188">
        <f>'[30]R03_GABM_run2-data'!$H187</f>
        <v>0</v>
      </c>
      <c r="L188">
        <f t="shared" si="4"/>
        <v>0.1</v>
      </c>
      <c r="N188">
        <f t="shared" si="5"/>
        <v>380.90000000000038</v>
      </c>
    </row>
    <row r="189" spans="1:14" x14ac:dyDescent="0.35">
      <c r="A189">
        <v>186</v>
      </c>
      <c r="B189">
        <f>'[21]R03_GABM-data'!$H188</f>
        <v>0</v>
      </c>
      <c r="C189">
        <f>'[22]GABM_R03_RossAPI-data'!$H188</f>
        <v>0</v>
      </c>
      <c r="D189">
        <f>'[23]GABM_R03_RandiAPI-data'!$H188</f>
        <v>0</v>
      </c>
      <c r="E189">
        <f>'[24]GABM_R03_NavidAPI-data'!$H188</f>
        <v>0</v>
      </c>
      <c r="F189">
        <f>'[25]GABM_R03_Terry-data'!$H188</f>
        <v>0</v>
      </c>
      <c r="G189">
        <f>'[26]GABM_R03_SarahAPI-data'!$H188</f>
        <v>0</v>
      </c>
      <c r="H189">
        <f>'[27]GABM_R03_savannah-data'!$H188</f>
        <v>0</v>
      </c>
      <c r="I189">
        <f>'[28]GABM_R03_MitchellAPI-data'!$H188</f>
        <v>0</v>
      </c>
      <c r="J189">
        <f>'[29]GABM_R03_SudipaAPI-data'!$H188</f>
        <v>2</v>
      </c>
      <c r="K189">
        <f>'[30]R03_GABM_run2-data'!$H188</f>
        <v>0</v>
      </c>
      <c r="L189">
        <f t="shared" si="4"/>
        <v>0.2</v>
      </c>
      <c r="N189">
        <f t="shared" si="5"/>
        <v>381.10000000000036</v>
      </c>
    </row>
    <row r="190" spans="1:14" x14ac:dyDescent="0.35">
      <c r="A190">
        <v>187</v>
      </c>
      <c r="B190">
        <f>'[21]R03_GABM-data'!$H189</f>
        <v>0</v>
      </c>
      <c r="C190">
        <f>'[22]GABM_R03_RossAPI-data'!$H189</f>
        <v>0</v>
      </c>
      <c r="D190">
        <f>'[23]GABM_R03_RandiAPI-data'!$H189</f>
        <v>0</v>
      </c>
      <c r="E190">
        <f>'[24]GABM_R03_NavidAPI-data'!$H189</f>
        <v>0</v>
      </c>
      <c r="F190">
        <f>'[25]GABM_R03_Terry-data'!$H189</f>
        <v>0</v>
      </c>
      <c r="G190">
        <f>'[26]GABM_R03_SarahAPI-data'!$H189</f>
        <v>0</v>
      </c>
      <c r="H190">
        <f>'[27]GABM_R03_savannah-data'!$H189</f>
        <v>0</v>
      </c>
      <c r="I190">
        <f>'[28]GABM_R03_MitchellAPI-data'!$H189</f>
        <v>0</v>
      </c>
      <c r="J190">
        <f>'[29]GABM_R03_SudipaAPI-data'!$H189</f>
        <v>2</v>
      </c>
      <c r="K190">
        <f>'[30]R03_GABM_run2-data'!$H189</f>
        <v>0</v>
      </c>
      <c r="L190">
        <f t="shared" si="4"/>
        <v>0.2</v>
      </c>
      <c r="N190">
        <f t="shared" si="5"/>
        <v>381.30000000000035</v>
      </c>
    </row>
    <row r="191" spans="1:14" x14ac:dyDescent="0.35">
      <c r="A191">
        <v>188</v>
      </c>
      <c r="B191">
        <f>'[21]R03_GABM-data'!$H190</f>
        <v>0</v>
      </c>
      <c r="C191">
        <f>'[22]GABM_R03_RossAPI-data'!$H190</f>
        <v>0</v>
      </c>
      <c r="D191">
        <f>'[23]GABM_R03_RandiAPI-data'!$H190</f>
        <v>0</v>
      </c>
      <c r="E191">
        <f>'[24]GABM_R03_NavidAPI-data'!$H190</f>
        <v>0</v>
      </c>
      <c r="F191">
        <f>'[25]GABM_R03_Terry-data'!$H190</f>
        <v>0</v>
      </c>
      <c r="G191">
        <f>'[26]GABM_R03_SarahAPI-data'!$H190</f>
        <v>0</v>
      </c>
      <c r="H191">
        <f>'[27]GABM_R03_savannah-data'!$H190</f>
        <v>0</v>
      </c>
      <c r="I191">
        <f>'[28]GABM_R03_MitchellAPI-data'!$H190</f>
        <v>0</v>
      </c>
      <c r="J191">
        <f>'[29]GABM_R03_SudipaAPI-data'!$H190</f>
        <v>1</v>
      </c>
      <c r="K191">
        <f>'[30]R03_GABM_run2-data'!$H190</f>
        <v>0</v>
      </c>
      <c r="L191">
        <f t="shared" si="4"/>
        <v>0.1</v>
      </c>
      <c r="N191">
        <f t="shared" si="5"/>
        <v>381.40000000000038</v>
      </c>
    </row>
    <row r="192" spans="1:14" x14ac:dyDescent="0.35">
      <c r="A192">
        <v>189</v>
      </c>
      <c r="B192">
        <f>'[21]R03_GABM-data'!$H191</f>
        <v>0</v>
      </c>
      <c r="C192">
        <f>'[22]GABM_R03_RossAPI-data'!$H191</f>
        <v>0</v>
      </c>
      <c r="D192">
        <f>'[23]GABM_R03_RandiAPI-data'!$H191</f>
        <v>0</v>
      </c>
      <c r="E192">
        <f>'[24]GABM_R03_NavidAPI-data'!$H191</f>
        <v>0</v>
      </c>
      <c r="F192">
        <f>'[25]GABM_R03_Terry-data'!$H191</f>
        <v>0</v>
      </c>
      <c r="G192">
        <f>'[26]GABM_R03_SarahAPI-data'!$H191</f>
        <v>0</v>
      </c>
      <c r="H192">
        <f>'[27]GABM_R03_savannah-data'!$H191</f>
        <v>0</v>
      </c>
      <c r="I192">
        <f>'[28]GABM_R03_MitchellAPI-data'!$H191</f>
        <v>0</v>
      </c>
      <c r="J192">
        <f>'[29]GABM_R03_SudipaAPI-data'!$H191</f>
        <v>1</v>
      </c>
      <c r="K192">
        <f>'[30]R03_GABM_run2-data'!$H191</f>
        <v>0</v>
      </c>
      <c r="L192">
        <f t="shared" si="4"/>
        <v>0.1</v>
      </c>
      <c r="N192">
        <f t="shared" si="5"/>
        <v>381.5000000000004</v>
      </c>
    </row>
    <row r="193" spans="1:14" x14ac:dyDescent="0.35">
      <c r="A193">
        <v>190</v>
      </c>
      <c r="B193">
        <f>'[21]R03_GABM-data'!$H192</f>
        <v>0</v>
      </c>
      <c r="C193">
        <f>'[22]GABM_R03_RossAPI-data'!$H192</f>
        <v>0</v>
      </c>
      <c r="D193">
        <f>'[23]GABM_R03_RandiAPI-data'!$H192</f>
        <v>0</v>
      </c>
      <c r="E193">
        <f>'[24]GABM_R03_NavidAPI-data'!$H192</f>
        <v>0</v>
      </c>
      <c r="F193">
        <f>'[25]GABM_R03_Terry-data'!$H192</f>
        <v>0</v>
      </c>
      <c r="G193">
        <f>'[26]GABM_R03_SarahAPI-data'!$H192</f>
        <v>0</v>
      </c>
      <c r="H193">
        <f>'[27]GABM_R03_savannah-data'!$H192</f>
        <v>0</v>
      </c>
      <c r="I193">
        <f>'[28]GABM_R03_MitchellAPI-data'!$H192</f>
        <v>0</v>
      </c>
      <c r="J193">
        <f>'[29]GABM_R03_SudipaAPI-data'!$H192</f>
        <v>1</v>
      </c>
      <c r="K193">
        <f>'[30]R03_GABM_run2-data'!$H192</f>
        <v>0</v>
      </c>
      <c r="L193">
        <f t="shared" si="4"/>
        <v>0.1</v>
      </c>
      <c r="N193">
        <f t="shared" si="5"/>
        <v>381.60000000000042</v>
      </c>
    </row>
    <row r="194" spans="1:14" x14ac:dyDescent="0.35">
      <c r="A194">
        <v>191</v>
      </c>
      <c r="B194">
        <f>'[21]R03_GABM-data'!$H193</f>
        <v>0</v>
      </c>
      <c r="C194">
        <f>'[22]GABM_R03_RossAPI-data'!$H193</f>
        <v>0</v>
      </c>
      <c r="D194">
        <f>'[23]GABM_R03_RandiAPI-data'!$H193</f>
        <v>0</v>
      </c>
      <c r="E194">
        <f>'[24]GABM_R03_NavidAPI-data'!$H193</f>
        <v>0</v>
      </c>
      <c r="F194">
        <f>'[25]GABM_R03_Terry-data'!$H193</f>
        <v>0</v>
      </c>
      <c r="G194">
        <f>'[26]GABM_R03_SarahAPI-data'!$H193</f>
        <v>0</v>
      </c>
      <c r="H194">
        <f>'[27]GABM_R03_savannah-data'!$H193</f>
        <v>0</v>
      </c>
      <c r="I194">
        <f>'[28]GABM_R03_MitchellAPI-data'!$H193</f>
        <v>0</v>
      </c>
      <c r="J194">
        <f>'[29]GABM_R03_SudipaAPI-data'!$H193</f>
        <v>1</v>
      </c>
      <c r="K194">
        <f>'[30]R03_GABM_run2-data'!$H193</f>
        <v>0</v>
      </c>
      <c r="L194">
        <f t="shared" si="4"/>
        <v>0.1</v>
      </c>
      <c r="N194">
        <f t="shared" si="5"/>
        <v>381.70000000000044</v>
      </c>
    </row>
    <row r="195" spans="1:14" x14ac:dyDescent="0.35">
      <c r="A195">
        <v>192</v>
      </c>
      <c r="B195">
        <f>'[21]R03_GABM-data'!$H194</f>
        <v>0</v>
      </c>
      <c r="C195">
        <f>'[22]GABM_R03_RossAPI-data'!$H194</f>
        <v>0</v>
      </c>
      <c r="D195">
        <f>'[23]GABM_R03_RandiAPI-data'!$H194</f>
        <v>0</v>
      </c>
      <c r="E195">
        <f>'[24]GABM_R03_NavidAPI-data'!$H194</f>
        <v>0</v>
      </c>
      <c r="F195">
        <f>'[25]GABM_R03_Terry-data'!$H194</f>
        <v>0</v>
      </c>
      <c r="G195">
        <f>'[26]GABM_R03_SarahAPI-data'!$H194</f>
        <v>0</v>
      </c>
      <c r="H195">
        <f>'[27]GABM_R03_savannah-data'!$H194</f>
        <v>0</v>
      </c>
      <c r="I195">
        <f>'[28]GABM_R03_MitchellAPI-data'!$H194</f>
        <v>0</v>
      </c>
      <c r="J195">
        <f>'[29]GABM_R03_SudipaAPI-data'!$H194</f>
        <v>0</v>
      </c>
      <c r="K195">
        <f>'[30]R03_GABM_run2-data'!$H194</f>
        <v>0</v>
      </c>
      <c r="L195">
        <f t="shared" si="4"/>
        <v>0</v>
      </c>
      <c r="N195">
        <f t="shared" si="5"/>
        <v>381.70000000000044</v>
      </c>
    </row>
    <row r="196" spans="1:14" x14ac:dyDescent="0.35">
      <c r="A196">
        <v>193</v>
      </c>
      <c r="B196">
        <f>'[21]R03_GABM-data'!$H195</f>
        <v>0</v>
      </c>
      <c r="C196">
        <f>'[22]GABM_R03_RossAPI-data'!$H195</f>
        <v>0</v>
      </c>
      <c r="D196">
        <f>'[23]GABM_R03_RandiAPI-data'!$H195</f>
        <v>0</v>
      </c>
      <c r="E196">
        <f>'[24]GABM_R03_NavidAPI-data'!$H195</f>
        <v>0</v>
      </c>
      <c r="F196">
        <f>'[25]GABM_R03_Terry-data'!$H195</f>
        <v>0</v>
      </c>
      <c r="G196">
        <f>'[26]GABM_R03_SarahAPI-data'!$H195</f>
        <v>0</v>
      </c>
      <c r="H196">
        <f>'[27]GABM_R03_savannah-data'!$H195</f>
        <v>0</v>
      </c>
      <c r="I196">
        <f>'[28]GABM_R03_MitchellAPI-data'!$H195</f>
        <v>0</v>
      </c>
      <c r="J196">
        <f>'[29]GABM_R03_SudipaAPI-data'!$H195</f>
        <v>0</v>
      </c>
      <c r="K196">
        <f>'[30]R03_GABM_run2-data'!$H195</f>
        <v>0</v>
      </c>
      <c r="L196">
        <f t="shared" ref="L196:L200" si="6">AVERAGE(B196:K196)</f>
        <v>0</v>
      </c>
      <c r="N196">
        <f t="shared" si="5"/>
        <v>381.70000000000044</v>
      </c>
    </row>
    <row r="197" spans="1:14" x14ac:dyDescent="0.35">
      <c r="A197">
        <v>194</v>
      </c>
      <c r="B197">
        <f>'[21]R03_GABM-data'!$H196</f>
        <v>0</v>
      </c>
      <c r="C197">
        <f>'[22]GABM_R03_RossAPI-data'!$H196</f>
        <v>0</v>
      </c>
      <c r="D197">
        <f>'[23]GABM_R03_RandiAPI-data'!$H196</f>
        <v>0</v>
      </c>
      <c r="E197">
        <f>'[24]GABM_R03_NavidAPI-data'!$H196</f>
        <v>0</v>
      </c>
      <c r="F197">
        <f>'[25]GABM_R03_Terry-data'!$H196</f>
        <v>0</v>
      </c>
      <c r="G197">
        <f>'[26]GABM_R03_SarahAPI-data'!$H196</f>
        <v>0</v>
      </c>
      <c r="H197">
        <f>'[27]GABM_R03_savannah-data'!$H196</f>
        <v>0</v>
      </c>
      <c r="I197">
        <f>'[28]GABM_R03_MitchellAPI-data'!$H196</f>
        <v>0</v>
      </c>
      <c r="J197">
        <f>'[29]GABM_R03_SudipaAPI-data'!$H196</f>
        <v>0</v>
      </c>
      <c r="K197">
        <f>'[30]R03_GABM_run2-data'!$H196</f>
        <v>0</v>
      </c>
      <c r="L197">
        <f t="shared" si="6"/>
        <v>0</v>
      </c>
      <c r="N197">
        <f t="shared" ref="N197:N200" si="7">N196+L197</f>
        <v>381.70000000000044</v>
      </c>
    </row>
    <row r="198" spans="1:14" x14ac:dyDescent="0.35">
      <c r="A198">
        <v>195</v>
      </c>
      <c r="B198">
        <f>'[21]R03_GABM-data'!$H197</f>
        <v>0</v>
      </c>
      <c r="C198">
        <f>'[22]GABM_R03_RossAPI-data'!$H197</f>
        <v>0</v>
      </c>
      <c r="D198">
        <f>'[23]GABM_R03_RandiAPI-data'!$H197</f>
        <v>0</v>
      </c>
      <c r="E198">
        <f>'[24]GABM_R03_NavidAPI-data'!$H197</f>
        <v>0</v>
      </c>
      <c r="F198">
        <f>'[25]GABM_R03_Terry-data'!$H197</f>
        <v>0</v>
      </c>
      <c r="G198">
        <f>'[26]GABM_R03_SarahAPI-data'!$H197</f>
        <v>0</v>
      </c>
      <c r="H198">
        <f>'[27]GABM_R03_savannah-data'!$H197</f>
        <v>0</v>
      </c>
      <c r="I198">
        <f>'[28]GABM_R03_MitchellAPI-data'!$H197</f>
        <v>0</v>
      </c>
      <c r="J198">
        <f>'[29]GABM_R03_SudipaAPI-data'!$H197</f>
        <v>0</v>
      </c>
      <c r="K198">
        <f>'[30]R03_GABM_run2-data'!$H197</f>
        <v>0</v>
      </c>
      <c r="L198">
        <f t="shared" si="6"/>
        <v>0</v>
      </c>
      <c r="N198">
        <f t="shared" si="7"/>
        <v>381.70000000000044</v>
      </c>
    </row>
    <row r="199" spans="1:14" x14ac:dyDescent="0.35">
      <c r="A199">
        <v>196</v>
      </c>
      <c r="B199">
        <f>'[21]R03_GABM-data'!$H198</f>
        <v>0</v>
      </c>
      <c r="C199">
        <f>'[22]GABM_R03_RossAPI-data'!$H198</f>
        <v>0</v>
      </c>
      <c r="D199">
        <f>'[23]GABM_R03_RandiAPI-data'!$H198</f>
        <v>0</v>
      </c>
      <c r="E199">
        <f>'[24]GABM_R03_NavidAPI-data'!$H198</f>
        <v>0</v>
      </c>
      <c r="F199">
        <f>'[25]GABM_R03_Terry-data'!$H198</f>
        <v>0</v>
      </c>
      <c r="G199">
        <f>'[26]GABM_R03_SarahAPI-data'!$H198</f>
        <v>0</v>
      </c>
      <c r="H199">
        <f>'[27]GABM_R03_savannah-data'!$H198</f>
        <v>0</v>
      </c>
      <c r="I199">
        <f>'[28]GABM_R03_MitchellAPI-data'!$H198</f>
        <v>0</v>
      </c>
      <c r="J199">
        <f>'[29]GABM_R03_SudipaAPI-data'!$H198</f>
        <v>0</v>
      </c>
      <c r="K199">
        <f>'[30]R03_GABM_run2-data'!$H198</f>
        <v>0</v>
      </c>
      <c r="L199">
        <f t="shared" si="6"/>
        <v>0</v>
      </c>
      <c r="N199">
        <f t="shared" si="7"/>
        <v>381.70000000000044</v>
      </c>
    </row>
    <row r="200" spans="1:14" x14ac:dyDescent="0.35">
      <c r="A200">
        <v>197</v>
      </c>
      <c r="B200">
        <f>'[21]R03_GABM-data'!$H199</f>
        <v>0</v>
      </c>
      <c r="C200">
        <f>'[22]GABM_R03_RossAPI-data'!$H199</f>
        <v>0</v>
      </c>
      <c r="D200">
        <f>'[23]GABM_R03_RandiAPI-data'!$H199</f>
        <v>0</v>
      </c>
      <c r="E200">
        <f>'[24]GABM_R03_NavidAPI-data'!$H199</f>
        <v>0</v>
      </c>
      <c r="F200">
        <f>'[25]GABM_R03_Terry-data'!$H199</f>
        <v>0</v>
      </c>
      <c r="G200">
        <f>'[26]GABM_R03_SarahAPI-data'!$H199</f>
        <v>0</v>
      </c>
      <c r="H200">
        <f>'[27]GABM_R03_savannah-data'!$H199</f>
        <v>0</v>
      </c>
      <c r="I200">
        <f>'[28]GABM_R03_MitchellAPI-data'!$H199</f>
        <v>0</v>
      </c>
      <c r="J200">
        <f>'[29]GABM_R03_SudipaAPI-data'!$H199</f>
        <v>0</v>
      </c>
      <c r="K200">
        <f>'[30]R03_GABM_run2-data'!$H199</f>
        <v>0</v>
      </c>
      <c r="L200">
        <f t="shared" si="6"/>
        <v>0</v>
      </c>
      <c r="N200">
        <f t="shared" si="7"/>
        <v>381.70000000000044</v>
      </c>
    </row>
    <row r="202" spans="1:14" x14ac:dyDescent="0.35">
      <c r="B202" t="s">
        <v>23</v>
      </c>
    </row>
    <row r="203" spans="1:14" x14ac:dyDescent="0.35">
      <c r="B203" t="s">
        <v>0</v>
      </c>
      <c r="C203" t="s">
        <v>1</v>
      </c>
      <c r="D203" t="s">
        <v>2</v>
      </c>
      <c r="E203" t="s">
        <v>3</v>
      </c>
      <c r="F203" t="s">
        <v>4</v>
      </c>
      <c r="G203" t="s">
        <v>5</v>
      </c>
      <c r="H203" t="s">
        <v>6</v>
      </c>
      <c r="I203" t="s">
        <v>7</v>
      </c>
      <c r="J203" t="s">
        <v>8</v>
      </c>
      <c r="K203" t="s">
        <v>9</v>
      </c>
    </row>
    <row r="204" spans="1:14" x14ac:dyDescent="0.35">
      <c r="B204">
        <f t="shared" ref="B204:K204" si="8">SUM(B3:B200)</f>
        <v>345</v>
      </c>
      <c r="C204">
        <f t="shared" si="8"/>
        <v>392</v>
      </c>
      <c r="D204">
        <f t="shared" si="8"/>
        <v>236</v>
      </c>
      <c r="E204">
        <f t="shared" si="8"/>
        <v>377</v>
      </c>
      <c r="F204">
        <f t="shared" si="8"/>
        <v>413</v>
      </c>
      <c r="G204">
        <f t="shared" si="8"/>
        <v>377</v>
      </c>
      <c r="H204">
        <f t="shared" si="8"/>
        <v>347</v>
      </c>
      <c r="I204">
        <f t="shared" si="8"/>
        <v>478</v>
      </c>
      <c r="J204">
        <f t="shared" si="8"/>
        <v>503</v>
      </c>
      <c r="K204">
        <f t="shared" si="8"/>
        <v>349</v>
      </c>
    </row>
    <row r="208" spans="1:14" x14ac:dyDescent="0.35">
      <c r="A208" t="s">
        <v>31</v>
      </c>
      <c r="B208">
        <f>AVERAGE(B204:K204)</f>
        <v>381.7</v>
      </c>
    </row>
    <row r="209" spans="1:11" x14ac:dyDescent="0.35">
      <c r="A209" t="s">
        <v>29</v>
      </c>
      <c r="B209">
        <f>MIN(B204:K204)</f>
        <v>236</v>
      </c>
    </row>
    <row r="210" spans="1:11" x14ac:dyDescent="0.35">
      <c r="A210" t="s">
        <v>30</v>
      </c>
      <c r="B210">
        <f>MAX(B204:K204)</f>
        <v>503</v>
      </c>
    </row>
    <row r="213" spans="1:11" x14ac:dyDescent="0.35">
      <c r="A213" t="s">
        <v>52</v>
      </c>
      <c r="B213">
        <f>MAX(B3:B200)</f>
        <v>20</v>
      </c>
      <c r="C213">
        <f t="shared" ref="C213:K213" si="9">MAX(C3:C200)</f>
        <v>26</v>
      </c>
      <c r="D213">
        <f t="shared" si="9"/>
        <v>18</v>
      </c>
      <c r="E213">
        <f t="shared" si="9"/>
        <v>20</v>
      </c>
      <c r="F213">
        <f t="shared" si="9"/>
        <v>34</v>
      </c>
      <c r="G213">
        <f t="shared" si="9"/>
        <v>29</v>
      </c>
      <c r="H213">
        <f t="shared" si="9"/>
        <v>19</v>
      </c>
      <c r="I213">
        <f t="shared" si="9"/>
        <v>16</v>
      </c>
      <c r="J213">
        <f t="shared" si="9"/>
        <v>24</v>
      </c>
      <c r="K213">
        <f t="shared" si="9"/>
        <v>17</v>
      </c>
    </row>
    <row r="214" spans="1:11" x14ac:dyDescent="0.35">
      <c r="A214" t="s">
        <v>44</v>
      </c>
      <c r="B214">
        <f>MEDIAN(B213:K213)</f>
        <v>20</v>
      </c>
    </row>
    <row r="215" spans="1:11" x14ac:dyDescent="0.35">
      <c r="A215" t="s">
        <v>50</v>
      </c>
      <c r="B215">
        <v>17</v>
      </c>
    </row>
    <row r="216" spans="1:11" x14ac:dyDescent="0.35">
      <c r="A216" t="s">
        <v>51</v>
      </c>
      <c r="B216">
        <v>29</v>
      </c>
    </row>
    <row r="218" spans="1:11" x14ac:dyDescent="0.35">
      <c r="A218" t="s">
        <v>57</v>
      </c>
      <c r="B218">
        <f>MEDIAN(B204:K204)</f>
        <v>377</v>
      </c>
    </row>
    <row r="219" spans="1:11" x14ac:dyDescent="0.35">
      <c r="A219" t="s">
        <v>58</v>
      </c>
      <c r="B219">
        <f>B204</f>
        <v>345</v>
      </c>
    </row>
    <row r="220" spans="1:11" x14ac:dyDescent="0.35">
      <c r="A220" t="s">
        <v>51</v>
      </c>
      <c r="B220">
        <f>I204</f>
        <v>478</v>
      </c>
    </row>
  </sheetData>
  <mergeCells count="1">
    <mergeCell ref="A1:L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38E3-3AE1-4BD5-853C-4BCA95227D62}">
  <dimension ref="A1:L29"/>
  <sheetViews>
    <sheetView workbookViewId="0">
      <selection activeCell="G29" sqref="G29"/>
    </sheetView>
  </sheetViews>
  <sheetFormatPr defaultRowHeight="14.5" x14ac:dyDescent="0.35"/>
  <sheetData>
    <row r="1" spans="1:12" x14ac:dyDescent="0.35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5">
      <c r="A2" t="s">
        <v>10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12</v>
      </c>
    </row>
    <row r="3" spans="1:12" x14ac:dyDescent="0.35">
      <c r="A3">
        <v>0</v>
      </c>
      <c r="B3">
        <f>'[1]GABM_R03_Terry_no_fb-data'!$K2</f>
        <v>0</v>
      </c>
      <c r="C3">
        <f>'[2]GABM_R03_MitchellAPI_no_fb-data'!$K2</f>
        <v>0</v>
      </c>
      <c r="D3">
        <f>'[3]GABM_R03_NavidAPI_no_fb-data'!$K2</f>
        <v>0</v>
      </c>
      <c r="E3">
        <f>'[4]GABM_R03_RandiAPI_no_fb_runtwo-'!$K2</f>
        <v>0</v>
      </c>
      <c r="F3">
        <f>'[5]GABM_R03_SudipaAPI_no_fb-data'!$K2</f>
        <v>0</v>
      </c>
      <c r="G3">
        <f>'[6]GABM_R03_NavidAPI_no_fb_runtwo-'!$K2</f>
        <v>0</v>
      </c>
      <c r="H3">
        <f>'[7]GABM_R03_savannah_no_fb-data'!$K2</f>
        <v>0</v>
      </c>
      <c r="I3">
        <f>'[8]GABM_R03_Terry_no_fb_run_two-da'!$K2</f>
        <v>0</v>
      </c>
      <c r="J3">
        <f>[9]GABM_R03_MitchellAPI_no_fb_runt!$K2</f>
        <v>0</v>
      </c>
      <c r="K3">
        <f>'[10]R03_GABM_NiyoushaAPI_no_fb-data'!$K2</f>
        <v>0</v>
      </c>
      <c r="L3">
        <f>AVERAGE(B3:K3)</f>
        <v>0</v>
      </c>
    </row>
    <row r="4" spans="1:12" x14ac:dyDescent="0.35">
      <c r="A4">
        <v>1</v>
      </c>
      <c r="B4">
        <f>'[1]GABM_R03_Terry_no_fb-data'!$K3</f>
        <v>0</v>
      </c>
      <c r="C4">
        <f>'[2]GABM_R03_MitchellAPI_no_fb-data'!$K3</f>
        <v>0</v>
      </c>
      <c r="D4">
        <f>'[3]GABM_R03_NavidAPI_no_fb-data'!$K3</f>
        <v>0</v>
      </c>
      <c r="E4">
        <f>'[4]GABM_R03_RandiAPI_no_fb_runtwo-'!$K3</f>
        <v>0</v>
      </c>
      <c r="F4">
        <f>'[5]GABM_R03_SudipaAPI_no_fb-data'!$K3</f>
        <v>0</v>
      </c>
      <c r="G4">
        <f>'[6]GABM_R03_NavidAPI_no_fb_runtwo-'!$K3</f>
        <v>0</v>
      </c>
      <c r="H4">
        <f>'[7]GABM_R03_savannah_no_fb-data'!$K3</f>
        <v>0</v>
      </c>
      <c r="I4">
        <f>'[8]GABM_R03_Terry_no_fb_run_two-da'!$K3</f>
        <v>0</v>
      </c>
      <c r="J4">
        <f>[9]GABM_R03_MitchellAPI_no_fb_runt!$K3</f>
        <v>0</v>
      </c>
      <c r="K4">
        <f>'[10]R03_GABM_NiyoushaAPI_no_fb-data'!$K3</f>
        <v>0</v>
      </c>
      <c r="L4">
        <f t="shared" ref="L4:L29" si="0">AVERAGE(B4:K4)</f>
        <v>0</v>
      </c>
    </row>
    <row r="5" spans="1:12" x14ac:dyDescent="0.35">
      <c r="A5">
        <v>2</v>
      </c>
      <c r="B5">
        <f>'[1]GABM_R03_Terry_no_fb-data'!$K4</f>
        <v>0</v>
      </c>
      <c r="C5">
        <f>'[2]GABM_R03_MitchellAPI_no_fb-data'!$K4</f>
        <v>0</v>
      </c>
      <c r="D5">
        <f>'[3]GABM_R03_NavidAPI_no_fb-data'!$K4</f>
        <v>0</v>
      </c>
      <c r="E5">
        <f>'[4]GABM_R03_RandiAPI_no_fb_runtwo-'!$K4</f>
        <v>0</v>
      </c>
      <c r="F5">
        <f>'[5]GABM_R03_SudipaAPI_no_fb-data'!$K4</f>
        <v>0</v>
      </c>
      <c r="G5">
        <f>'[6]GABM_R03_NavidAPI_no_fb_runtwo-'!$K4</f>
        <v>0</v>
      </c>
      <c r="H5">
        <f>'[7]GABM_R03_savannah_no_fb-data'!$K4</f>
        <v>0</v>
      </c>
      <c r="I5">
        <f>'[8]GABM_R03_Terry_no_fb_run_two-da'!$K4</f>
        <v>0</v>
      </c>
      <c r="J5">
        <f>[9]GABM_R03_MitchellAPI_no_fb_runt!$K4</f>
        <v>0</v>
      </c>
      <c r="K5">
        <f>'[10]R03_GABM_NiyoushaAPI_no_fb-data'!$K4</f>
        <v>0</v>
      </c>
      <c r="L5">
        <f t="shared" si="0"/>
        <v>0</v>
      </c>
    </row>
    <row r="6" spans="1:12" x14ac:dyDescent="0.35">
      <c r="A6">
        <v>3</v>
      </c>
      <c r="B6">
        <f>'[1]GABM_R03_Terry_no_fb-data'!$K5</f>
        <v>2</v>
      </c>
      <c r="C6">
        <f>'[2]GABM_R03_MitchellAPI_no_fb-data'!$K5</f>
        <v>2</v>
      </c>
      <c r="D6">
        <f>'[3]GABM_R03_NavidAPI_no_fb-data'!$K5</f>
        <v>2</v>
      </c>
      <c r="E6">
        <f>'[4]GABM_R03_RandiAPI_no_fb_runtwo-'!$K5</f>
        <v>2</v>
      </c>
      <c r="F6">
        <f>'[5]GABM_R03_SudipaAPI_no_fb-data'!$K5</f>
        <v>2</v>
      </c>
      <c r="G6">
        <f>'[6]GABM_R03_NavidAPI_no_fb_runtwo-'!$K5</f>
        <v>2</v>
      </c>
      <c r="H6">
        <f>'[7]GABM_R03_savannah_no_fb-data'!$K5</f>
        <v>2</v>
      </c>
      <c r="I6">
        <f>'[8]GABM_R03_Terry_no_fb_run_two-da'!$K5</f>
        <v>2</v>
      </c>
      <c r="J6">
        <f>[9]GABM_R03_MitchellAPI_no_fb_runt!$K5</f>
        <v>2</v>
      </c>
      <c r="K6">
        <f>'[10]R03_GABM_NiyoushaAPI_no_fb-data'!$K5</f>
        <v>2</v>
      </c>
      <c r="L6">
        <f t="shared" si="0"/>
        <v>2</v>
      </c>
    </row>
    <row r="7" spans="1:12" x14ac:dyDescent="0.35">
      <c r="A7">
        <v>4</v>
      </c>
      <c r="B7">
        <f>'[1]GABM_R03_Terry_no_fb-data'!$K6</f>
        <v>4</v>
      </c>
      <c r="C7">
        <f>'[2]GABM_R03_MitchellAPI_no_fb-data'!$K6</f>
        <v>2</v>
      </c>
      <c r="D7">
        <f>'[3]GABM_R03_NavidAPI_no_fb-data'!$K6</f>
        <v>2</v>
      </c>
      <c r="E7">
        <f>'[4]GABM_R03_RandiAPI_no_fb_runtwo-'!$K6</f>
        <v>0</v>
      </c>
      <c r="F7">
        <f>'[5]GABM_R03_SudipaAPI_no_fb-data'!$K6</f>
        <v>2</v>
      </c>
      <c r="G7">
        <f>'[6]GABM_R03_NavidAPI_no_fb_runtwo-'!$K6</f>
        <v>5</v>
      </c>
      <c r="H7">
        <f>'[7]GABM_R03_savannah_no_fb-data'!$K6</f>
        <v>0</v>
      </c>
      <c r="I7">
        <f>'[8]GABM_R03_Terry_no_fb_run_two-da'!$K6</f>
        <v>2</v>
      </c>
      <c r="J7">
        <f>[9]GABM_R03_MitchellAPI_no_fb_runt!$K6</f>
        <v>1</v>
      </c>
      <c r="K7">
        <f>'[10]R03_GABM_NiyoushaAPI_no_fb-data'!$K6</f>
        <v>3</v>
      </c>
      <c r="L7">
        <f t="shared" si="0"/>
        <v>2.1</v>
      </c>
    </row>
    <row r="8" spans="1:12" x14ac:dyDescent="0.35">
      <c r="A8">
        <v>5</v>
      </c>
      <c r="B8">
        <f>'[1]GABM_R03_Terry_no_fb-data'!$K7</f>
        <v>3</v>
      </c>
      <c r="C8">
        <f>'[2]GABM_R03_MitchellAPI_no_fb-data'!$K7</f>
        <v>4</v>
      </c>
      <c r="D8">
        <f>'[3]GABM_R03_NavidAPI_no_fb-data'!$K7</f>
        <v>3</v>
      </c>
      <c r="E8">
        <f>'[4]GABM_R03_RandiAPI_no_fb_runtwo-'!$K7</f>
        <v>4</v>
      </c>
      <c r="F8">
        <f>'[5]GABM_R03_SudipaAPI_no_fb-data'!$K7</f>
        <v>3</v>
      </c>
      <c r="G8">
        <f>'[6]GABM_R03_NavidAPI_no_fb_runtwo-'!$K7</f>
        <v>6</v>
      </c>
      <c r="H8">
        <f>'[7]GABM_R03_savannah_no_fb-data'!$K7</f>
        <v>4</v>
      </c>
      <c r="I8">
        <f>'[8]GABM_R03_Terry_no_fb_run_two-da'!$K7</f>
        <v>2</v>
      </c>
      <c r="J8">
        <f>[9]GABM_R03_MitchellAPI_no_fb_runt!$K7</f>
        <v>1</v>
      </c>
      <c r="K8">
        <f>'[10]R03_GABM_NiyoushaAPI_no_fb-data'!$K7</f>
        <v>7</v>
      </c>
      <c r="L8">
        <f t="shared" si="0"/>
        <v>3.7</v>
      </c>
    </row>
    <row r="9" spans="1:12" x14ac:dyDescent="0.35">
      <c r="A9">
        <v>6</v>
      </c>
      <c r="B9">
        <f>'[1]GABM_R03_Terry_no_fb-data'!$K8</f>
        <v>6</v>
      </c>
      <c r="C9">
        <f>'[2]GABM_R03_MitchellAPI_no_fb-data'!$K8</f>
        <v>7</v>
      </c>
      <c r="D9">
        <f>'[3]GABM_R03_NavidAPI_no_fb-data'!$K8</f>
        <v>5</v>
      </c>
      <c r="E9">
        <f>'[4]GABM_R03_RandiAPI_no_fb_runtwo-'!$K8</f>
        <v>7</v>
      </c>
      <c r="F9">
        <f>'[5]GABM_R03_SudipaAPI_no_fb-data'!$K8</f>
        <v>8</v>
      </c>
      <c r="G9">
        <f>'[6]GABM_R03_NavidAPI_no_fb_runtwo-'!$K8</f>
        <v>12</v>
      </c>
      <c r="H9">
        <f>'[7]GABM_R03_savannah_no_fb-data'!$K8</f>
        <v>8</v>
      </c>
      <c r="I9">
        <f>'[8]GABM_R03_Terry_no_fb_run_two-da'!$K8</f>
        <v>6</v>
      </c>
      <c r="J9">
        <f>[9]GABM_R03_MitchellAPI_no_fb_runt!$K8</f>
        <v>6</v>
      </c>
      <c r="K9">
        <f>'[10]R03_GABM_NiyoushaAPI_no_fb-data'!$K8</f>
        <v>7</v>
      </c>
      <c r="L9">
        <f t="shared" si="0"/>
        <v>7.2</v>
      </c>
    </row>
    <row r="10" spans="1:12" x14ac:dyDescent="0.35">
      <c r="A10">
        <v>7</v>
      </c>
      <c r="B10">
        <f>'[1]GABM_R03_Terry_no_fb-data'!$K9</f>
        <v>25</v>
      </c>
      <c r="C10">
        <f>'[2]GABM_R03_MitchellAPI_no_fb-data'!$K9</f>
        <v>9</v>
      </c>
      <c r="D10">
        <f>'[3]GABM_R03_NavidAPI_no_fb-data'!$K9</f>
        <v>9</v>
      </c>
      <c r="E10">
        <f>'[4]GABM_R03_RandiAPI_no_fb_runtwo-'!$K9</f>
        <v>13</v>
      </c>
      <c r="F10">
        <f>'[5]GABM_R03_SudipaAPI_no_fb-data'!$K9</f>
        <v>18</v>
      </c>
      <c r="G10">
        <f>'[6]GABM_R03_NavidAPI_no_fb_runtwo-'!$K9</f>
        <v>22</v>
      </c>
      <c r="H10">
        <f>'[7]GABM_R03_savannah_no_fb-data'!$K9</f>
        <v>13</v>
      </c>
      <c r="I10">
        <f>'[8]GABM_R03_Terry_no_fb_run_two-da'!$K9</f>
        <v>12</v>
      </c>
      <c r="J10">
        <f>[9]GABM_R03_MitchellAPI_no_fb_runt!$K9</f>
        <v>7</v>
      </c>
      <c r="K10">
        <f>'[10]R03_GABM_NiyoushaAPI_no_fb-data'!$K9</f>
        <v>25</v>
      </c>
      <c r="L10">
        <f t="shared" si="0"/>
        <v>15.3</v>
      </c>
    </row>
    <row r="11" spans="1:12" x14ac:dyDescent="0.35">
      <c r="A11">
        <v>8</v>
      </c>
      <c r="B11">
        <f>'[1]GABM_R03_Terry_no_fb-data'!$K10</f>
        <v>38</v>
      </c>
      <c r="C11">
        <f>'[2]GABM_R03_MitchellAPI_no_fb-data'!$K10</f>
        <v>34</v>
      </c>
      <c r="D11">
        <f>'[3]GABM_R03_NavidAPI_no_fb-data'!$K10</f>
        <v>22</v>
      </c>
      <c r="E11">
        <f>'[4]GABM_R03_RandiAPI_no_fb_runtwo-'!$K10</f>
        <v>16</v>
      </c>
      <c r="F11">
        <f>'[5]GABM_R03_SudipaAPI_no_fb-data'!$K10</f>
        <v>27</v>
      </c>
      <c r="G11">
        <f>'[6]GABM_R03_NavidAPI_no_fb_runtwo-'!$K10</f>
        <v>45</v>
      </c>
      <c r="H11">
        <f>'[7]GABM_R03_savannah_no_fb-data'!$K10</f>
        <v>25</v>
      </c>
      <c r="I11">
        <f>'[8]GABM_R03_Terry_no_fb_run_two-da'!$K10</f>
        <v>14</v>
      </c>
      <c r="J11">
        <f>[9]GABM_R03_MitchellAPI_no_fb_runt!$K10</f>
        <v>13</v>
      </c>
      <c r="K11">
        <f>'[10]R03_GABM_NiyoushaAPI_no_fb-data'!$K10</f>
        <v>39</v>
      </c>
      <c r="L11">
        <f t="shared" si="0"/>
        <v>27.3</v>
      </c>
    </row>
    <row r="12" spans="1:12" x14ac:dyDescent="0.35">
      <c r="A12">
        <v>9</v>
      </c>
      <c r="B12">
        <f>'[1]GABM_R03_Terry_no_fb-data'!$K11</f>
        <v>70</v>
      </c>
      <c r="C12">
        <f>'[2]GABM_R03_MitchellAPI_no_fb-data'!$K11</f>
        <v>65</v>
      </c>
      <c r="D12">
        <f>'[3]GABM_R03_NavidAPI_no_fb-data'!$K11</f>
        <v>32</v>
      </c>
      <c r="E12">
        <f>'[4]GABM_R03_RandiAPI_no_fb_runtwo-'!$K11</f>
        <v>44</v>
      </c>
      <c r="F12">
        <f>'[5]GABM_R03_SudipaAPI_no_fb-data'!$K11</f>
        <v>63</v>
      </c>
      <c r="G12">
        <f>'[6]GABM_R03_NavidAPI_no_fb_runtwo-'!$K11</f>
        <v>76</v>
      </c>
      <c r="H12">
        <f>'[7]GABM_R03_savannah_no_fb-data'!$K11</f>
        <v>37</v>
      </c>
      <c r="I12">
        <f>'[8]GABM_R03_Terry_no_fb_run_two-da'!$K11</f>
        <v>44</v>
      </c>
      <c r="J12">
        <f>[9]GABM_R03_MitchellAPI_no_fb_runt!$K11</f>
        <v>32</v>
      </c>
      <c r="K12">
        <f>'[10]R03_GABM_NiyoushaAPI_no_fb-data'!$K11</f>
        <v>83</v>
      </c>
      <c r="L12">
        <f t="shared" si="0"/>
        <v>54.6</v>
      </c>
    </row>
    <row r="13" spans="1:12" x14ac:dyDescent="0.35">
      <c r="A13">
        <v>10</v>
      </c>
      <c r="B13">
        <f>'[1]GABM_R03_Terry_no_fb-data'!$K12</f>
        <v>92</v>
      </c>
      <c r="C13">
        <f>'[2]GABM_R03_MitchellAPI_no_fb-data'!$K12</f>
        <v>93</v>
      </c>
      <c r="D13">
        <f>'[3]GABM_R03_NavidAPI_no_fb-data'!$K12</f>
        <v>62</v>
      </c>
      <c r="E13">
        <f>'[4]GABM_R03_RandiAPI_no_fb_runtwo-'!$K12</f>
        <v>62</v>
      </c>
      <c r="F13">
        <f>'[5]GABM_R03_SudipaAPI_no_fb-data'!$K12</f>
        <v>91</v>
      </c>
      <c r="G13">
        <f>'[6]GABM_R03_NavidAPI_no_fb_runtwo-'!$K12</f>
        <v>132</v>
      </c>
      <c r="H13">
        <f>'[7]GABM_R03_savannah_no_fb-data'!$K12</f>
        <v>73</v>
      </c>
      <c r="I13">
        <f>'[8]GABM_R03_Terry_no_fb_run_two-da'!$K12</f>
        <v>59</v>
      </c>
      <c r="J13">
        <f>[9]GABM_R03_MitchellAPI_no_fb_runt!$K12</f>
        <v>51</v>
      </c>
      <c r="K13">
        <f>'[10]R03_GABM_NiyoushaAPI_no_fb-data'!$K12</f>
        <v>128</v>
      </c>
      <c r="L13">
        <f t="shared" si="0"/>
        <v>84.3</v>
      </c>
    </row>
    <row r="14" spans="1:12" x14ac:dyDescent="0.35">
      <c r="A14">
        <v>11</v>
      </c>
      <c r="B14">
        <f>'[1]GABM_R03_Terry_no_fb-data'!$K13</f>
        <v>158</v>
      </c>
      <c r="C14">
        <f>'[2]GABM_R03_MitchellAPI_no_fb-data'!$K13</f>
        <v>164</v>
      </c>
      <c r="D14">
        <f>'[3]GABM_R03_NavidAPI_no_fb-data'!$K13</f>
        <v>101</v>
      </c>
      <c r="E14">
        <f>'[4]GABM_R03_RandiAPI_no_fb_runtwo-'!$K13</f>
        <v>123</v>
      </c>
      <c r="F14">
        <f>'[5]GABM_R03_SudipaAPI_no_fb-data'!$K13</f>
        <v>156</v>
      </c>
      <c r="G14">
        <f>'[6]GABM_R03_NavidAPI_no_fb_runtwo-'!$K13</f>
        <v>162</v>
      </c>
      <c r="H14">
        <f>'[7]GABM_R03_savannah_no_fb-data'!$K13</f>
        <v>119</v>
      </c>
      <c r="I14">
        <f>'[8]GABM_R03_Terry_no_fb_run_two-da'!$K13</f>
        <v>100</v>
      </c>
      <c r="J14">
        <f>[9]GABM_R03_MitchellAPI_no_fb_runt!$K13</f>
        <v>76</v>
      </c>
      <c r="K14">
        <f>'[10]R03_GABM_NiyoushaAPI_no_fb-data'!$K13</f>
        <v>166</v>
      </c>
      <c r="L14">
        <f t="shared" si="0"/>
        <v>132.5</v>
      </c>
    </row>
    <row r="15" spans="1:12" x14ac:dyDescent="0.35">
      <c r="A15">
        <v>12</v>
      </c>
      <c r="B15">
        <f>'[1]GABM_R03_Terry_no_fb-data'!$K14</f>
        <v>198</v>
      </c>
      <c r="C15">
        <f>'[2]GABM_R03_MitchellAPI_no_fb-data'!$K14</f>
        <v>190</v>
      </c>
      <c r="D15">
        <f>'[3]GABM_R03_NavidAPI_no_fb-data'!$K14</f>
        <v>164</v>
      </c>
      <c r="E15">
        <f>'[4]GABM_R03_RandiAPI_no_fb_runtwo-'!$K14</f>
        <v>176</v>
      </c>
      <c r="F15">
        <f>'[5]GABM_R03_SudipaAPI_no_fb-data'!$K14</f>
        <v>176</v>
      </c>
      <c r="G15">
        <f>'[6]GABM_R03_NavidAPI_no_fb_runtwo-'!$K14</f>
        <v>178</v>
      </c>
      <c r="H15">
        <f>'[7]GABM_R03_savannah_no_fb-data'!$K14</f>
        <v>176</v>
      </c>
      <c r="I15">
        <f>'[8]GABM_R03_Terry_no_fb_run_two-da'!$K14</f>
        <v>155</v>
      </c>
      <c r="J15">
        <f>[9]GABM_R03_MitchellAPI_no_fb_runt!$K14</f>
        <v>139</v>
      </c>
      <c r="K15">
        <f>'[10]R03_GABM_NiyoushaAPI_no_fb-data'!$K14</f>
        <v>202</v>
      </c>
      <c r="L15">
        <f t="shared" si="0"/>
        <v>175.4</v>
      </c>
    </row>
    <row r="16" spans="1:12" x14ac:dyDescent="0.35">
      <c r="A16">
        <v>13</v>
      </c>
      <c r="B16">
        <f>'[1]GABM_R03_Terry_no_fb-data'!$K15</f>
        <v>183</v>
      </c>
      <c r="C16">
        <f>'[2]GABM_R03_MitchellAPI_no_fb-data'!$K15</f>
        <v>186</v>
      </c>
      <c r="D16">
        <f>'[3]GABM_R03_NavidAPI_no_fb-data'!$K15</f>
        <v>184</v>
      </c>
      <c r="E16">
        <f>'[4]GABM_R03_RandiAPI_no_fb_runtwo-'!$K15</f>
        <v>178</v>
      </c>
      <c r="F16">
        <f>'[5]GABM_R03_SudipaAPI_no_fb-data'!$K15</f>
        <v>189</v>
      </c>
      <c r="G16">
        <f>'[6]GABM_R03_NavidAPI_no_fb_runtwo-'!$K15</f>
        <v>164</v>
      </c>
      <c r="H16">
        <f>'[7]GABM_R03_savannah_no_fb-data'!$K15</f>
        <v>195</v>
      </c>
      <c r="I16">
        <f>'[8]GABM_R03_Terry_no_fb_run_two-da'!$K15</f>
        <v>184</v>
      </c>
      <c r="J16">
        <f>[9]GABM_R03_MitchellAPI_no_fb_runt!$K15</f>
        <v>178</v>
      </c>
      <c r="K16">
        <f>'[10]R03_GABM_NiyoushaAPI_no_fb-data'!$K15</f>
        <v>175</v>
      </c>
      <c r="L16">
        <f t="shared" si="0"/>
        <v>181.6</v>
      </c>
    </row>
    <row r="17" spans="1:12" x14ac:dyDescent="0.35">
      <c r="A17">
        <v>14</v>
      </c>
      <c r="B17">
        <f>'[1]GABM_R03_Terry_no_fb-data'!$K16</f>
        <v>113</v>
      </c>
      <c r="C17">
        <f>'[2]GABM_R03_MitchellAPI_no_fb-data'!$K16</f>
        <v>131</v>
      </c>
      <c r="D17">
        <f>'[3]GABM_R03_NavidAPI_no_fb-data'!$K16</f>
        <v>173</v>
      </c>
      <c r="E17">
        <f>'[4]GABM_R03_RandiAPI_no_fb_runtwo-'!$K16</f>
        <v>165</v>
      </c>
      <c r="F17">
        <f>'[5]GABM_R03_SudipaAPI_no_fb-data'!$K16</f>
        <v>140</v>
      </c>
      <c r="G17">
        <f>'[6]GABM_R03_NavidAPI_no_fb_runtwo-'!$K16</f>
        <v>113</v>
      </c>
      <c r="H17">
        <f>'[7]GABM_R03_savannah_no_fb-data'!$K16</f>
        <v>157</v>
      </c>
      <c r="I17">
        <f>'[8]GABM_R03_Terry_no_fb_run_two-da'!$K16</f>
        <v>178</v>
      </c>
      <c r="J17">
        <f>[9]GABM_R03_MitchellAPI_no_fb_runt!$K16</f>
        <v>194</v>
      </c>
      <c r="K17">
        <f>'[10]R03_GABM_NiyoushaAPI_no_fb-data'!$K16</f>
        <v>102</v>
      </c>
      <c r="L17">
        <f t="shared" si="0"/>
        <v>146.6</v>
      </c>
    </row>
    <row r="18" spans="1:12" x14ac:dyDescent="0.35">
      <c r="A18">
        <v>15</v>
      </c>
      <c r="B18">
        <f>'[1]GABM_R03_Terry_no_fb-data'!$K17</f>
        <v>61</v>
      </c>
      <c r="C18">
        <f>'[2]GABM_R03_MitchellAPI_no_fb-data'!$K17</f>
        <v>69</v>
      </c>
      <c r="D18">
        <f>'[3]GABM_R03_NavidAPI_no_fb-data'!$K17</f>
        <v>120</v>
      </c>
      <c r="E18">
        <f>'[4]GABM_R03_RandiAPI_no_fb_runtwo-'!$K17</f>
        <v>97</v>
      </c>
      <c r="F18">
        <f>'[5]GABM_R03_SudipaAPI_no_fb-data'!$K17</f>
        <v>72</v>
      </c>
      <c r="G18">
        <f>'[6]GABM_R03_NavidAPI_no_fb_runtwo-'!$K17</f>
        <v>53</v>
      </c>
      <c r="H18">
        <f>'[7]GABM_R03_savannah_no_fb-data'!$K17</f>
        <v>101</v>
      </c>
      <c r="I18">
        <f>'[8]GABM_R03_Terry_no_fb_run_two-da'!$K17</f>
        <v>134</v>
      </c>
      <c r="J18">
        <f>[9]GABM_R03_MitchellAPI_no_fb_runt!$K17</f>
        <v>146</v>
      </c>
      <c r="K18">
        <f>'[10]R03_GABM_NiyoushaAPI_no_fb-data'!$K17</f>
        <v>40</v>
      </c>
      <c r="L18">
        <f t="shared" si="0"/>
        <v>89.3</v>
      </c>
    </row>
    <row r="19" spans="1:12" x14ac:dyDescent="0.35">
      <c r="A19">
        <v>16</v>
      </c>
      <c r="B19">
        <f>'[1]GABM_R03_Terry_no_fb-data'!$K18</f>
        <v>28</v>
      </c>
      <c r="C19">
        <f>'[2]GABM_R03_MitchellAPI_no_fb-data'!$K18</f>
        <v>24</v>
      </c>
      <c r="D19">
        <f>'[3]GABM_R03_NavidAPI_no_fb-data'!$K18</f>
        <v>69</v>
      </c>
      <c r="E19">
        <f>'[4]GABM_R03_RandiAPI_no_fb_runtwo-'!$K18</f>
        <v>73</v>
      </c>
      <c r="F19">
        <f>'[5]GABM_R03_SudipaAPI_no_fb-data'!$K18</f>
        <v>27</v>
      </c>
      <c r="G19">
        <f>'[6]GABM_R03_NavidAPI_no_fb_runtwo-'!$K18</f>
        <v>18</v>
      </c>
      <c r="H19">
        <f>'[7]GABM_R03_savannah_no_fb-data'!$K18</f>
        <v>42</v>
      </c>
      <c r="I19">
        <f>'[8]GABM_R03_Terry_no_fb_run_two-da'!$K18</f>
        <v>51</v>
      </c>
      <c r="J19">
        <f>[9]GABM_R03_MitchellAPI_no_fb_runt!$K18</f>
        <v>93</v>
      </c>
      <c r="K19">
        <f>'[10]R03_GABM_NiyoushaAPI_no_fb-data'!$K18</f>
        <v>14</v>
      </c>
      <c r="L19">
        <f t="shared" si="0"/>
        <v>43.9</v>
      </c>
    </row>
    <row r="20" spans="1:12" x14ac:dyDescent="0.35">
      <c r="A20">
        <v>17</v>
      </c>
      <c r="B20">
        <f>'[1]GABM_R03_Terry_no_fb-data'!$K19</f>
        <v>12</v>
      </c>
      <c r="C20">
        <f>'[2]GABM_R03_MitchellAPI_no_fb-data'!$K19</f>
        <v>11</v>
      </c>
      <c r="D20">
        <f>'[3]GABM_R03_NavidAPI_no_fb-data'!$K19</f>
        <v>32</v>
      </c>
      <c r="E20">
        <f>'[4]GABM_R03_RandiAPI_no_fb_runtwo-'!$K19</f>
        <v>17</v>
      </c>
      <c r="F20">
        <f>'[5]GABM_R03_SudipaAPI_no_fb-data'!$K19</f>
        <v>13</v>
      </c>
      <c r="G20">
        <f>'[6]GABM_R03_NavidAPI_no_fb_runtwo-'!$K19</f>
        <v>5</v>
      </c>
      <c r="H20">
        <f>'[7]GABM_R03_savannah_no_fb-data'!$K19</f>
        <v>31</v>
      </c>
      <c r="I20">
        <f>'[8]GABM_R03_Terry_no_fb_run_two-da'!$K19</f>
        <v>38</v>
      </c>
      <c r="J20">
        <f>[9]GABM_R03_MitchellAPI_no_fb_runt!$K19</f>
        <v>38</v>
      </c>
      <c r="K20">
        <f>'[10]R03_GABM_NiyoushaAPI_no_fb-data'!$K19</f>
        <v>3</v>
      </c>
      <c r="L20">
        <f t="shared" si="0"/>
        <v>20</v>
      </c>
    </row>
    <row r="21" spans="1:12" x14ac:dyDescent="0.35">
      <c r="A21">
        <v>18</v>
      </c>
      <c r="B21">
        <f>'[1]GABM_R03_Terry_no_fb-data'!$K20</f>
        <v>3</v>
      </c>
      <c r="C21">
        <f>'[2]GABM_R03_MitchellAPI_no_fb-data'!$K20</f>
        <v>4</v>
      </c>
      <c r="D21">
        <f>'[3]GABM_R03_NavidAPI_no_fb-data'!$K20</f>
        <v>7</v>
      </c>
      <c r="E21">
        <f>'[4]GABM_R03_RandiAPI_no_fb_runtwo-'!$K20</f>
        <v>12</v>
      </c>
      <c r="F21">
        <f>'[5]GABM_R03_SudipaAPI_no_fb-data'!$K20</f>
        <v>5</v>
      </c>
      <c r="G21">
        <f>'[6]GABM_R03_NavidAPI_no_fb_runtwo-'!$K20</f>
        <v>2</v>
      </c>
      <c r="H21">
        <f>'[7]GABM_R03_savannah_no_fb-data'!$K20</f>
        <v>9</v>
      </c>
      <c r="I21">
        <f>'[8]GABM_R03_Terry_no_fb_run_two-da'!$K20</f>
        <v>9</v>
      </c>
      <c r="J21">
        <f>[9]GABM_R03_MitchellAPI_no_fb_runt!$K20</f>
        <v>16</v>
      </c>
      <c r="K21">
        <f>'[10]R03_GABM_NiyoushaAPI_no_fb-data'!$K20</f>
        <v>1</v>
      </c>
      <c r="L21">
        <f t="shared" si="0"/>
        <v>6.8</v>
      </c>
    </row>
    <row r="22" spans="1:12" x14ac:dyDescent="0.35">
      <c r="A22">
        <v>19</v>
      </c>
      <c r="B22">
        <f>'[1]GABM_R03_Terry_no_fb-data'!$K21</f>
        <v>1</v>
      </c>
      <c r="C22">
        <f>'[2]GABM_R03_MitchellAPI_no_fb-data'!$K21</f>
        <v>1</v>
      </c>
      <c r="D22">
        <f>'[3]GABM_R03_NavidAPI_no_fb-data'!$K21</f>
        <v>7</v>
      </c>
      <c r="E22">
        <f>'[4]GABM_R03_RandiAPI_no_fb_runtwo-'!$K21</f>
        <v>3</v>
      </c>
      <c r="F22">
        <f>'[5]GABM_R03_SudipaAPI_no_fb-data'!$K21</f>
        <v>5</v>
      </c>
      <c r="G22">
        <f>'[6]GABM_R03_NavidAPI_no_fb_runtwo-'!$K21</f>
        <v>2</v>
      </c>
      <c r="H22">
        <f>'[7]GABM_R03_savannah_no_fb-data'!$K21</f>
        <v>2</v>
      </c>
      <c r="I22">
        <f>'[8]GABM_R03_Terry_no_fb_run_two-da'!$K21</f>
        <v>1</v>
      </c>
      <c r="J22">
        <f>[9]GABM_R03_MitchellAPI_no_fb_runt!$K21</f>
        <v>3</v>
      </c>
      <c r="K22">
        <f>'[10]R03_GABM_NiyoushaAPI_no_fb-data'!$K21</f>
        <v>1</v>
      </c>
      <c r="L22">
        <f t="shared" si="0"/>
        <v>2.6</v>
      </c>
    </row>
    <row r="23" spans="1:12" x14ac:dyDescent="0.35">
      <c r="A23">
        <v>20</v>
      </c>
      <c r="B23">
        <f>'[1]GABM_R03_Terry_no_fb-data'!$K22</f>
        <v>0</v>
      </c>
      <c r="C23">
        <f>'[2]GABM_R03_MitchellAPI_no_fb-data'!$K22</f>
        <v>0</v>
      </c>
      <c r="D23">
        <f>'[3]GABM_R03_NavidAPI_no_fb-data'!$K22</f>
        <v>2</v>
      </c>
      <c r="E23">
        <f>'[4]GABM_R03_RandiAPI_no_fb_runtwo-'!$K22</f>
        <v>1</v>
      </c>
      <c r="F23">
        <f>'[5]GABM_R03_SudipaAPI_no_fb-data'!$K22</f>
        <v>1</v>
      </c>
      <c r="G23">
        <f>'[6]GABM_R03_NavidAPI_no_fb_runtwo-'!$K22</f>
        <v>1</v>
      </c>
      <c r="H23">
        <f>'[7]GABM_R03_savannah_no_fb-data'!$K22</f>
        <v>4</v>
      </c>
      <c r="I23">
        <f>'[8]GABM_R03_Terry_no_fb_run_two-da'!$K22</f>
        <v>5</v>
      </c>
      <c r="J23">
        <f>[9]GABM_R03_MitchellAPI_no_fb_runt!$K22</f>
        <v>2</v>
      </c>
      <c r="K23">
        <f>'[10]R03_GABM_NiyoushaAPI_no_fb-data'!$K22</f>
        <v>0</v>
      </c>
      <c r="L23">
        <f t="shared" si="0"/>
        <v>1.6</v>
      </c>
    </row>
    <row r="24" spans="1:12" x14ac:dyDescent="0.35">
      <c r="A24">
        <v>21</v>
      </c>
      <c r="B24">
        <f>'[1]GABM_R03_Terry_no_fb-data'!$K23</f>
        <v>0</v>
      </c>
      <c r="C24">
        <f>'[2]GABM_R03_MitchellAPI_no_fb-data'!$K23</f>
        <v>1</v>
      </c>
      <c r="D24">
        <f>'[3]GABM_R03_NavidAPI_no_fb-data'!$K23</f>
        <v>0</v>
      </c>
      <c r="E24">
        <f>'[4]GABM_R03_RandiAPI_no_fb_runtwo-'!$K23</f>
        <v>0</v>
      </c>
      <c r="F24">
        <f>'[5]GABM_R03_SudipaAPI_no_fb-data'!$K23</f>
        <v>0</v>
      </c>
      <c r="G24">
        <f>'[6]GABM_R03_NavidAPI_no_fb_runtwo-'!$K23</f>
        <v>0</v>
      </c>
      <c r="H24">
        <f>'[7]GABM_R03_savannah_no_fb-data'!$K23</f>
        <v>0</v>
      </c>
      <c r="I24">
        <f>'[8]GABM_R03_Terry_no_fb_run_two-da'!$K23</f>
        <v>0</v>
      </c>
      <c r="J24">
        <f>[9]GABM_R03_MitchellAPI_no_fb_runt!$K23</f>
        <v>2</v>
      </c>
      <c r="K24">
        <f>'[10]R03_GABM_NiyoushaAPI_no_fb-data'!$K23</f>
        <v>0</v>
      </c>
      <c r="L24">
        <f t="shared" si="0"/>
        <v>0.3</v>
      </c>
    </row>
    <row r="25" spans="1:12" x14ac:dyDescent="0.35">
      <c r="A25">
        <v>22</v>
      </c>
      <c r="B25">
        <f>'[1]GABM_R03_Terry_no_fb-data'!$K24</f>
        <v>0</v>
      </c>
      <c r="C25">
        <f>'[2]GABM_R03_MitchellAPI_no_fb-data'!$K24</f>
        <v>0</v>
      </c>
      <c r="D25">
        <f>'[3]GABM_R03_NavidAPI_no_fb-data'!$K24</f>
        <v>2</v>
      </c>
      <c r="E25">
        <f>'[4]GABM_R03_RandiAPI_no_fb_runtwo-'!$K24</f>
        <v>0</v>
      </c>
      <c r="F25">
        <f>'[5]GABM_R03_SudipaAPI_no_fb-data'!$K24</f>
        <v>0</v>
      </c>
      <c r="G25">
        <f>'[6]GABM_R03_NavidAPI_no_fb_runtwo-'!$K24</f>
        <v>0</v>
      </c>
      <c r="H25">
        <f>'[7]GABM_R03_savannah_no_fb-data'!$K24</f>
        <v>1</v>
      </c>
      <c r="I25">
        <f>'[8]GABM_R03_Terry_no_fb_run_two-da'!$K24</f>
        <v>1</v>
      </c>
      <c r="J25">
        <f>[9]GABM_R03_MitchellAPI_no_fb_runt!$K24</f>
        <v>0</v>
      </c>
      <c r="K25">
        <f>'[10]R03_GABM_NiyoushaAPI_no_fb-data'!$K24</f>
        <v>0</v>
      </c>
      <c r="L25">
        <f t="shared" si="0"/>
        <v>0.4</v>
      </c>
    </row>
    <row r="26" spans="1:12" x14ac:dyDescent="0.35">
      <c r="A26">
        <v>23</v>
      </c>
      <c r="B26">
        <f>'[1]GABM_R03_Terry_no_fb-data'!$K25</f>
        <v>0</v>
      </c>
      <c r="C26">
        <f>'[2]GABM_R03_MitchellAPI_no_fb-data'!$K25</f>
        <v>0</v>
      </c>
      <c r="D26">
        <f>'[3]GABM_R03_NavidAPI_no_fb-data'!$K25</f>
        <v>0</v>
      </c>
      <c r="E26">
        <f>'[4]GABM_R03_RandiAPI_no_fb_runtwo-'!$K25</f>
        <v>0</v>
      </c>
      <c r="F26">
        <f>'[5]GABM_R03_SudipaAPI_no_fb-data'!$K25</f>
        <v>1</v>
      </c>
      <c r="G26">
        <f>'[6]GABM_R03_NavidAPI_no_fb_runtwo-'!$K25</f>
        <v>0</v>
      </c>
      <c r="H26">
        <f>'[7]GABM_R03_savannah_no_fb-data'!$K25</f>
        <v>0</v>
      </c>
      <c r="I26">
        <f>'[8]GABM_R03_Terry_no_fb_run_two-da'!$K25</f>
        <v>0</v>
      </c>
      <c r="J26">
        <f>[9]GABM_R03_MitchellAPI_no_fb_runt!$K25</f>
        <v>0</v>
      </c>
      <c r="K26">
        <f>'[10]R03_GABM_NiyoushaAPI_no_fb-data'!$K25</f>
        <v>0</v>
      </c>
      <c r="L26">
        <f t="shared" si="0"/>
        <v>0.1</v>
      </c>
    </row>
    <row r="27" spans="1:12" x14ac:dyDescent="0.35">
      <c r="A27">
        <v>24</v>
      </c>
      <c r="B27">
        <f>'[1]GABM_R03_Terry_no_fb-data'!$K26</f>
        <v>0</v>
      </c>
      <c r="C27">
        <f>'[2]GABM_R03_MitchellAPI_no_fb-data'!$K26</f>
        <v>0</v>
      </c>
      <c r="D27">
        <f>'[3]GABM_R03_NavidAPI_no_fb-data'!$K26</f>
        <v>0</v>
      </c>
      <c r="E27">
        <f>'[4]GABM_R03_RandiAPI_no_fb_runtwo-'!$K26</f>
        <v>0</v>
      </c>
      <c r="F27">
        <f>'[5]GABM_R03_SudipaAPI_no_fb-data'!$K26</f>
        <v>0</v>
      </c>
      <c r="G27">
        <f>'[6]GABM_R03_NavidAPI_no_fb_runtwo-'!$K26</f>
        <v>0</v>
      </c>
      <c r="H27">
        <f>'[7]GABM_R03_savannah_no_fb-data'!$K26</f>
        <v>0</v>
      </c>
      <c r="I27">
        <f>'[8]GABM_R03_Terry_no_fb_run_two-da'!$K26</f>
        <v>0</v>
      </c>
      <c r="J27">
        <f>[9]GABM_R03_MitchellAPI_no_fb_runt!$K26</f>
        <v>0</v>
      </c>
      <c r="K27">
        <f>'[10]R03_GABM_NiyoushaAPI_no_fb-data'!$K26</f>
        <v>0</v>
      </c>
      <c r="L27">
        <f t="shared" si="0"/>
        <v>0</v>
      </c>
    </row>
    <row r="28" spans="1:12" x14ac:dyDescent="0.35">
      <c r="A28">
        <v>25</v>
      </c>
      <c r="B28">
        <f>'[1]GABM_R03_Terry_no_fb-data'!$K27</f>
        <v>0</v>
      </c>
      <c r="C28">
        <f>'[2]GABM_R03_MitchellAPI_no_fb-data'!$K27</f>
        <v>0</v>
      </c>
      <c r="D28">
        <f>'[3]GABM_R03_NavidAPI_no_fb-data'!$K27</f>
        <v>0</v>
      </c>
      <c r="E28">
        <f>'[4]GABM_R03_RandiAPI_no_fb_runtwo-'!$K27</f>
        <v>0</v>
      </c>
      <c r="F28">
        <f>'[5]GABM_R03_SudipaAPI_no_fb-data'!$K27</f>
        <v>0</v>
      </c>
      <c r="G28">
        <f>'[6]GABM_R03_NavidAPI_no_fb_runtwo-'!$K27</f>
        <v>0</v>
      </c>
      <c r="H28">
        <f>'[7]GABM_R03_savannah_no_fb-data'!$K27</f>
        <v>0</v>
      </c>
      <c r="I28">
        <f>'[8]GABM_R03_Terry_no_fb_run_two-da'!$K27</f>
        <v>0</v>
      </c>
      <c r="J28">
        <f>[9]GABM_R03_MitchellAPI_no_fb_runt!$K27</f>
        <v>0</v>
      </c>
      <c r="K28">
        <f>'[10]R03_GABM_NiyoushaAPI_no_fb-data'!$K27</f>
        <v>0</v>
      </c>
      <c r="L28">
        <f t="shared" si="0"/>
        <v>0</v>
      </c>
    </row>
    <row r="29" spans="1:12" x14ac:dyDescent="0.35">
      <c r="A29">
        <v>26</v>
      </c>
      <c r="B29">
        <f>'[1]GABM_R03_Terry_no_fb-data'!$K28</f>
        <v>0</v>
      </c>
      <c r="C29">
        <f>'[2]GABM_R03_MitchellAPI_no_fb-data'!$K28</f>
        <v>0</v>
      </c>
      <c r="D29">
        <f>'[3]GABM_R03_NavidAPI_no_fb-data'!$K28</f>
        <v>0</v>
      </c>
      <c r="E29">
        <f>'[4]GABM_R03_RandiAPI_no_fb_runtwo-'!$K28</f>
        <v>0</v>
      </c>
      <c r="F29">
        <f>'[5]GABM_R03_SudipaAPI_no_fb-data'!$K28</f>
        <v>0</v>
      </c>
      <c r="G29">
        <f>'[6]GABM_R03_NavidAPI_no_fb_runtwo-'!$K28</f>
        <v>0</v>
      </c>
      <c r="H29">
        <f>'[7]GABM_R03_savannah_no_fb-data'!$K28</f>
        <v>0</v>
      </c>
      <c r="I29">
        <f>'[8]GABM_R03_Terry_no_fb_run_two-da'!$K28</f>
        <v>0</v>
      </c>
      <c r="J29">
        <f>[9]GABM_R03_MitchellAPI_no_fb_runt!$K28</f>
        <v>0</v>
      </c>
      <c r="K29">
        <f>'[10]R03_GABM_NiyoushaAPI_no_fb-data'!$K28</f>
        <v>0</v>
      </c>
      <c r="L29">
        <f t="shared" si="0"/>
        <v>0</v>
      </c>
    </row>
  </sheetData>
  <mergeCells count="1">
    <mergeCell ref="A1:L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9B58-E91D-45E4-A6CE-2FA26666579D}">
  <dimension ref="A1:L37"/>
  <sheetViews>
    <sheetView topLeftCell="A22" workbookViewId="0">
      <selection activeCell="K37" sqref="B2:K37"/>
    </sheetView>
  </sheetViews>
  <sheetFormatPr defaultRowHeight="14.5" x14ac:dyDescent="0.35"/>
  <sheetData>
    <row r="1" spans="1:12" x14ac:dyDescent="0.35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5">
      <c r="A2" t="s">
        <v>10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12</v>
      </c>
    </row>
    <row r="3" spans="1:12" x14ac:dyDescent="0.35">
      <c r="A3">
        <v>0</v>
      </c>
      <c r="B3">
        <f>'[11]GABM_R03_NavidAPI_sf_fb-data'!$K2</f>
        <v>0</v>
      </c>
      <c r="C3">
        <f>'[12]GABM_R03_savannah_sf_fb-data'!$K2</f>
        <v>0</v>
      </c>
      <c r="D3">
        <f>'[13]GABM_R03_MitchellAPI_sf_fb-data'!$K2</f>
        <v>0</v>
      </c>
      <c r="E3">
        <f>'[14]GABM_R03_RandiAPI_sf_fb-data'!$K2</f>
        <v>0</v>
      </c>
      <c r="F3">
        <f>'[15]GABM_R03_Terry_sf_fb-data'!$K2</f>
        <v>0</v>
      </c>
      <c r="G3">
        <f>'[16]R03_GABM_NiyoushaAPI_sf_fb-data'!$K2</f>
        <v>0</v>
      </c>
      <c r="H3">
        <f>'[17]GABM_R03_SudipaAPI_sf_fb-data'!$K2</f>
        <v>0</v>
      </c>
      <c r="I3">
        <f>'[18]GABM_R03_Terry_sf_fb_2-data'!$K2</f>
        <v>0</v>
      </c>
      <c r="J3">
        <f>'[19]GABM_R03_NavidAPI_sf_fb_2-data'!$K2</f>
        <v>0</v>
      </c>
      <c r="K3">
        <f>'[20]R03_GABM_NiyoushaAPI_sf_fb_2-da'!$K2</f>
        <v>0</v>
      </c>
      <c r="L3">
        <f>AVERAGE(B3:K3)</f>
        <v>0</v>
      </c>
    </row>
    <row r="4" spans="1:12" x14ac:dyDescent="0.35">
      <c r="A4">
        <v>1</v>
      </c>
      <c r="B4">
        <f>'[11]GABM_R03_NavidAPI_sf_fb-data'!$K3</f>
        <v>0</v>
      </c>
      <c r="C4">
        <f>'[12]GABM_R03_savannah_sf_fb-data'!$K3</f>
        <v>0</v>
      </c>
      <c r="D4">
        <f>'[13]GABM_R03_MitchellAPI_sf_fb-data'!$K3</f>
        <v>0</v>
      </c>
      <c r="E4">
        <f>'[14]GABM_R03_RandiAPI_sf_fb-data'!$K3</f>
        <v>0</v>
      </c>
      <c r="F4">
        <f>'[15]GABM_R03_Terry_sf_fb-data'!$K3</f>
        <v>0</v>
      </c>
      <c r="G4">
        <f>'[16]R03_GABM_NiyoushaAPI_sf_fb-data'!$K3</f>
        <v>0</v>
      </c>
      <c r="H4">
        <f>'[17]GABM_R03_SudipaAPI_sf_fb-data'!$K3</f>
        <v>0</v>
      </c>
      <c r="I4">
        <f>'[18]GABM_R03_Terry_sf_fb_2-data'!$K3</f>
        <v>0</v>
      </c>
      <c r="J4">
        <f>'[19]GABM_R03_NavidAPI_sf_fb_2-data'!$K3</f>
        <v>0</v>
      </c>
      <c r="K4">
        <f>'[20]R03_GABM_NiyoushaAPI_sf_fb_2-da'!$K3</f>
        <v>0</v>
      </c>
      <c r="L4">
        <f t="shared" ref="L4:L37" si="0">AVERAGE(B4:K4)</f>
        <v>0</v>
      </c>
    </row>
    <row r="5" spans="1:12" x14ac:dyDescent="0.35">
      <c r="A5">
        <v>2</v>
      </c>
      <c r="B5">
        <f>'[11]GABM_R03_NavidAPI_sf_fb-data'!$K4</f>
        <v>0</v>
      </c>
      <c r="C5">
        <f>'[12]GABM_R03_savannah_sf_fb-data'!$K4</f>
        <v>0</v>
      </c>
      <c r="D5">
        <f>'[13]GABM_R03_MitchellAPI_sf_fb-data'!$K4</f>
        <v>0</v>
      </c>
      <c r="E5">
        <f>'[14]GABM_R03_RandiAPI_sf_fb-data'!$K4</f>
        <v>0</v>
      </c>
      <c r="F5">
        <f>'[15]GABM_R03_Terry_sf_fb-data'!$K4</f>
        <v>0</v>
      </c>
      <c r="G5">
        <f>'[16]R03_GABM_NiyoushaAPI_sf_fb-data'!$K4</f>
        <v>0</v>
      </c>
      <c r="H5">
        <f>'[17]GABM_R03_SudipaAPI_sf_fb-data'!$K4</f>
        <v>0</v>
      </c>
      <c r="I5">
        <f>'[18]GABM_R03_Terry_sf_fb_2-data'!$K4</f>
        <v>0</v>
      </c>
      <c r="J5">
        <f>'[19]GABM_R03_NavidAPI_sf_fb_2-data'!$K4</f>
        <v>0</v>
      </c>
      <c r="K5">
        <f>'[20]R03_GABM_NiyoushaAPI_sf_fb_2-da'!$K4</f>
        <v>0</v>
      </c>
      <c r="L5">
        <f t="shared" si="0"/>
        <v>0</v>
      </c>
    </row>
    <row r="6" spans="1:12" x14ac:dyDescent="0.35">
      <c r="A6">
        <v>3</v>
      </c>
      <c r="B6">
        <f>'[11]GABM_R03_NavidAPI_sf_fb-data'!$K5</f>
        <v>2</v>
      </c>
      <c r="C6">
        <f>'[12]GABM_R03_savannah_sf_fb-data'!$K5</f>
        <v>2</v>
      </c>
      <c r="D6">
        <f>'[13]GABM_R03_MitchellAPI_sf_fb-data'!$K5</f>
        <v>2</v>
      </c>
      <c r="E6">
        <f>'[14]GABM_R03_RandiAPI_sf_fb-data'!$K5</f>
        <v>2</v>
      </c>
      <c r="F6">
        <f>'[15]GABM_R03_Terry_sf_fb-data'!$K5</f>
        <v>2</v>
      </c>
      <c r="G6">
        <f>'[16]R03_GABM_NiyoushaAPI_sf_fb-data'!$K5</f>
        <v>2</v>
      </c>
      <c r="H6">
        <f>'[17]GABM_R03_SudipaAPI_sf_fb-data'!$K5</f>
        <v>2</v>
      </c>
      <c r="I6">
        <f>'[18]GABM_R03_Terry_sf_fb_2-data'!$K5</f>
        <v>2</v>
      </c>
      <c r="J6">
        <f>'[19]GABM_R03_NavidAPI_sf_fb_2-data'!$K5</f>
        <v>2</v>
      </c>
      <c r="K6">
        <f>'[20]R03_GABM_NiyoushaAPI_sf_fb_2-da'!$K5</f>
        <v>2</v>
      </c>
      <c r="L6">
        <f t="shared" si="0"/>
        <v>2</v>
      </c>
    </row>
    <row r="7" spans="1:12" x14ac:dyDescent="0.35">
      <c r="A7">
        <v>4</v>
      </c>
      <c r="B7">
        <f>'[11]GABM_R03_NavidAPI_sf_fb-data'!$K6</f>
        <v>4</v>
      </c>
      <c r="C7">
        <f>'[12]GABM_R03_savannah_sf_fb-data'!$K6</f>
        <v>2</v>
      </c>
      <c r="D7">
        <f>'[13]GABM_R03_MitchellAPI_sf_fb-data'!$K6</f>
        <v>2</v>
      </c>
      <c r="E7">
        <f>'[14]GABM_R03_RandiAPI_sf_fb-data'!$K6</f>
        <v>0</v>
      </c>
      <c r="F7">
        <f>'[15]GABM_R03_Terry_sf_fb-data'!$K6</f>
        <v>3</v>
      </c>
      <c r="G7">
        <f>'[16]R03_GABM_NiyoushaAPI_sf_fb-data'!$K6</f>
        <v>2</v>
      </c>
      <c r="H7">
        <f>'[17]GABM_R03_SudipaAPI_sf_fb-data'!$K6</f>
        <v>1</v>
      </c>
      <c r="I7">
        <f>'[18]GABM_R03_Terry_sf_fb_2-data'!$K6</f>
        <v>4</v>
      </c>
      <c r="J7">
        <f>'[19]GABM_R03_NavidAPI_sf_fb_2-data'!$K6</f>
        <v>2</v>
      </c>
      <c r="K7">
        <f>'[20]R03_GABM_NiyoushaAPI_sf_fb_2-da'!$K6</f>
        <v>0</v>
      </c>
      <c r="L7">
        <f t="shared" si="0"/>
        <v>2</v>
      </c>
    </row>
    <row r="8" spans="1:12" x14ac:dyDescent="0.35">
      <c r="A8">
        <v>5</v>
      </c>
      <c r="B8">
        <f>'[11]GABM_R03_NavidAPI_sf_fb-data'!$K7</f>
        <v>4</v>
      </c>
      <c r="C8">
        <f>'[12]GABM_R03_savannah_sf_fb-data'!$K7</f>
        <v>8</v>
      </c>
      <c r="D8">
        <f>'[13]GABM_R03_MitchellAPI_sf_fb-data'!$K7</f>
        <v>3</v>
      </c>
      <c r="E8">
        <f>'[14]GABM_R03_RandiAPI_sf_fb-data'!$K7</f>
        <v>0</v>
      </c>
      <c r="F8">
        <f>'[15]GABM_R03_Terry_sf_fb-data'!$K7</f>
        <v>6</v>
      </c>
      <c r="G8">
        <f>'[16]R03_GABM_NiyoushaAPI_sf_fb-data'!$K7</f>
        <v>5</v>
      </c>
      <c r="H8">
        <f>'[17]GABM_R03_SudipaAPI_sf_fb-data'!$K7</f>
        <v>3</v>
      </c>
      <c r="I8">
        <f>'[18]GABM_R03_Terry_sf_fb_2-data'!$K7</f>
        <v>5</v>
      </c>
      <c r="J8">
        <f>'[19]GABM_R03_NavidAPI_sf_fb_2-data'!$K7</f>
        <v>7</v>
      </c>
      <c r="K8">
        <f>'[20]R03_GABM_NiyoushaAPI_sf_fb_2-da'!$K7</f>
        <v>4</v>
      </c>
      <c r="L8">
        <f t="shared" si="0"/>
        <v>4.5</v>
      </c>
    </row>
    <row r="9" spans="1:12" x14ac:dyDescent="0.35">
      <c r="A9">
        <v>6</v>
      </c>
      <c r="B9">
        <f>'[11]GABM_R03_NavidAPI_sf_fb-data'!$K8</f>
        <v>11</v>
      </c>
      <c r="C9">
        <f>'[12]GABM_R03_savannah_sf_fb-data'!$K8</f>
        <v>5</v>
      </c>
      <c r="D9">
        <f>'[13]GABM_R03_MitchellAPI_sf_fb-data'!$K8</f>
        <v>4</v>
      </c>
      <c r="E9">
        <f>'[14]GABM_R03_RandiAPI_sf_fb-data'!$K8</f>
        <v>0</v>
      </c>
      <c r="F9">
        <f>'[15]GABM_R03_Terry_sf_fb-data'!$K8</f>
        <v>7</v>
      </c>
      <c r="G9">
        <f>'[16]R03_GABM_NiyoushaAPI_sf_fb-data'!$K8</f>
        <v>11</v>
      </c>
      <c r="H9">
        <f>'[17]GABM_R03_SudipaAPI_sf_fb-data'!$K8</f>
        <v>7</v>
      </c>
      <c r="I9">
        <f>'[18]GABM_R03_Terry_sf_fb_2-data'!$K8</f>
        <v>11</v>
      </c>
      <c r="J9">
        <f>'[19]GABM_R03_NavidAPI_sf_fb_2-data'!$K8</f>
        <v>6</v>
      </c>
      <c r="K9">
        <f>'[20]R03_GABM_NiyoushaAPI_sf_fb_2-da'!$K8</f>
        <v>3</v>
      </c>
      <c r="L9">
        <f t="shared" si="0"/>
        <v>6.5</v>
      </c>
    </row>
    <row r="10" spans="1:12" x14ac:dyDescent="0.35">
      <c r="A10">
        <v>7</v>
      </c>
      <c r="B10">
        <f>'[11]GABM_R03_NavidAPI_sf_fb-data'!$K9</f>
        <v>16</v>
      </c>
      <c r="C10">
        <f>'[12]GABM_R03_savannah_sf_fb-data'!$K9</f>
        <v>9</v>
      </c>
      <c r="D10">
        <f>'[13]GABM_R03_MitchellAPI_sf_fb-data'!$K9</f>
        <v>8</v>
      </c>
      <c r="E10">
        <f>'[14]GABM_R03_RandiAPI_sf_fb-data'!$K9</f>
        <v>0</v>
      </c>
      <c r="F10">
        <f>'[15]GABM_R03_Terry_sf_fb-data'!$K9</f>
        <v>7</v>
      </c>
      <c r="G10">
        <f>'[16]R03_GABM_NiyoushaAPI_sf_fb-data'!$K9</f>
        <v>10</v>
      </c>
      <c r="H10">
        <f>'[17]GABM_R03_SudipaAPI_sf_fb-data'!$K9</f>
        <v>7</v>
      </c>
      <c r="I10">
        <f>'[18]GABM_R03_Terry_sf_fb_2-data'!$K9</f>
        <v>16</v>
      </c>
      <c r="J10">
        <f>'[19]GABM_R03_NavidAPI_sf_fb_2-data'!$K9</f>
        <v>10</v>
      </c>
      <c r="K10">
        <f>'[20]R03_GABM_NiyoushaAPI_sf_fb_2-da'!$K9</f>
        <v>5</v>
      </c>
      <c r="L10">
        <f t="shared" si="0"/>
        <v>8.8000000000000007</v>
      </c>
    </row>
    <row r="11" spans="1:12" x14ac:dyDescent="0.35">
      <c r="A11">
        <v>8</v>
      </c>
      <c r="B11">
        <f>'[11]GABM_R03_NavidAPI_sf_fb-data'!$K10</f>
        <v>29</v>
      </c>
      <c r="C11">
        <f>'[12]GABM_R03_savannah_sf_fb-data'!$K10</f>
        <v>14</v>
      </c>
      <c r="D11">
        <f>'[13]GABM_R03_MitchellAPI_sf_fb-data'!$K10</f>
        <v>11</v>
      </c>
      <c r="E11">
        <f>'[14]GABM_R03_RandiAPI_sf_fb-data'!$K10</f>
        <v>0</v>
      </c>
      <c r="F11">
        <f>'[15]GABM_R03_Terry_sf_fb-data'!$K10</f>
        <v>16</v>
      </c>
      <c r="G11">
        <f>'[16]R03_GABM_NiyoushaAPI_sf_fb-data'!$K10</f>
        <v>17</v>
      </c>
      <c r="H11">
        <f>'[17]GABM_R03_SudipaAPI_sf_fb-data'!$K10</f>
        <v>14</v>
      </c>
      <c r="I11">
        <f>'[18]GABM_R03_Terry_sf_fb_2-data'!$K10</f>
        <v>25</v>
      </c>
      <c r="J11">
        <f>'[19]GABM_R03_NavidAPI_sf_fb_2-data'!$K10</f>
        <v>14</v>
      </c>
      <c r="K11">
        <f>'[20]R03_GABM_NiyoushaAPI_sf_fb_2-da'!$K10</f>
        <v>8</v>
      </c>
      <c r="L11">
        <f t="shared" si="0"/>
        <v>14.8</v>
      </c>
    </row>
    <row r="12" spans="1:12" x14ac:dyDescent="0.35">
      <c r="A12">
        <v>9</v>
      </c>
      <c r="B12">
        <f>'[11]GABM_R03_NavidAPI_sf_fb-data'!$K11</f>
        <v>37</v>
      </c>
      <c r="C12">
        <f>'[12]GABM_R03_savannah_sf_fb-data'!$K11</f>
        <v>15</v>
      </c>
      <c r="D12">
        <f>'[13]GABM_R03_MitchellAPI_sf_fb-data'!$K11</f>
        <v>19</v>
      </c>
      <c r="E12">
        <f>'[14]GABM_R03_RandiAPI_sf_fb-data'!$K11</f>
        <v>0</v>
      </c>
      <c r="F12">
        <f>'[15]GABM_R03_Terry_sf_fb-data'!$K11</f>
        <v>25</v>
      </c>
      <c r="G12">
        <f>'[16]R03_GABM_NiyoushaAPI_sf_fb-data'!$K11</f>
        <v>26</v>
      </c>
      <c r="H12">
        <f>'[17]GABM_R03_SudipaAPI_sf_fb-data'!$K11</f>
        <v>24</v>
      </c>
      <c r="I12">
        <f>'[18]GABM_R03_Terry_sf_fb_2-data'!$K11</f>
        <v>41</v>
      </c>
      <c r="J12">
        <f>'[19]GABM_R03_NavidAPI_sf_fb_2-data'!$K11</f>
        <v>16</v>
      </c>
      <c r="K12">
        <f>'[20]R03_GABM_NiyoushaAPI_sf_fb_2-da'!$K11</f>
        <v>12</v>
      </c>
      <c r="L12">
        <f t="shared" si="0"/>
        <v>21.5</v>
      </c>
    </row>
    <row r="13" spans="1:12" x14ac:dyDescent="0.35">
      <c r="A13">
        <v>10</v>
      </c>
      <c r="B13">
        <f>'[11]GABM_R03_NavidAPI_sf_fb-data'!$K12</f>
        <v>57</v>
      </c>
      <c r="C13">
        <f>'[12]GABM_R03_savannah_sf_fb-data'!$K12</f>
        <v>28</v>
      </c>
      <c r="D13">
        <f>'[13]GABM_R03_MitchellAPI_sf_fb-data'!$K12</f>
        <v>19</v>
      </c>
      <c r="E13">
        <f>'[14]GABM_R03_RandiAPI_sf_fb-data'!$K12</f>
        <v>0</v>
      </c>
      <c r="F13">
        <f>'[15]GABM_R03_Terry_sf_fb-data'!$K12</f>
        <v>40</v>
      </c>
      <c r="G13">
        <f>'[16]R03_GABM_NiyoushaAPI_sf_fb-data'!$K12</f>
        <v>49</v>
      </c>
      <c r="H13">
        <f>'[17]GABM_R03_SudipaAPI_sf_fb-data'!$K12</f>
        <v>38</v>
      </c>
      <c r="I13">
        <f>'[18]GABM_R03_Terry_sf_fb_2-data'!$K12</f>
        <v>61</v>
      </c>
      <c r="J13">
        <f>'[19]GABM_R03_NavidAPI_sf_fb_2-data'!$K12</f>
        <v>31</v>
      </c>
      <c r="K13">
        <f>'[20]R03_GABM_NiyoushaAPI_sf_fb_2-da'!$K12</f>
        <v>13</v>
      </c>
      <c r="L13">
        <f t="shared" si="0"/>
        <v>33.6</v>
      </c>
    </row>
    <row r="14" spans="1:12" x14ac:dyDescent="0.35">
      <c r="A14">
        <v>11</v>
      </c>
      <c r="B14">
        <f>'[11]GABM_R03_NavidAPI_sf_fb-data'!$K13</f>
        <v>62</v>
      </c>
      <c r="C14">
        <f>'[12]GABM_R03_savannah_sf_fb-data'!$K13</f>
        <v>36</v>
      </c>
      <c r="D14">
        <f>'[13]GABM_R03_MitchellAPI_sf_fb-data'!$K13</f>
        <v>33</v>
      </c>
      <c r="E14">
        <f>'[14]GABM_R03_RandiAPI_sf_fb-data'!$K13</f>
        <v>0</v>
      </c>
      <c r="F14">
        <f>'[15]GABM_R03_Terry_sf_fb-data'!$K13</f>
        <v>60</v>
      </c>
      <c r="G14">
        <f>'[16]R03_GABM_NiyoushaAPI_sf_fb-data'!$K13</f>
        <v>56</v>
      </c>
      <c r="H14">
        <f>'[17]GABM_R03_SudipaAPI_sf_fb-data'!$K13</f>
        <v>46</v>
      </c>
      <c r="I14">
        <f>'[18]GABM_R03_Terry_sf_fb_2-data'!$K13</f>
        <v>77</v>
      </c>
      <c r="J14">
        <f>'[19]GABM_R03_NavidAPI_sf_fb_2-data'!$K13</f>
        <v>32</v>
      </c>
      <c r="K14">
        <f>'[20]R03_GABM_NiyoushaAPI_sf_fb_2-da'!$K13</f>
        <v>25</v>
      </c>
      <c r="L14">
        <f t="shared" si="0"/>
        <v>42.7</v>
      </c>
    </row>
    <row r="15" spans="1:12" x14ac:dyDescent="0.35">
      <c r="A15">
        <v>12</v>
      </c>
      <c r="B15">
        <f>'[11]GABM_R03_NavidAPI_sf_fb-data'!$K14</f>
        <v>72</v>
      </c>
      <c r="C15">
        <f>'[12]GABM_R03_savannah_sf_fb-data'!$K14</f>
        <v>50</v>
      </c>
      <c r="D15">
        <f>'[13]GABM_R03_MitchellAPI_sf_fb-data'!$K14</f>
        <v>42</v>
      </c>
      <c r="E15">
        <f>'[14]GABM_R03_RandiAPI_sf_fb-data'!$K14</f>
        <v>0</v>
      </c>
      <c r="F15">
        <f>'[15]GABM_R03_Terry_sf_fb-data'!$K14</f>
        <v>71</v>
      </c>
      <c r="G15">
        <f>'[16]R03_GABM_NiyoushaAPI_sf_fb-data'!$K14</f>
        <v>83</v>
      </c>
      <c r="H15">
        <f>'[17]GABM_R03_SudipaAPI_sf_fb-data'!$K14</f>
        <v>71</v>
      </c>
      <c r="I15">
        <f>'[18]GABM_R03_Terry_sf_fb_2-data'!$K14</f>
        <v>95</v>
      </c>
      <c r="J15">
        <f>'[19]GABM_R03_NavidAPI_sf_fb_2-data'!$K14</f>
        <v>54</v>
      </c>
      <c r="K15">
        <f>'[20]R03_GABM_NiyoushaAPI_sf_fb_2-da'!$K14</f>
        <v>34</v>
      </c>
      <c r="L15">
        <f t="shared" si="0"/>
        <v>57.2</v>
      </c>
    </row>
    <row r="16" spans="1:12" x14ac:dyDescent="0.35">
      <c r="A16">
        <v>13</v>
      </c>
      <c r="B16">
        <f>'[11]GABM_R03_NavidAPI_sf_fb-data'!$K15</f>
        <v>87</v>
      </c>
      <c r="C16">
        <f>'[12]GABM_R03_savannah_sf_fb-data'!$K15</f>
        <v>65</v>
      </c>
      <c r="D16">
        <f>'[13]GABM_R03_MitchellAPI_sf_fb-data'!$K15</f>
        <v>59</v>
      </c>
      <c r="E16">
        <f>'[14]GABM_R03_RandiAPI_sf_fb-data'!$K15</f>
        <v>0</v>
      </c>
      <c r="F16">
        <f>'[15]GABM_R03_Terry_sf_fb-data'!$K15</f>
        <v>104</v>
      </c>
      <c r="G16">
        <f>'[16]R03_GABM_NiyoushaAPI_sf_fb-data'!$K15</f>
        <v>85</v>
      </c>
      <c r="H16">
        <f>'[17]GABM_R03_SudipaAPI_sf_fb-data'!$K15</f>
        <v>76</v>
      </c>
      <c r="I16">
        <f>'[18]GABM_R03_Terry_sf_fb_2-data'!$K15</f>
        <v>93</v>
      </c>
      <c r="J16">
        <f>'[19]GABM_R03_NavidAPI_sf_fb_2-data'!$K15</f>
        <v>67</v>
      </c>
      <c r="K16">
        <f>'[20]R03_GABM_NiyoushaAPI_sf_fb_2-da'!$K15</f>
        <v>39</v>
      </c>
      <c r="L16">
        <f t="shared" si="0"/>
        <v>67.5</v>
      </c>
    </row>
    <row r="17" spans="1:12" x14ac:dyDescent="0.35">
      <c r="A17">
        <v>14</v>
      </c>
      <c r="B17">
        <f>'[11]GABM_R03_NavidAPI_sf_fb-data'!$K16</f>
        <v>82</v>
      </c>
      <c r="C17">
        <f>'[12]GABM_R03_savannah_sf_fb-data'!$K16</f>
        <v>75</v>
      </c>
      <c r="D17">
        <f>'[13]GABM_R03_MitchellAPI_sf_fb-data'!$K16</f>
        <v>59</v>
      </c>
      <c r="E17">
        <f>'[14]GABM_R03_RandiAPI_sf_fb-data'!$K16</f>
        <v>0</v>
      </c>
      <c r="F17">
        <f>'[15]GABM_R03_Terry_sf_fb-data'!$K16</f>
        <v>99</v>
      </c>
      <c r="G17">
        <f>'[16]R03_GABM_NiyoushaAPI_sf_fb-data'!$K16</f>
        <v>114</v>
      </c>
      <c r="H17">
        <f>'[17]GABM_R03_SudipaAPI_sf_fb-data'!$K16</f>
        <v>93</v>
      </c>
      <c r="I17">
        <f>'[18]GABM_R03_Terry_sf_fb_2-data'!$K16</f>
        <v>99</v>
      </c>
      <c r="J17">
        <f>'[19]GABM_R03_NavidAPI_sf_fb_2-data'!$K16</f>
        <v>78</v>
      </c>
      <c r="K17">
        <f>'[20]R03_GABM_NiyoushaAPI_sf_fb_2-da'!$K16</f>
        <v>59</v>
      </c>
      <c r="L17">
        <f t="shared" si="0"/>
        <v>75.8</v>
      </c>
    </row>
    <row r="18" spans="1:12" x14ac:dyDescent="0.35">
      <c r="A18">
        <v>15</v>
      </c>
      <c r="B18">
        <f>'[11]GABM_R03_NavidAPI_sf_fb-data'!$K17</f>
        <v>89</v>
      </c>
      <c r="C18">
        <f>'[12]GABM_R03_savannah_sf_fb-data'!$K17</f>
        <v>89</v>
      </c>
      <c r="D18">
        <f>'[13]GABM_R03_MitchellAPI_sf_fb-data'!$K17</f>
        <v>84</v>
      </c>
      <c r="E18">
        <f>'[14]GABM_R03_RandiAPI_sf_fb-data'!$K17</f>
        <v>0</v>
      </c>
      <c r="F18">
        <f>'[15]GABM_R03_Terry_sf_fb-data'!$K17</f>
        <v>92</v>
      </c>
      <c r="G18">
        <f>'[16]R03_GABM_NiyoushaAPI_sf_fb-data'!$K17</f>
        <v>111</v>
      </c>
      <c r="H18">
        <f>'[17]GABM_R03_SudipaAPI_sf_fb-data'!$K17</f>
        <v>87</v>
      </c>
      <c r="I18">
        <f>'[18]GABM_R03_Terry_sf_fb_2-data'!$K17</f>
        <v>88</v>
      </c>
      <c r="J18">
        <f>'[19]GABM_R03_NavidAPI_sf_fb_2-data'!$K17</f>
        <v>94</v>
      </c>
      <c r="K18">
        <f>'[20]R03_GABM_NiyoushaAPI_sf_fb_2-da'!$K17</f>
        <v>83</v>
      </c>
      <c r="L18">
        <f t="shared" si="0"/>
        <v>81.7</v>
      </c>
    </row>
    <row r="19" spans="1:12" x14ac:dyDescent="0.35">
      <c r="A19">
        <v>16</v>
      </c>
      <c r="B19">
        <f>'[11]GABM_R03_NavidAPI_sf_fb-data'!$K18</f>
        <v>74</v>
      </c>
      <c r="C19">
        <f>'[12]GABM_R03_savannah_sf_fb-data'!$K18</f>
        <v>95</v>
      </c>
      <c r="D19">
        <f>'[13]GABM_R03_MitchellAPI_sf_fb-data'!$K18</f>
        <v>86</v>
      </c>
      <c r="E19">
        <f>'[14]GABM_R03_RandiAPI_sf_fb-data'!$K18</f>
        <v>0</v>
      </c>
      <c r="F19">
        <f>'[15]GABM_R03_Terry_sf_fb-data'!$K18</f>
        <v>79</v>
      </c>
      <c r="G19">
        <f>'[16]R03_GABM_NiyoushaAPI_sf_fb-data'!$K18</f>
        <v>83</v>
      </c>
      <c r="H19">
        <f>'[17]GABM_R03_SudipaAPI_sf_fb-data'!$K18</f>
        <v>90</v>
      </c>
      <c r="I19">
        <f>'[18]GABM_R03_Terry_sf_fb_2-data'!$K18</f>
        <v>69</v>
      </c>
      <c r="J19">
        <f>'[19]GABM_R03_NavidAPI_sf_fb_2-data'!$K18</f>
        <v>74</v>
      </c>
      <c r="K19">
        <f>'[20]R03_GABM_NiyoushaAPI_sf_fb_2-da'!$K18</f>
        <v>102</v>
      </c>
      <c r="L19">
        <f t="shared" si="0"/>
        <v>75.2</v>
      </c>
    </row>
    <row r="20" spans="1:12" x14ac:dyDescent="0.35">
      <c r="A20">
        <v>17</v>
      </c>
      <c r="B20">
        <f>'[11]GABM_R03_NavidAPI_sf_fb-data'!$K19</f>
        <v>52</v>
      </c>
      <c r="C20">
        <f>'[12]GABM_R03_savannah_sf_fb-data'!$K19</f>
        <v>81</v>
      </c>
      <c r="D20">
        <f>'[13]GABM_R03_MitchellAPI_sf_fb-data'!$K19</f>
        <v>87</v>
      </c>
      <c r="E20">
        <f>'[14]GABM_R03_RandiAPI_sf_fb-data'!$K19</f>
        <v>0</v>
      </c>
      <c r="F20">
        <f>'[15]GABM_R03_Terry_sf_fb-data'!$K19</f>
        <v>45</v>
      </c>
      <c r="G20">
        <f>'[16]R03_GABM_NiyoushaAPI_sf_fb-data'!$K19</f>
        <v>67</v>
      </c>
      <c r="H20">
        <f>'[17]GABM_R03_SudipaAPI_sf_fb-data'!$K19</f>
        <v>71</v>
      </c>
      <c r="I20">
        <f>'[18]GABM_R03_Terry_sf_fb_2-data'!$K19</f>
        <v>52</v>
      </c>
      <c r="J20">
        <f>'[19]GABM_R03_NavidAPI_sf_fb_2-data'!$K19</f>
        <v>81</v>
      </c>
      <c r="K20">
        <f>'[20]R03_GABM_NiyoushaAPI_sf_fb_2-da'!$K19</f>
        <v>98</v>
      </c>
      <c r="L20">
        <f t="shared" si="0"/>
        <v>63.4</v>
      </c>
    </row>
    <row r="21" spans="1:12" x14ac:dyDescent="0.35">
      <c r="A21">
        <v>18</v>
      </c>
      <c r="B21">
        <f>'[11]GABM_R03_NavidAPI_sf_fb-data'!$K20</f>
        <v>43</v>
      </c>
      <c r="C21">
        <f>'[12]GABM_R03_savannah_sf_fb-data'!$K20</f>
        <v>67</v>
      </c>
      <c r="D21">
        <f>'[13]GABM_R03_MitchellAPI_sf_fb-data'!$K20</f>
        <v>76</v>
      </c>
      <c r="E21">
        <f>'[14]GABM_R03_RandiAPI_sf_fb-data'!$K20</f>
        <v>0</v>
      </c>
      <c r="F21">
        <f>'[15]GABM_R03_Terry_sf_fb-data'!$K20</f>
        <v>39</v>
      </c>
      <c r="G21">
        <f>'[16]R03_GABM_NiyoushaAPI_sf_fb-data'!$K20</f>
        <v>40</v>
      </c>
      <c r="H21">
        <f>'[17]GABM_R03_SudipaAPI_sf_fb-data'!$K20</f>
        <v>56</v>
      </c>
      <c r="I21">
        <f>'[18]GABM_R03_Terry_sf_fb_2-data'!$K20</f>
        <v>27</v>
      </c>
      <c r="J21">
        <f>'[19]GABM_R03_NavidAPI_sf_fb_2-data'!$K20</f>
        <v>61</v>
      </c>
      <c r="K21">
        <f>'[20]R03_GABM_NiyoushaAPI_sf_fb_2-da'!$K20</f>
        <v>88</v>
      </c>
      <c r="L21">
        <f t="shared" si="0"/>
        <v>49.7</v>
      </c>
    </row>
    <row r="22" spans="1:12" x14ac:dyDescent="0.35">
      <c r="A22">
        <v>19</v>
      </c>
      <c r="B22">
        <f>'[11]GABM_R03_NavidAPI_sf_fb-data'!$K21</f>
        <v>22</v>
      </c>
      <c r="C22">
        <f>'[12]GABM_R03_savannah_sf_fb-data'!$K21</f>
        <v>53</v>
      </c>
      <c r="D22">
        <f>'[13]GABM_R03_MitchellAPI_sf_fb-data'!$K21</f>
        <v>58</v>
      </c>
      <c r="E22">
        <f>'[14]GABM_R03_RandiAPI_sf_fb-data'!$K21</f>
        <v>0</v>
      </c>
      <c r="F22">
        <f>'[15]GABM_R03_Terry_sf_fb-data'!$K21</f>
        <v>19</v>
      </c>
      <c r="G22">
        <f>'[16]R03_GABM_NiyoushaAPI_sf_fb-data'!$K21</f>
        <v>23</v>
      </c>
      <c r="H22">
        <f>'[17]GABM_R03_SudipaAPI_sf_fb-data'!$K21</f>
        <v>37</v>
      </c>
      <c r="I22">
        <f>'[18]GABM_R03_Terry_sf_fb_2-data'!$K21</f>
        <v>8</v>
      </c>
      <c r="J22">
        <f>'[19]GABM_R03_NavidAPI_sf_fb_2-data'!$K21</f>
        <v>50</v>
      </c>
      <c r="K22">
        <f>'[20]R03_GABM_NiyoushaAPI_sf_fb_2-da'!$K21</f>
        <v>70</v>
      </c>
      <c r="L22">
        <f t="shared" si="0"/>
        <v>34</v>
      </c>
    </row>
    <row r="23" spans="1:12" x14ac:dyDescent="0.35">
      <c r="A23">
        <v>20</v>
      </c>
      <c r="B23">
        <f>'[11]GABM_R03_NavidAPI_sf_fb-data'!$K22</f>
        <v>18</v>
      </c>
      <c r="C23">
        <f>'[12]GABM_R03_savannah_sf_fb-data'!$K22</f>
        <v>34</v>
      </c>
      <c r="D23">
        <f>'[13]GABM_R03_MitchellAPI_sf_fb-data'!$K22</f>
        <v>43</v>
      </c>
      <c r="E23">
        <f>'[14]GABM_R03_RandiAPI_sf_fb-data'!$K22</f>
        <v>0</v>
      </c>
      <c r="F23">
        <f>'[15]GABM_R03_Terry_sf_fb-data'!$K22</f>
        <v>15</v>
      </c>
      <c r="G23">
        <f>'[16]R03_GABM_NiyoushaAPI_sf_fb-data'!$K22</f>
        <v>17</v>
      </c>
      <c r="H23">
        <f>'[17]GABM_R03_SudipaAPI_sf_fb-data'!$K22</f>
        <v>17</v>
      </c>
      <c r="I23">
        <f>'[18]GABM_R03_Terry_sf_fb_2-data'!$K22</f>
        <v>8</v>
      </c>
      <c r="J23">
        <f>'[19]GABM_R03_NavidAPI_sf_fb_2-data'!$K22</f>
        <v>37</v>
      </c>
      <c r="K23">
        <f>'[20]R03_GABM_NiyoushaAPI_sf_fb_2-da'!$K22</f>
        <v>49</v>
      </c>
      <c r="L23">
        <f t="shared" si="0"/>
        <v>23.8</v>
      </c>
    </row>
    <row r="24" spans="1:12" x14ac:dyDescent="0.35">
      <c r="A24">
        <v>21</v>
      </c>
      <c r="B24">
        <f>'[11]GABM_R03_NavidAPI_sf_fb-data'!$K23</f>
        <v>7</v>
      </c>
      <c r="C24">
        <f>'[12]GABM_R03_savannah_sf_fb-data'!$K23</f>
        <v>24</v>
      </c>
      <c r="D24">
        <f>'[13]GABM_R03_MitchellAPI_sf_fb-data'!$K23</f>
        <v>28</v>
      </c>
      <c r="E24">
        <f>'[14]GABM_R03_RandiAPI_sf_fb-data'!$K23</f>
        <v>0</v>
      </c>
      <c r="F24">
        <f>'[15]GABM_R03_Terry_sf_fb-data'!$K23</f>
        <v>14</v>
      </c>
      <c r="G24">
        <f>'[16]R03_GABM_NiyoushaAPI_sf_fb-data'!$K23</f>
        <v>7</v>
      </c>
      <c r="H24">
        <f>'[17]GABM_R03_SudipaAPI_sf_fb-data'!$K23</f>
        <v>10</v>
      </c>
      <c r="I24">
        <f>'[18]GABM_R03_Terry_sf_fb_2-data'!$K23</f>
        <v>2</v>
      </c>
      <c r="J24">
        <f>'[19]GABM_R03_NavidAPI_sf_fb_2-data'!$K23</f>
        <v>23</v>
      </c>
      <c r="K24">
        <f>'[20]R03_GABM_NiyoushaAPI_sf_fb_2-da'!$K23</f>
        <v>32</v>
      </c>
      <c r="L24">
        <f t="shared" si="0"/>
        <v>14.7</v>
      </c>
    </row>
    <row r="25" spans="1:12" x14ac:dyDescent="0.35">
      <c r="A25">
        <v>22</v>
      </c>
      <c r="B25">
        <f>'[11]GABM_R03_NavidAPI_sf_fb-data'!$K24</f>
        <v>6</v>
      </c>
      <c r="C25">
        <f>'[12]GABM_R03_savannah_sf_fb-data'!$K24</f>
        <v>15</v>
      </c>
      <c r="D25">
        <f>'[13]GABM_R03_MitchellAPI_sf_fb-data'!$K24</f>
        <v>19</v>
      </c>
      <c r="E25">
        <f>'[14]GABM_R03_RandiAPI_sf_fb-data'!$K24</f>
        <v>0</v>
      </c>
      <c r="F25">
        <f>'[15]GABM_R03_Terry_sf_fb-data'!$K24</f>
        <v>6</v>
      </c>
      <c r="G25">
        <f>'[16]R03_GABM_NiyoushaAPI_sf_fb-data'!$K24</f>
        <v>2</v>
      </c>
      <c r="H25">
        <f>'[17]GABM_R03_SudipaAPI_sf_fb-data'!$K24</f>
        <v>12</v>
      </c>
      <c r="I25">
        <f>'[18]GABM_R03_Terry_sf_fb_2-data'!$K24</f>
        <v>4</v>
      </c>
      <c r="J25">
        <f>'[19]GABM_R03_NavidAPI_sf_fb_2-data'!$K24</f>
        <v>14</v>
      </c>
      <c r="K25">
        <f>'[20]R03_GABM_NiyoushaAPI_sf_fb_2-da'!$K24</f>
        <v>13</v>
      </c>
      <c r="L25">
        <f t="shared" si="0"/>
        <v>9.1</v>
      </c>
    </row>
    <row r="26" spans="1:12" x14ac:dyDescent="0.35">
      <c r="A26">
        <v>23</v>
      </c>
      <c r="B26">
        <f>'[11]GABM_R03_NavidAPI_sf_fb-data'!$K25</f>
        <v>4</v>
      </c>
      <c r="C26">
        <f>'[12]GABM_R03_savannah_sf_fb-data'!$K25</f>
        <v>5</v>
      </c>
      <c r="D26">
        <f>'[13]GABM_R03_MitchellAPI_sf_fb-data'!$K25</f>
        <v>10</v>
      </c>
      <c r="E26">
        <f>'[14]GABM_R03_RandiAPI_sf_fb-data'!$K25</f>
        <v>0</v>
      </c>
      <c r="F26">
        <f>'[15]GABM_R03_Terry_sf_fb-data'!$K25</f>
        <v>6</v>
      </c>
      <c r="G26">
        <f>'[16]R03_GABM_NiyoushaAPI_sf_fb-data'!$K25</f>
        <v>2</v>
      </c>
      <c r="H26">
        <f>'[17]GABM_R03_SudipaAPI_sf_fb-data'!$K25</f>
        <v>4</v>
      </c>
      <c r="I26">
        <f>'[18]GABM_R03_Terry_sf_fb_2-data'!$K25</f>
        <v>1</v>
      </c>
      <c r="J26">
        <f>'[19]GABM_R03_NavidAPI_sf_fb_2-data'!$K25</f>
        <v>5</v>
      </c>
      <c r="K26">
        <f>'[20]R03_GABM_NiyoushaAPI_sf_fb_2-da'!$K25</f>
        <v>11</v>
      </c>
      <c r="L26">
        <f t="shared" si="0"/>
        <v>4.8</v>
      </c>
    </row>
    <row r="27" spans="1:12" x14ac:dyDescent="0.35">
      <c r="A27">
        <v>24</v>
      </c>
      <c r="B27">
        <f>'[11]GABM_R03_NavidAPI_sf_fb-data'!$K26</f>
        <v>1</v>
      </c>
      <c r="C27">
        <f>'[12]GABM_R03_savannah_sf_fb-data'!$K26</f>
        <v>4</v>
      </c>
      <c r="D27">
        <f>'[13]GABM_R03_MitchellAPI_sf_fb-data'!$K26</f>
        <v>11</v>
      </c>
      <c r="E27">
        <f>'[14]GABM_R03_RandiAPI_sf_fb-data'!$K26</f>
        <v>0</v>
      </c>
      <c r="F27">
        <f>'[15]GABM_R03_Terry_sf_fb-data'!$K26</f>
        <v>3</v>
      </c>
      <c r="G27">
        <f>'[16]R03_GABM_NiyoushaAPI_sf_fb-data'!$K26</f>
        <v>0</v>
      </c>
      <c r="H27">
        <f>'[17]GABM_R03_SudipaAPI_sf_fb-data'!$K26</f>
        <v>3</v>
      </c>
      <c r="I27">
        <f>'[18]GABM_R03_Terry_sf_fb_2-data'!$K26</f>
        <v>1</v>
      </c>
      <c r="J27">
        <f>'[19]GABM_R03_NavidAPI_sf_fb_2-data'!$K26</f>
        <v>2</v>
      </c>
      <c r="K27">
        <f>'[20]R03_GABM_NiyoushaAPI_sf_fb_2-da'!$K26</f>
        <v>6</v>
      </c>
      <c r="L27">
        <f t="shared" si="0"/>
        <v>3.1</v>
      </c>
    </row>
    <row r="28" spans="1:12" x14ac:dyDescent="0.35">
      <c r="A28">
        <v>25</v>
      </c>
      <c r="B28">
        <f>'[11]GABM_R03_NavidAPI_sf_fb-data'!$K27</f>
        <v>0</v>
      </c>
      <c r="C28">
        <f>'[12]GABM_R03_savannah_sf_fb-data'!$K27</f>
        <v>4</v>
      </c>
      <c r="D28">
        <f>'[13]GABM_R03_MitchellAPI_sf_fb-data'!$K27</f>
        <v>4</v>
      </c>
      <c r="E28">
        <f>'[14]GABM_R03_RandiAPI_sf_fb-data'!$K27</f>
        <v>0</v>
      </c>
      <c r="F28">
        <f>'[15]GABM_R03_Terry_sf_fb-data'!$K27</f>
        <v>2</v>
      </c>
      <c r="G28">
        <f>'[16]R03_GABM_NiyoushaAPI_sf_fb-data'!$K27</f>
        <v>0</v>
      </c>
      <c r="H28">
        <f>'[17]GABM_R03_SudipaAPI_sf_fb-data'!$K27</f>
        <v>3</v>
      </c>
      <c r="I28">
        <f>'[18]GABM_R03_Terry_sf_fb_2-data'!$K27</f>
        <v>1</v>
      </c>
      <c r="J28">
        <f>'[19]GABM_R03_NavidAPI_sf_fb_2-data'!$K27</f>
        <v>1</v>
      </c>
      <c r="K28">
        <f>'[20]R03_GABM_NiyoushaAPI_sf_fb_2-da'!$K27</f>
        <v>6</v>
      </c>
      <c r="L28">
        <f t="shared" si="0"/>
        <v>2.1</v>
      </c>
    </row>
    <row r="29" spans="1:12" x14ac:dyDescent="0.35">
      <c r="A29">
        <v>26</v>
      </c>
      <c r="B29">
        <f>'[11]GABM_R03_NavidAPI_sf_fb-data'!$K28</f>
        <v>1</v>
      </c>
      <c r="C29">
        <f>'[12]GABM_R03_savannah_sf_fb-data'!$K28</f>
        <v>1</v>
      </c>
      <c r="D29">
        <f>'[13]GABM_R03_MitchellAPI_sf_fb-data'!$K28</f>
        <v>3</v>
      </c>
      <c r="E29">
        <f>'[14]GABM_R03_RandiAPI_sf_fb-data'!$K28</f>
        <v>0</v>
      </c>
      <c r="F29">
        <f>'[15]GABM_R03_Terry_sf_fb-data'!$K28</f>
        <v>1</v>
      </c>
      <c r="G29">
        <f>'[16]R03_GABM_NiyoushaAPI_sf_fb-data'!$K28</f>
        <v>0</v>
      </c>
      <c r="H29">
        <f>'[17]GABM_R03_SudipaAPI_sf_fb-data'!$K28</f>
        <v>2</v>
      </c>
      <c r="I29">
        <f>'[18]GABM_R03_Terry_sf_fb_2-data'!$K28</f>
        <v>1</v>
      </c>
      <c r="J29">
        <f>'[19]GABM_R03_NavidAPI_sf_fb_2-data'!$K28</f>
        <v>0</v>
      </c>
      <c r="K29">
        <f>'[20]R03_GABM_NiyoushaAPI_sf_fb_2-da'!$K28</f>
        <v>3</v>
      </c>
      <c r="L29">
        <f t="shared" si="0"/>
        <v>1.2</v>
      </c>
    </row>
    <row r="30" spans="1:12" x14ac:dyDescent="0.35">
      <c r="A30">
        <v>27</v>
      </c>
      <c r="B30">
        <f>'[11]GABM_R03_NavidAPI_sf_fb-data'!$K29</f>
        <v>1</v>
      </c>
      <c r="C30">
        <f>'[12]GABM_R03_savannah_sf_fb-data'!$K29</f>
        <v>0</v>
      </c>
      <c r="D30">
        <f>'[13]GABM_R03_MitchellAPI_sf_fb-data'!$K29</f>
        <v>2</v>
      </c>
      <c r="E30">
        <f>'[14]GABM_R03_RandiAPI_sf_fb-data'!$K29</f>
        <v>0</v>
      </c>
      <c r="F30">
        <f>'[15]GABM_R03_Terry_sf_fb-data'!$K29</f>
        <v>1</v>
      </c>
      <c r="G30">
        <f>'[16]R03_GABM_NiyoushaAPI_sf_fb-data'!$K29</f>
        <v>0</v>
      </c>
      <c r="H30">
        <f>'[17]GABM_R03_SudipaAPI_sf_fb-data'!$K29</f>
        <v>1</v>
      </c>
      <c r="I30">
        <f>'[18]GABM_R03_Terry_sf_fb_2-data'!$K29</f>
        <v>1</v>
      </c>
      <c r="J30">
        <f>'[19]GABM_R03_NavidAPI_sf_fb_2-data'!$K29</f>
        <v>0</v>
      </c>
      <c r="K30">
        <f>'[20]R03_GABM_NiyoushaAPI_sf_fb_2-da'!$K29</f>
        <v>2</v>
      </c>
      <c r="L30">
        <f t="shared" si="0"/>
        <v>0.8</v>
      </c>
    </row>
    <row r="31" spans="1:12" x14ac:dyDescent="0.35">
      <c r="A31">
        <v>28</v>
      </c>
      <c r="B31">
        <f>'[11]GABM_R03_NavidAPI_sf_fb-data'!$K30</f>
        <v>2</v>
      </c>
      <c r="C31">
        <f>'[12]GABM_R03_savannah_sf_fb-data'!$K30</f>
        <v>0</v>
      </c>
      <c r="D31">
        <f>'[13]GABM_R03_MitchellAPI_sf_fb-data'!$K30</f>
        <v>1</v>
      </c>
      <c r="E31">
        <f>'[14]GABM_R03_RandiAPI_sf_fb-data'!$K30</f>
        <v>0</v>
      </c>
      <c r="F31">
        <f>'[15]GABM_R03_Terry_sf_fb-data'!$K30</f>
        <v>0</v>
      </c>
      <c r="G31">
        <f>'[16]R03_GABM_NiyoushaAPI_sf_fb-data'!$K30</f>
        <v>0</v>
      </c>
      <c r="H31">
        <f>'[17]GABM_R03_SudipaAPI_sf_fb-data'!$K30</f>
        <v>1</v>
      </c>
      <c r="I31">
        <f>'[18]GABM_R03_Terry_sf_fb_2-data'!$K30</f>
        <v>0</v>
      </c>
      <c r="J31">
        <f>'[19]GABM_R03_NavidAPI_sf_fb_2-data'!$K30</f>
        <v>0</v>
      </c>
      <c r="K31">
        <f>'[20]R03_GABM_NiyoushaAPI_sf_fb_2-da'!$K30</f>
        <v>1</v>
      </c>
      <c r="L31">
        <f t="shared" si="0"/>
        <v>0.5</v>
      </c>
    </row>
    <row r="32" spans="1:12" x14ac:dyDescent="0.35">
      <c r="A32">
        <v>29</v>
      </c>
      <c r="B32">
        <f>'[11]GABM_R03_NavidAPI_sf_fb-data'!$K31</f>
        <v>0</v>
      </c>
      <c r="C32">
        <f>'[12]GABM_R03_savannah_sf_fb-data'!$K31</f>
        <v>0</v>
      </c>
      <c r="D32">
        <f>'[13]GABM_R03_MitchellAPI_sf_fb-data'!$K31</f>
        <v>0</v>
      </c>
      <c r="E32">
        <f>'[14]GABM_R03_RandiAPI_sf_fb-data'!$K31</f>
        <v>0</v>
      </c>
      <c r="F32">
        <f>'[15]GABM_R03_Terry_sf_fb-data'!$K31</f>
        <v>0</v>
      </c>
      <c r="G32">
        <f>'[16]R03_GABM_NiyoushaAPI_sf_fb-data'!$K31</f>
        <v>0</v>
      </c>
      <c r="H32">
        <f>'[17]GABM_R03_SudipaAPI_sf_fb-data'!$K31</f>
        <v>0</v>
      </c>
      <c r="I32">
        <f>'[18]GABM_R03_Terry_sf_fb_2-data'!$K31</f>
        <v>1</v>
      </c>
      <c r="J32">
        <f>'[19]GABM_R03_NavidAPI_sf_fb_2-data'!$K31</f>
        <v>0</v>
      </c>
      <c r="K32">
        <f>'[20]R03_GABM_NiyoushaAPI_sf_fb_2-da'!$K31</f>
        <v>1</v>
      </c>
      <c r="L32">
        <f t="shared" si="0"/>
        <v>0.2</v>
      </c>
    </row>
    <row r="33" spans="1:12" x14ac:dyDescent="0.35">
      <c r="A33">
        <v>30</v>
      </c>
      <c r="B33">
        <f>'[11]GABM_R03_NavidAPI_sf_fb-data'!$K32</f>
        <v>0</v>
      </c>
      <c r="C33">
        <f>'[12]GABM_R03_savannah_sf_fb-data'!$K32</f>
        <v>0</v>
      </c>
      <c r="D33">
        <f>'[13]GABM_R03_MitchellAPI_sf_fb-data'!$K32</f>
        <v>0</v>
      </c>
      <c r="E33">
        <f>'[14]GABM_R03_RandiAPI_sf_fb-data'!$K32</f>
        <v>0</v>
      </c>
      <c r="F33">
        <f>'[15]GABM_R03_Terry_sf_fb-data'!$K32</f>
        <v>0</v>
      </c>
      <c r="G33">
        <f>'[16]R03_GABM_NiyoushaAPI_sf_fb-data'!$K32</f>
        <v>0</v>
      </c>
      <c r="H33">
        <f>'[17]GABM_R03_SudipaAPI_sf_fb-data'!$K32</f>
        <v>1</v>
      </c>
      <c r="I33">
        <f>'[18]GABM_R03_Terry_sf_fb_2-data'!$K32</f>
        <v>0</v>
      </c>
      <c r="J33">
        <f>'[19]GABM_R03_NavidAPI_sf_fb_2-data'!$K32</f>
        <v>0</v>
      </c>
      <c r="K33">
        <f>'[20]R03_GABM_NiyoushaAPI_sf_fb_2-da'!$K32</f>
        <v>0</v>
      </c>
      <c r="L33">
        <f t="shared" si="0"/>
        <v>0.1</v>
      </c>
    </row>
    <row r="34" spans="1:12" x14ac:dyDescent="0.35">
      <c r="A34">
        <v>31</v>
      </c>
      <c r="B34">
        <f>'[11]GABM_R03_NavidAPI_sf_fb-data'!$K33</f>
        <v>0</v>
      </c>
      <c r="C34">
        <f>'[12]GABM_R03_savannah_sf_fb-data'!$K33</f>
        <v>0</v>
      </c>
      <c r="D34">
        <f>'[13]GABM_R03_MitchellAPI_sf_fb-data'!$K33</f>
        <v>0</v>
      </c>
      <c r="E34">
        <f>'[14]GABM_R03_RandiAPI_sf_fb-data'!$K33</f>
        <v>0</v>
      </c>
      <c r="F34">
        <f>'[15]GABM_R03_Terry_sf_fb-data'!$K33</f>
        <v>0</v>
      </c>
      <c r="G34">
        <f>'[16]R03_GABM_NiyoushaAPI_sf_fb-data'!$K33</f>
        <v>0</v>
      </c>
      <c r="H34">
        <f>'[17]GABM_R03_SudipaAPI_sf_fb-data'!$K33</f>
        <v>0</v>
      </c>
      <c r="I34">
        <f>'[18]GABM_R03_Terry_sf_fb_2-data'!$K33</f>
        <v>0</v>
      </c>
      <c r="J34">
        <f>'[19]GABM_R03_NavidAPI_sf_fb_2-data'!$K33</f>
        <v>0</v>
      </c>
      <c r="K34">
        <f>'[20]R03_GABM_NiyoushaAPI_sf_fb_2-da'!$K33</f>
        <v>1</v>
      </c>
      <c r="L34">
        <f t="shared" si="0"/>
        <v>0.1</v>
      </c>
    </row>
    <row r="35" spans="1:12" x14ac:dyDescent="0.35">
      <c r="A35">
        <v>32</v>
      </c>
      <c r="B35">
        <f>'[11]GABM_R03_NavidAPI_sf_fb-data'!$K34</f>
        <v>0</v>
      </c>
      <c r="C35">
        <f>'[12]GABM_R03_savannah_sf_fb-data'!$K34</f>
        <v>0</v>
      </c>
      <c r="D35">
        <f>'[13]GABM_R03_MitchellAPI_sf_fb-data'!$K34</f>
        <v>0</v>
      </c>
      <c r="E35">
        <f>'[14]GABM_R03_RandiAPI_sf_fb-data'!$K34</f>
        <v>0</v>
      </c>
      <c r="F35">
        <f>'[15]GABM_R03_Terry_sf_fb-data'!$K34</f>
        <v>0</v>
      </c>
      <c r="G35">
        <f>'[16]R03_GABM_NiyoushaAPI_sf_fb-data'!$K34</f>
        <v>0</v>
      </c>
      <c r="H35">
        <f>'[17]GABM_R03_SudipaAPI_sf_fb-data'!$K34</f>
        <v>0</v>
      </c>
      <c r="I35">
        <f>'[18]GABM_R03_Terry_sf_fb_2-data'!$K34</f>
        <v>0</v>
      </c>
      <c r="J35">
        <f>'[19]GABM_R03_NavidAPI_sf_fb_2-data'!$K34</f>
        <v>0</v>
      </c>
      <c r="K35">
        <f>'[20]R03_GABM_NiyoushaAPI_sf_fb_2-da'!$K34</f>
        <v>0</v>
      </c>
      <c r="L35">
        <f t="shared" si="0"/>
        <v>0</v>
      </c>
    </row>
    <row r="36" spans="1:12" x14ac:dyDescent="0.35">
      <c r="A36">
        <v>33</v>
      </c>
      <c r="B36">
        <f>'[11]GABM_R03_NavidAPI_sf_fb-data'!$K35</f>
        <v>0</v>
      </c>
      <c r="C36">
        <f>'[12]GABM_R03_savannah_sf_fb-data'!$K35</f>
        <v>0</v>
      </c>
      <c r="D36">
        <f>'[13]GABM_R03_MitchellAPI_sf_fb-data'!$K35</f>
        <v>0</v>
      </c>
      <c r="E36">
        <f>'[14]GABM_R03_RandiAPI_sf_fb-data'!$K35</f>
        <v>0</v>
      </c>
      <c r="F36">
        <f>'[15]GABM_R03_Terry_sf_fb-data'!$K35</f>
        <v>0</v>
      </c>
      <c r="G36">
        <f>'[16]R03_GABM_NiyoushaAPI_sf_fb-data'!$K35</f>
        <v>0</v>
      </c>
      <c r="H36">
        <f>'[17]GABM_R03_SudipaAPI_sf_fb-data'!$K35</f>
        <v>0</v>
      </c>
      <c r="I36">
        <f>'[18]GABM_R03_Terry_sf_fb_2-data'!$K35</f>
        <v>0</v>
      </c>
      <c r="J36">
        <f>'[19]GABM_R03_NavidAPI_sf_fb_2-data'!$K35</f>
        <v>0</v>
      </c>
      <c r="K36">
        <f>'[20]R03_GABM_NiyoushaAPI_sf_fb_2-da'!$K35</f>
        <v>0</v>
      </c>
      <c r="L36">
        <f t="shared" si="0"/>
        <v>0</v>
      </c>
    </row>
    <row r="37" spans="1:12" x14ac:dyDescent="0.35">
      <c r="A37">
        <v>34</v>
      </c>
      <c r="B37">
        <f>'[11]GABM_R03_NavidAPI_sf_fb-data'!$K36</f>
        <v>0</v>
      </c>
      <c r="C37">
        <f>'[12]GABM_R03_savannah_sf_fb-data'!$K36</f>
        <v>0</v>
      </c>
      <c r="D37">
        <f>'[13]GABM_R03_MitchellAPI_sf_fb-data'!$K36</f>
        <v>0</v>
      </c>
      <c r="E37">
        <f>'[14]GABM_R03_RandiAPI_sf_fb-data'!$K36</f>
        <v>0</v>
      </c>
      <c r="F37">
        <f>'[15]GABM_R03_Terry_sf_fb-data'!$K36</f>
        <v>0</v>
      </c>
      <c r="G37">
        <f>'[16]R03_GABM_NiyoushaAPI_sf_fb-data'!$K36</f>
        <v>0</v>
      </c>
      <c r="H37">
        <f>'[17]GABM_R03_SudipaAPI_sf_fb-data'!$K36</f>
        <v>0</v>
      </c>
      <c r="I37">
        <f>'[18]GABM_R03_Terry_sf_fb_2-data'!$K36</f>
        <v>0</v>
      </c>
      <c r="J37">
        <f>'[19]GABM_R03_NavidAPI_sf_fb_2-data'!$K36</f>
        <v>0</v>
      </c>
      <c r="K37">
        <f>'[20]R03_GABM_NiyoushaAPI_sf_fb_2-da'!$K36</f>
        <v>0</v>
      </c>
      <c r="L37">
        <f t="shared" si="0"/>
        <v>0</v>
      </c>
    </row>
  </sheetData>
  <mergeCells count="1">
    <mergeCell ref="A1:L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7527-C039-4036-9C5E-0D1DC85429D9}">
  <dimension ref="A1:Y212"/>
  <sheetViews>
    <sheetView workbookViewId="0">
      <selection activeCell="B207" sqref="B207"/>
    </sheetView>
  </sheetViews>
  <sheetFormatPr defaultRowHeight="14.5" x14ac:dyDescent="0.35"/>
  <sheetData>
    <row r="1" spans="1:25" x14ac:dyDescent="0.35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N1" s="7" t="s">
        <v>15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x14ac:dyDescent="0.35">
      <c r="A2" t="s">
        <v>10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12</v>
      </c>
      <c r="N2" t="s">
        <v>10</v>
      </c>
      <c r="O2" t="s">
        <v>0</v>
      </c>
      <c r="P2" t="s">
        <v>1</v>
      </c>
      <c r="Q2" t="s">
        <v>2</v>
      </c>
      <c r="R2" t="s">
        <v>3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">
        <v>9</v>
      </c>
      <c r="Y2" t="s">
        <v>12</v>
      </c>
    </row>
    <row r="3" spans="1:25" x14ac:dyDescent="0.35">
      <c r="A3">
        <v>0</v>
      </c>
      <c r="B3">
        <f>'[21]R03_GABM-data'!$K2</f>
        <v>0</v>
      </c>
      <c r="C3">
        <f>'[22]GABM_R03_RossAPI-data'!$K2</f>
        <v>0</v>
      </c>
      <c r="D3">
        <f>'[23]GABM_R03_RandiAPI-data'!$K2</f>
        <v>0</v>
      </c>
      <c r="E3">
        <f>'[24]GABM_R03_NavidAPI-data'!$K2</f>
        <v>0</v>
      </c>
      <c r="F3">
        <f>'[25]GABM_R03_Terry-data'!$K2</f>
        <v>0</v>
      </c>
      <c r="G3">
        <f>'[26]GABM_R03_SarahAPI-data'!$K2</f>
        <v>0</v>
      </c>
      <c r="H3">
        <f>'[27]GABM_R03_savannah-data'!$K2</f>
        <v>0</v>
      </c>
      <c r="I3">
        <f>'[28]GABM_R03_MitchellAPI-data'!$K2</f>
        <v>0</v>
      </c>
      <c r="J3">
        <f>'[29]GABM_R03_SudipaAPI-data'!$K2</f>
        <v>0</v>
      </c>
      <c r="K3">
        <f>'[30]R03_GABM_run2-data'!$K2</f>
        <v>0</v>
      </c>
      <c r="L3">
        <f>AVERAGE(B3:K3)</f>
        <v>0</v>
      </c>
      <c r="N3">
        <v>0</v>
      </c>
      <c r="O3">
        <f>'[21]R03_GABM-data'!$K2</f>
        <v>0</v>
      </c>
      <c r="P3">
        <f>'[22]GABM_R03_RossAPI-data'!$K2</f>
        <v>0</v>
      </c>
      <c r="Q3">
        <f>'[23]GABM_R03_RandiAPI-data'!$K2</f>
        <v>0</v>
      </c>
      <c r="R3">
        <f>'[24]GABM_R03_NavidAPI-data'!$K2</f>
        <v>0</v>
      </c>
      <c r="S3">
        <f>'[25]GABM_R03_Terry-data'!$K2</f>
        <v>0</v>
      </c>
      <c r="T3">
        <f>'[26]GABM_R03_SarahAPI-data'!$K2</f>
        <v>0</v>
      </c>
      <c r="U3">
        <f>'[27]GABM_R03_savannah-data'!$K2</f>
        <v>0</v>
      </c>
      <c r="V3">
        <f>'[28]GABM_R03_MitchellAPI-data'!$K2</f>
        <v>0</v>
      </c>
      <c r="W3">
        <f>'[29]GABM_R03_SudipaAPI-data'!$K2</f>
        <v>0</v>
      </c>
      <c r="X3">
        <f>'[30]R03_GABM_run2-data'!$K2</f>
        <v>0</v>
      </c>
      <c r="Y3">
        <f>AVERAGE(O3:X3)</f>
        <v>0</v>
      </c>
    </row>
    <row r="4" spans="1:25" x14ac:dyDescent="0.35">
      <c r="A4">
        <v>1</v>
      </c>
      <c r="B4">
        <f>'[21]R03_GABM-data'!$K3</f>
        <v>0</v>
      </c>
      <c r="C4">
        <f>'[22]GABM_R03_RossAPI-data'!$K3</f>
        <v>0</v>
      </c>
      <c r="D4">
        <f>'[23]GABM_R03_RandiAPI-data'!$K3</f>
        <v>0</v>
      </c>
      <c r="E4">
        <f>'[24]GABM_R03_NavidAPI-data'!$K3</f>
        <v>0</v>
      </c>
      <c r="F4">
        <f>'[25]GABM_R03_Terry-data'!$K3</f>
        <v>0</v>
      </c>
      <c r="G4">
        <f>'[26]GABM_R03_SarahAPI-data'!$K3</f>
        <v>0</v>
      </c>
      <c r="H4">
        <f>'[27]GABM_R03_savannah-data'!$K3</f>
        <v>0</v>
      </c>
      <c r="I4">
        <f>'[28]GABM_R03_MitchellAPI-data'!$K3</f>
        <v>0</v>
      </c>
      <c r="J4">
        <f>'[29]GABM_R03_SudipaAPI-data'!$K3</f>
        <v>0</v>
      </c>
      <c r="K4">
        <f>'[30]R03_GABM_run2-data'!$K3</f>
        <v>0</v>
      </c>
      <c r="L4">
        <f t="shared" ref="L4:L67" si="0">AVERAGE(B4:K4)</f>
        <v>0</v>
      </c>
      <c r="N4">
        <v>1</v>
      </c>
      <c r="O4">
        <f>'[21]R03_GABM-data'!$K3</f>
        <v>0</v>
      </c>
      <c r="P4">
        <f>'[22]GABM_R03_RossAPI-data'!$K3</f>
        <v>0</v>
      </c>
      <c r="Q4">
        <f>'[23]GABM_R03_RandiAPI-data'!$K3</f>
        <v>0</v>
      </c>
      <c r="R4">
        <f>'[24]GABM_R03_NavidAPI-data'!$K3</f>
        <v>0</v>
      </c>
      <c r="S4">
        <f>'[25]GABM_R03_Terry-data'!$K3</f>
        <v>0</v>
      </c>
      <c r="T4">
        <f>'[26]GABM_R03_SarahAPI-data'!$K3</f>
        <v>0</v>
      </c>
      <c r="U4">
        <f>'[27]GABM_R03_savannah-data'!$K3</f>
        <v>0</v>
      </c>
      <c r="V4">
        <f>'[28]GABM_R03_MitchellAPI-data'!$K3</f>
        <v>0</v>
      </c>
      <c r="W4">
        <f>'[29]GABM_R03_SudipaAPI-data'!$K3</f>
        <v>0</v>
      </c>
      <c r="X4">
        <f>'[30]R03_GABM_run2-data'!$K3</f>
        <v>0</v>
      </c>
      <c r="Y4">
        <f t="shared" ref="Y4:Y67" si="1">AVERAGE(O4:X4)</f>
        <v>0</v>
      </c>
    </row>
    <row r="5" spans="1:25" x14ac:dyDescent="0.35">
      <c r="A5">
        <v>2</v>
      </c>
      <c r="B5">
        <f>'[21]R03_GABM-data'!$K4</f>
        <v>0</v>
      </c>
      <c r="C5">
        <f>'[22]GABM_R03_RossAPI-data'!$K4</f>
        <v>0</v>
      </c>
      <c r="D5">
        <f>'[23]GABM_R03_RandiAPI-data'!$K4</f>
        <v>0</v>
      </c>
      <c r="E5">
        <f>'[24]GABM_R03_NavidAPI-data'!$K4</f>
        <v>0</v>
      </c>
      <c r="F5">
        <f>'[25]GABM_R03_Terry-data'!$K4</f>
        <v>0</v>
      </c>
      <c r="G5">
        <f>'[26]GABM_R03_SarahAPI-data'!$K4</f>
        <v>0</v>
      </c>
      <c r="H5">
        <f>'[27]GABM_R03_savannah-data'!$K4</f>
        <v>0</v>
      </c>
      <c r="I5">
        <f>'[28]GABM_R03_MitchellAPI-data'!$K4</f>
        <v>0</v>
      </c>
      <c r="J5">
        <f>'[29]GABM_R03_SudipaAPI-data'!$K4</f>
        <v>0</v>
      </c>
      <c r="K5">
        <f>'[30]R03_GABM_run2-data'!$K4</f>
        <v>0</v>
      </c>
      <c r="L5">
        <f t="shared" si="0"/>
        <v>0</v>
      </c>
      <c r="N5">
        <v>2</v>
      </c>
      <c r="O5">
        <f>'[21]R03_GABM-data'!$K4</f>
        <v>0</v>
      </c>
      <c r="P5">
        <f>'[22]GABM_R03_RossAPI-data'!$K4</f>
        <v>0</v>
      </c>
      <c r="Q5">
        <f>'[23]GABM_R03_RandiAPI-data'!$K4</f>
        <v>0</v>
      </c>
      <c r="R5">
        <f>'[24]GABM_R03_NavidAPI-data'!$K4</f>
        <v>0</v>
      </c>
      <c r="S5">
        <f>'[25]GABM_R03_Terry-data'!$K4</f>
        <v>0</v>
      </c>
      <c r="T5">
        <f>'[26]GABM_R03_SarahAPI-data'!$K4</f>
        <v>0</v>
      </c>
      <c r="U5">
        <f>'[27]GABM_R03_savannah-data'!$K4</f>
        <v>0</v>
      </c>
      <c r="V5">
        <f>'[28]GABM_R03_MitchellAPI-data'!$K4</f>
        <v>0</v>
      </c>
      <c r="W5">
        <f>'[29]GABM_R03_SudipaAPI-data'!$K4</f>
        <v>0</v>
      </c>
      <c r="X5">
        <f>'[30]R03_GABM_run2-data'!$K4</f>
        <v>0</v>
      </c>
      <c r="Y5">
        <f t="shared" si="1"/>
        <v>0</v>
      </c>
    </row>
    <row r="6" spans="1:25" x14ac:dyDescent="0.35">
      <c r="A6">
        <v>3</v>
      </c>
      <c r="B6">
        <f>'[21]R03_GABM-data'!$K5</f>
        <v>2</v>
      </c>
      <c r="C6">
        <f>'[22]GABM_R03_RossAPI-data'!$K5</f>
        <v>2</v>
      </c>
      <c r="D6">
        <f>'[23]GABM_R03_RandiAPI-data'!$K5</f>
        <v>2</v>
      </c>
      <c r="E6">
        <f>'[24]GABM_R03_NavidAPI-data'!$K5</f>
        <v>2</v>
      </c>
      <c r="F6">
        <f>'[25]GABM_R03_Terry-data'!$K5</f>
        <v>2</v>
      </c>
      <c r="G6">
        <f>'[26]GABM_R03_SarahAPI-data'!$K5</f>
        <v>2</v>
      </c>
      <c r="H6">
        <f>'[27]GABM_R03_savannah-data'!$K5</f>
        <v>2</v>
      </c>
      <c r="I6">
        <f>'[28]GABM_R03_MitchellAPI-data'!$K5</f>
        <v>2</v>
      </c>
      <c r="J6">
        <f>'[29]GABM_R03_SudipaAPI-data'!$K5</f>
        <v>2</v>
      </c>
      <c r="K6">
        <f>'[30]R03_GABM_run2-data'!$K5</f>
        <v>2</v>
      </c>
      <c r="L6">
        <f t="shared" si="0"/>
        <v>2</v>
      </c>
      <c r="N6">
        <v>3</v>
      </c>
      <c r="O6">
        <f>'[21]R03_GABM-data'!$K5</f>
        <v>2</v>
      </c>
      <c r="P6">
        <f>'[22]GABM_R03_RossAPI-data'!$K5</f>
        <v>2</v>
      </c>
      <c r="Q6">
        <f>'[23]GABM_R03_RandiAPI-data'!$K5</f>
        <v>2</v>
      </c>
      <c r="R6">
        <f>'[24]GABM_R03_NavidAPI-data'!$K5</f>
        <v>2</v>
      </c>
      <c r="S6">
        <f>'[25]GABM_R03_Terry-data'!$K5</f>
        <v>2</v>
      </c>
      <c r="T6">
        <f>'[26]GABM_R03_SarahAPI-data'!$K5</f>
        <v>2</v>
      </c>
      <c r="U6">
        <f>'[27]GABM_R03_savannah-data'!$K5</f>
        <v>2</v>
      </c>
      <c r="V6">
        <f>'[28]GABM_R03_MitchellAPI-data'!$K5</f>
        <v>2</v>
      </c>
      <c r="W6">
        <f>'[29]GABM_R03_SudipaAPI-data'!$K5</f>
        <v>2</v>
      </c>
      <c r="X6">
        <f>'[30]R03_GABM_run2-data'!$K5</f>
        <v>2</v>
      </c>
      <c r="Y6">
        <f t="shared" si="1"/>
        <v>2</v>
      </c>
    </row>
    <row r="7" spans="1:25" x14ac:dyDescent="0.35">
      <c r="A7">
        <v>4</v>
      </c>
      <c r="B7">
        <f>'[21]R03_GABM-data'!$K6</f>
        <v>3</v>
      </c>
      <c r="C7">
        <f>'[22]GABM_R03_RossAPI-data'!$K6</f>
        <v>1</v>
      </c>
      <c r="D7">
        <f>'[23]GABM_R03_RandiAPI-data'!$K6</f>
        <v>4</v>
      </c>
      <c r="E7">
        <f>'[24]GABM_R03_NavidAPI-data'!$K6</f>
        <v>0</v>
      </c>
      <c r="F7">
        <f>'[25]GABM_R03_Terry-data'!$K6</f>
        <v>2</v>
      </c>
      <c r="G7">
        <f>'[26]GABM_R03_SarahAPI-data'!$K6</f>
        <v>0</v>
      </c>
      <c r="H7">
        <f>'[27]GABM_R03_savannah-data'!$K6</f>
        <v>1</v>
      </c>
      <c r="I7">
        <f>'[28]GABM_R03_MitchellAPI-data'!$K6</f>
        <v>3</v>
      </c>
      <c r="J7">
        <f>'[29]GABM_R03_SudipaAPI-data'!$K6</f>
        <v>3</v>
      </c>
      <c r="K7">
        <f>'[30]R03_GABM_run2-data'!$K6</f>
        <v>5</v>
      </c>
      <c r="L7">
        <f t="shared" si="0"/>
        <v>2.2000000000000002</v>
      </c>
      <c r="N7">
        <v>4</v>
      </c>
      <c r="O7">
        <f>'[21]R03_GABM-data'!$K6</f>
        <v>3</v>
      </c>
      <c r="P7">
        <f>'[22]GABM_R03_RossAPI-data'!$K6</f>
        <v>1</v>
      </c>
      <c r="Q7">
        <f>'[23]GABM_R03_RandiAPI-data'!$K6</f>
        <v>4</v>
      </c>
      <c r="R7">
        <f>'[24]GABM_R03_NavidAPI-data'!$K6</f>
        <v>0</v>
      </c>
      <c r="S7">
        <f>'[25]GABM_R03_Terry-data'!$K6</f>
        <v>2</v>
      </c>
      <c r="T7">
        <f>'[26]GABM_R03_SarahAPI-data'!$K6</f>
        <v>0</v>
      </c>
      <c r="U7">
        <f>'[27]GABM_R03_savannah-data'!$K6</f>
        <v>1</v>
      </c>
      <c r="V7">
        <f>'[28]GABM_R03_MitchellAPI-data'!$K6</f>
        <v>3</v>
      </c>
      <c r="W7">
        <f>'[29]GABM_R03_SudipaAPI-data'!$K6</f>
        <v>3</v>
      </c>
      <c r="X7">
        <f>'[30]R03_GABM_run2-data'!$K6</f>
        <v>5</v>
      </c>
      <c r="Y7">
        <f t="shared" si="1"/>
        <v>2.2000000000000002</v>
      </c>
    </row>
    <row r="8" spans="1:25" x14ac:dyDescent="0.35">
      <c r="A8">
        <v>5</v>
      </c>
      <c r="B8">
        <f>'[21]R03_GABM-data'!$K7</f>
        <v>9</v>
      </c>
      <c r="C8">
        <f>'[22]GABM_R03_RossAPI-data'!$K7</f>
        <v>4</v>
      </c>
      <c r="D8">
        <f>'[23]GABM_R03_RandiAPI-data'!$K7</f>
        <v>5</v>
      </c>
      <c r="E8">
        <f>'[24]GABM_R03_NavidAPI-data'!$K7</f>
        <v>3</v>
      </c>
      <c r="F8">
        <f>'[25]GABM_R03_Terry-data'!$K7</f>
        <v>5</v>
      </c>
      <c r="G8">
        <f>'[26]GABM_R03_SarahAPI-data'!$K7</f>
        <v>2</v>
      </c>
      <c r="H8">
        <f>'[27]GABM_R03_savannah-data'!$K7</f>
        <v>2</v>
      </c>
      <c r="I8">
        <f>'[28]GABM_R03_MitchellAPI-data'!$K7</f>
        <v>7</v>
      </c>
      <c r="J8">
        <f>'[29]GABM_R03_SudipaAPI-data'!$K7</f>
        <v>2</v>
      </c>
      <c r="K8">
        <f>'[30]R03_GABM_run2-data'!$K7</f>
        <v>3</v>
      </c>
      <c r="L8">
        <f t="shared" si="0"/>
        <v>4.2</v>
      </c>
      <c r="N8">
        <v>5</v>
      </c>
      <c r="O8">
        <f>'[21]R03_GABM-data'!$K7</f>
        <v>9</v>
      </c>
      <c r="P8">
        <f>'[22]GABM_R03_RossAPI-data'!$K7</f>
        <v>4</v>
      </c>
      <c r="Q8">
        <f>'[23]GABM_R03_RandiAPI-data'!$K7</f>
        <v>5</v>
      </c>
      <c r="R8">
        <f>'[24]GABM_R03_NavidAPI-data'!$K7</f>
        <v>3</v>
      </c>
      <c r="S8">
        <f>'[25]GABM_R03_Terry-data'!$K7</f>
        <v>5</v>
      </c>
      <c r="T8">
        <f>'[26]GABM_R03_SarahAPI-data'!$K7</f>
        <v>2</v>
      </c>
      <c r="U8">
        <f>'[27]GABM_R03_savannah-data'!$K7</f>
        <v>2</v>
      </c>
      <c r="V8">
        <f>'[28]GABM_R03_MitchellAPI-data'!$K7</f>
        <v>7</v>
      </c>
      <c r="W8">
        <f>'[29]GABM_R03_SudipaAPI-data'!$K7</f>
        <v>2</v>
      </c>
      <c r="X8">
        <f>'[30]R03_GABM_run2-data'!$K7</f>
        <v>3</v>
      </c>
      <c r="Y8">
        <f t="shared" si="1"/>
        <v>4.2</v>
      </c>
    </row>
    <row r="9" spans="1:25" x14ac:dyDescent="0.35">
      <c r="A9">
        <v>6</v>
      </c>
      <c r="B9">
        <f>'[21]R03_GABM-data'!$K8</f>
        <v>8</v>
      </c>
      <c r="C9">
        <f>'[22]GABM_R03_RossAPI-data'!$K8</f>
        <v>10</v>
      </c>
      <c r="D9">
        <f>'[23]GABM_R03_RandiAPI-data'!$K8</f>
        <v>9</v>
      </c>
      <c r="E9">
        <f>'[24]GABM_R03_NavidAPI-data'!$K8</f>
        <v>8</v>
      </c>
      <c r="F9">
        <f>'[25]GABM_R03_Terry-data'!$K8</f>
        <v>6</v>
      </c>
      <c r="G9">
        <f>'[26]GABM_R03_SarahAPI-data'!$K8</f>
        <v>2</v>
      </c>
      <c r="H9">
        <f>'[27]GABM_R03_savannah-data'!$K8</f>
        <v>5</v>
      </c>
      <c r="I9">
        <f>'[28]GABM_R03_MitchellAPI-data'!$K8</f>
        <v>11</v>
      </c>
      <c r="J9">
        <f>'[29]GABM_R03_SudipaAPI-data'!$K8</f>
        <v>5</v>
      </c>
      <c r="K9">
        <f>'[30]R03_GABM_run2-data'!$K8</f>
        <v>5</v>
      </c>
      <c r="L9">
        <f t="shared" si="0"/>
        <v>6.9</v>
      </c>
      <c r="N9">
        <v>6</v>
      </c>
      <c r="O9">
        <f>'[21]R03_GABM-data'!$K8</f>
        <v>8</v>
      </c>
      <c r="P9">
        <f>'[22]GABM_R03_RossAPI-data'!$K8</f>
        <v>10</v>
      </c>
      <c r="Q9">
        <f>'[23]GABM_R03_RandiAPI-data'!$K8</f>
        <v>9</v>
      </c>
      <c r="R9">
        <f>'[24]GABM_R03_NavidAPI-data'!$K8</f>
        <v>8</v>
      </c>
      <c r="S9">
        <f>'[25]GABM_R03_Terry-data'!$K8</f>
        <v>6</v>
      </c>
      <c r="T9">
        <f>'[26]GABM_R03_SarahAPI-data'!$K8</f>
        <v>2</v>
      </c>
      <c r="U9">
        <f>'[27]GABM_R03_savannah-data'!$K8</f>
        <v>5</v>
      </c>
      <c r="V9">
        <f>'[28]GABM_R03_MitchellAPI-data'!$K8</f>
        <v>11</v>
      </c>
      <c r="W9">
        <f>'[29]GABM_R03_SudipaAPI-data'!$K8</f>
        <v>5</v>
      </c>
      <c r="X9">
        <f>'[30]R03_GABM_run2-data'!$K8</f>
        <v>5</v>
      </c>
      <c r="Y9">
        <f t="shared" si="1"/>
        <v>6.9</v>
      </c>
    </row>
    <row r="10" spans="1:25" x14ac:dyDescent="0.35">
      <c r="A10">
        <v>7</v>
      </c>
      <c r="B10">
        <f>'[21]R03_GABM-data'!$K9</f>
        <v>13</v>
      </c>
      <c r="C10">
        <f>'[22]GABM_R03_RossAPI-data'!$K9</f>
        <v>16</v>
      </c>
      <c r="D10">
        <f>'[23]GABM_R03_RandiAPI-data'!$K9</f>
        <v>7</v>
      </c>
      <c r="E10">
        <f>'[24]GABM_R03_NavidAPI-data'!$K9</f>
        <v>7</v>
      </c>
      <c r="F10">
        <f>'[25]GABM_R03_Terry-data'!$K9</f>
        <v>8</v>
      </c>
      <c r="G10">
        <f>'[26]GABM_R03_SarahAPI-data'!$K9</f>
        <v>3</v>
      </c>
      <c r="H10">
        <f>'[27]GABM_R03_savannah-data'!$K9</f>
        <v>4</v>
      </c>
      <c r="I10">
        <f>'[28]GABM_R03_MitchellAPI-data'!$K9</f>
        <v>8</v>
      </c>
      <c r="J10">
        <f>'[29]GABM_R03_SudipaAPI-data'!$K9</f>
        <v>1</v>
      </c>
      <c r="K10">
        <f>'[30]R03_GABM_run2-data'!$K9</f>
        <v>5</v>
      </c>
      <c r="L10">
        <f t="shared" si="0"/>
        <v>7.2</v>
      </c>
      <c r="N10">
        <v>7</v>
      </c>
      <c r="O10">
        <f>'[21]R03_GABM-data'!$K9</f>
        <v>13</v>
      </c>
      <c r="P10">
        <f>'[22]GABM_R03_RossAPI-data'!$K9</f>
        <v>16</v>
      </c>
      <c r="Q10">
        <f>'[23]GABM_R03_RandiAPI-data'!$K9</f>
        <v>7</v>
      </c>
      <c r="R10">
        <f>'[24]GABM_R03_NavidAPI-data'!$K9</f>
        <v>7</v>
      </c>
      <c r="S10">
        <f>'[25]GABM_R03_Terry-data'!$K9</f>
        <v>8</v>
      </c>
      <c r="T10">
        <f>'[26]GABM_R03_SarahAPI-data'!$K9</f>
        <v>3</v>
      </c>
      <c r="U10">
        <f>'[27]GABM_R03_savannah-data'!$K9</f>
        <v>4</v>
      </c>
      <c r="V10">
        <f>'[28]GABM_R03_MitchellAPI-data'!$K9</f>
        <v>8</v>
      </c>
      <c r="W10">
        <f>'[29]GABM_R03_SudipaAPI-data'!$K9</f>
        <v>1</v>
      </c>
      <c r="X10">
        <f>'[30]R03_GABM_run2-data'!$K9</f>
        <v>5</v>
      </c>
      <c r="Y10">
        <f t="shared" si="1"/>
        <v>7.2</v>
      </c>
    </row>
    <row r="11" spans="1:25" x14ac:dyDescent="0.35">
      <c r="A11">
        <v>8</v>
      </c>
      <c r="B11">
        <f>'[21]R03_GABM-data'!$K10</f>
        <v>15</v>
      </c>
      <c r="C11">
        <f>'[22]GABM_R03_RossAPI-data'!$K10</f>
        <v>15</v>
      </c>
      <c r="D11">
        <f>'[23]GABM_R03_RandiAPI-data'!$K10</f>
        <v>7</v>
      </c>
      <c r="E11">
        <f>'[24]GABM_R03_NavidAPI-data'!$K10</f>
        <v>19</v>
      </c>
      <c r="F11">
        <f>'[25]GABM_R03_Terry-data'!$K10</f>
        <v>10</v>
      </c>
      <c r="G11">
        <f>'[26]GABM_R03_SarahAPI-data'!$K10</f>
        <v>8</v>
      </c>
      <c r="H11">
        <f>'[27]GABM_R03_savannah-data'!$K10</f>
        <v>2</v>
      </c>
      <c r="I11">
        <f>'[28]GABM_R03_MitchellAPI-data'!$K10</f>
        <v>13</v>
      </c>
      <c r="J11">
        <f>'[29]GABM_R03_SudipaAPI-data'!$K10</f>
        <v>4</v>
      </c>
      <c r="K11">
        <f>'[30]R03_GABM_run2-data'!$K10</f>
        <v>2</v>
      </c>
      <c r="L11">
        <f t="shared" si="0"/>
        <v>9.5</v>
      </c>
      <c r="N11">
        <v>8</v>
      </c>
      <c r="O11">
        <f>'[21]R03_GABM-data'!$K10</f>
        <v>15</v>
      </c>
      <c r="P11">
        <f>'[22]GABM_R03_RossAPI-data'!$K10</f>
        <v>15</v>
      </c>
      <c r="Q11">
        <f>'[23]GABM_R03_RandiAPI-data'!$K10</f>
        <v>7</v>
      </c>
      <c r="R11">
        <f>'[24]GABM_R03_NavidAPI-data'!$K10</f>
        <v>19</v>
      </c>
      <c r="S11">
        <f>'[25]GABM_R03_Terry-data'!$K10</f>
        <v>10</v>
      </c>
      <c r="T11">
        <f>'[26]GABM_R03_SarahAPI-data'!$K10</f>
        <v>8</v>
      </c>
      <c r="U11">
        <f>'[27]GABM_R03_savannah-data'!$K10</f>
        <v>2</v>
      </c>
      <c r="V11">
        <f>'[28]GABM_R03_MitchellAPI-data'!$K10</f>
        <v>13</v>
      </c>
      <c r="W11">
        <f>'[29]GABM_R03_SudipaAPI-data'!$K10</f>
        <v>4</v>
      </c>
      <c r="X11">
        <f>'[30]R03_GABM_run2-data'!$K10</f>
        <v>2</v>
      </c>
      <c r="Y11">
        <f t="shared" si="1"/>
        <v>9.5</v>
      </c>
    </row>
    <row r="12" spans="1:25" x14ac:dyDescent="0.35">
      <c r="A12">
        <v>9</v>
      </c>
      <c r="B12">
        <f>'[21]R03_GABM-data'!$K11</f>
        <v>20</v>
      </c>
      <c r="C12">
        <f>'[22]GABM_R03_RossAPI-data'!$K11</f>
        <v>18</v>
      </c>
      <c r="D12">
        <f>'[23]GABM_R03_RandiAPI-data'!$K11</f>
        <v>6</v>
      </c>
      <c r="E12">
        <f>'[24]GABM_R03_NavidAPI-data'!$K11</f>
        <v>15</v>
      </c>
      <c r="F12">
        <f>'[25]GABM_R03_Terry-data'!$K11</f>
        <v>10</v>
      </c>
      <c r="G12">
        <f>'[26]GABM_R03_SarahAPI-data'!$K11</f>
        <v>4</v>
      </c>
      <c r="H12">
        <f>'[27]GABM_R03_savannah-data'!$K11</f>
        <v>5</v>
      </c>
      <c r="I12">
        <f>'[28]GABM_R03_MitchellAPI-data'!$K11</f>
        <v>14</v>
      </c>
      <c r="J12">
        <f>'[29]GABM_R03_SudipaAPI-data'!$K11</f>
        <v>3</v>
      </c>
      <c r="K12">
        <f>'[30]R03_GABM_run2-data'!$K11</f>
        <v>4</v>
      </c>
      <c r="L12">
        <f t="shared" si="0"/>
        <v>9.9</v>
      </c>
      <c r="N12">
        <v>9</v>
      </c>
      <c r="O12">
        <f>'[21]R03_GABM-data'!$K11</f>
        <v>20</v>
      </c>
      <c r="P12">
        <f>'[22]GABM_R03_RossAPI-data'!$K11</f>
        <v>18</v>
      </c>
      <c r="Q12">
        <f>'[23]GABM_R03_RandiAPI-data'!$K11</f>
        <v>6</v>
      </c>
      <c r="R12">
        <f>'[24]GABM_R03_NavidAPI-data'!$K11</f>
        <v>15</v>
      </c>
      <c r="S12">
        <f>'[25]GABM_R03_Terry-data'!$K11</f>
        <v>10</v>
      </c>
      <c r="T12">
        <f>'[26]GABM_R03_SarahAPI-data'!$K11</f>
        <v>4</v>
      </c>
      <c r="U12">
        <f>'[27]GABM_R03_savannah-data'!$K11</f>
        <v>5</v>
      </c>
      <c r="V12">
        <f>'[28]GABM_R03_MitchellAPI-data'!$K11</f>
        <v>14</v>
      </c>
      <c r="W12">
        <f>'[29]GABM_R03_SudipaAPI-data'!$K11</f>
        <v>3</v>
      </c>
      <c r="X12">
        <f>'[30]R03_GABM_run2-data'!$K11</f>
        <v>4</v>
      </c>
      <c r="Y12">
        <f t="shared" si="1"/>
        <v>9.9</v>
      </c>
    </row>
    <row r="13" spans="1:25" x14ac:dyDescent="0.35">
      <c r="A13">
        <v>10</v>
      </c>
      <c r="B13">
        <f>'[21]R03_GABM-data'!$K12</f>
        <v>16</v>
      </c>
      <c r="C13">
        <f>'[22]GABM_R03_RossAPI-data'!$K12</f>
        <v>26</v>
      </c>
      <c r="D13">
        <f>'[23]GABM_R03_RandiAPI-data'!$K12</f>
        <v>12</v>
      </c>
      <c r="E13">
        <f>'[24]GABM_R03_NavidAPI-data'!$K12</f>
        <v>15</v>
      </c>
      <c r="F13">
        <f>'[25]GABM_R03_Terry-data'!$K12</f>
        <v>9</v>
      </c>
      <c r="G13">
        <f>'[26]GABM_R03_SarahAPI-data'!$K12</f>
        <v>10</v>
      </c>
      <c r="H13">
        <f>'[27]GABM_R03_savannah-data'!$K12</f>
        <v>2</v>
      </c>
      <c r="I13">
        <f>'[28]GABM_R03_MitchellAPI-data'!$K12</f>
        <v>14</v>
      </c>
      <c r="J13">
        <f>'[29]GABM_R03_SudipaAPI-data'!$K12</f>
        <v>3</v>
      </c>
      <c r="K13">
        <f>'[30]R03_GABM_run2-data'!$K12</f>
        <v>2</v>
      </c>
      <c r="L13">
        <f t="shared" si="0"/>
        <v>10.9</v>
      </c>
      <c r="N13">
        <v>10</v>
      </c>
      <c r="O13">
        <f>'[21]R03_GABM-data'!$K12</f>
        <v>16</v>
      </c>
      <c r="P13">
        <f>'[22]GABM_R03_RossAPI-data'!$K12</f>
        <v>26</v>
      </c>
      <c r="Q13">
        <f>'[23]GABM_R03_RandiAPI-data'!$K12</f>
        <v>12</v>
      </c>
      <c r="R13">
        <f>'[24]GABM_R03_NavidAPI-data'!$K12</f>
        <v>15</v>
      </c>
      <c r="S13">
        <f>'[25]GABM_R03_Terry-data'!$K12</f>
        <v>9</v>
      </c>
      <c r="T13">
        <f>'[26]GABM_R03_SarahAPI-data'!$K12</f>
        <v>10</v>
      </c>
      <c r="U13">
        <f>'[27]GABM_R03_savannah-data'!$K12</f>
        <v>2</v>
      </c>
      <c r="V13">
        <f>'[28]GABM_R03_MitchellAPI-data'!$K12</f>
        <v>14</v>
      </c>
      <c r="W13">
        <f>'[29]GABM_R03_SudipaAPI-data'!$K12</f>
        <v>3</v>
      </c>
      <c r="X13">
        <f>'[30]R03_GABM_run2-data'!$K12</f>
        <v>2</v>
      </c>
      <c r="Y13">
        <f t="shared" si="1"/>
        <v>10.9</v>
      </c>
    </row>
    <row r="14" spans="1:25" x14ac:dyDescent="0.35">
      <c r="A14">
        <v>11</v>
      </c>
      <c r="B14">
        <f>'[21]R03_GABM-data'!$K13</f>
        <v>13</v>
      </c>
      <c r="C14">
        <f>'[22]GABM_R03_RossAPI-data'!$K13</f>
        <v>7</v>
      </c>
      <c r="D14">
        <f>'[23]GABM_R03_RandiAPI-data'!$K13</f>
        <v>11</v>
      </c>
      <c r="E14">
        <f>'[24]GABM_R03_NavidAPI-data'!$K13</f>
        <v>20</v>
      </c>
      <c r="F14">
        <f>'[25]GABM_R03_Terry-data'!$K13</f>
        <v>15</v>
      </c>
      <c r="G14">
        <f>'[26]GABM_R03_SarahAPI-data'!$K13</f>
        <v>12</v>
      </c>
      <c r="H14">
        <f>'[27]GABM_R03_savannah-data'!$K13</f>
        <v>7</v>
      </c>
      <c r="I14">
        <f>'[28]GABM_R03_MitchellAPI-data'!$K13</f>
        <v>7</v>
      </c>
      <c r="J14">
        <f>'[29]GABM_R03_SudipaAPI-data'!$K13</f>
        <v>3</v>
      </c>
      <c r="K14">
        <f>'[30]R03_GABM_run2-data'!$K13</f>
        <v>4</v>
      </c>
      <c r="L14">
        <f t="shared" si="0"/>
        <v>9.9</v>
      </c>
      <c r="N14">
        <v>11</v>
      </c>
      <c r="O14">
        <f>'[21]R03_GABM-data'!$K13</f>
        <v>13</v>
      </c>
      <c r="P14">
        <f>'[22]GABM_R03_RossAPI-data'!$K13</f>
        <v>7</v>
      </c>
      <c r="Q14">
        <f>'[23]GABM_R03_RandiAPI-data'!$K13</f>
        <v>11</v>
      </c>
      <c r="R14">
        <f>'[24]GABM_R03_NavidAPI-data'!$K13</f>
        <v>20</v>
      </c>
      <c r="S14">
        <f>'[25]GABM_R03_Terry-data'!$K13</f>
        <v>15</v>
      </c>
      <c r="T14">
        <f>'[26]GABM_R03_SarahAPI-data'!$K13</f>
        <v>12</v>
      </c>
      <c r="U14">
        <f>'[27]GABM_R03_savannah-data'!$K13</f>
        <v>7</v>
      </c>
      <c r="V14">
        <f>'[28]GABM_R03_MitchellAPI-data'!$K13</f>
        <v>7</v>
      </c>
      <c r="W14">
        <f>'[29]GABM_R03_SudipaAPI-data'!$K13</f>
        <v>3</v>
      </c>
      <c r="X14">
        <f>'[30]R03_GABM_run2-data'!$K13</f>
        <v>4</v>
      </c>
      <c r="Y14">
        <f t="shared" si="1"/>
        <v>9.9</v>
      </c>
    </row>
    <row r="15" spans="1:25" x14ac:dyDescent="0.35">
      <c r="A15">
        <v>12</v>
      </c>
      <c r="B15">
        <f>'[21]R03_GABM-data'!$K14</f>
        <v>5</v>
      </c>
      <c r="C15">
        <f>'[22]GABM_R03_RossAPI-data'!$K14</f>
        <v>4</v>
      </c>
      <c r="D15">
        <f>'[23]GABM_R03_RandiAPI-data'!$K14</f>
        <v>18</v>
      </c>
      <c r="E15">
        <f>'[24]GABM_R03_NavidAPI-data'!$K14</f>
        <v>14</v>
      </c>
      <c r="F15">
        <f>'[25]GABM_R03_Terry-data'!$K14</f>
        <v>17</v>
      </c>
      <c r="G15">
        <f>'[26]GABM_R03_SarahAPI-data'!$K14</f>
        <v>14</v>
      </c>
      <c r="H15">
        <f>'[27]GABM_R03_savannah-data'!$K14</f>
        <v>6</v>
      </c>
      <c r="I15">
        <f>'[28]GABM_R03_MitchellAPI-data'!$K14</f>
        <v>8</v>
      </c>
      <c r="J15">
        <f>'[29]GABM_R03_SudipaAPI-data'!$K14</f>
        <v>2</v>
      </c>
      <c r="K15">
        <f>'[30]R03_GABM_run2-data'!$K14</f>
        <v>4</v>
      </c>
      <c r="L15">
        <f t="shared" si="0"/>
        <v>9.1999999999999993</v>
      </c>
      <c r="N15">
        <v>12</v>
      </c>
      <c r="O15">
        <f>'[21]R03_GABM-data'!$K14</f>
        <v>5</v>
      </c>
      <c r="P15">
        <f>'[22]GABM_R03_RossAPI-data'!$K14</f>
        <v>4</v>
      </c>
      <c r="Q15">
        <f>'[23]GABM_R03_RandiAPI-data'!$K14</f>
        <v>18</v>
      </c>
      <c r="R15">
        <f>'[24]GABM_R03_NavidAPI-data'!$K14</f>
        <v>14</v>
      </c>
      <c r="S15">
        <f>'[25]GABM_R03_Terry-data'!$K14</f>
        <v>17</v>
      </c>
      <c r="T15">
        <f>'[26]GABM_R03_SarahAPI-data'!$K14</f>
        <v>14</v>
      </c>
      <c r="U15">
        <f>'[27]GABM_R03_savannah-data'!$K14</f>
        <v>6</v>
      </c>
      <c r="V15">
        <f>'[28]GABM_R03_MitchellAPI-data'!$K14</f>
        <v>8</v>
      </c>
      <c r="W15">
        <f>'[29]GABM_R03_SudipaAPI-data'!$K14</f>
        <v>2</v>
      </c>
      <c r="X15">
        <f>'[30]R03_GABM_run2-data'!$K14</f>
        <v>4</v>
      </c>
      <c r="Y15">
        <f t="shared" si="1"/>
        <v>9.1999999999999993</v>
      </c>
    </row>
    <row r="16" spans="1:25" x14ac:dyDescent="0.35">
      <c r="A16">
        <v>13</v>
      </c>
      <c r="B16">
        <f>'[21]R03_GABM-data'!$K15</f>
        <v>5</v>
      </c>
      <c r="C16">
        <f>'[22]GABM_R03_RossAPI-data'!$K15</f>
        <v>4</v>
      </c>
      <c r="D16">
        <f>'[23]GABM_R03_RandiAPI-data'!$K15</f>
        <v>17</v>
      </c>
      <c r="E16">
        <f>'[24]GABM_R03_NavidAPI-data'!$K15</f>
        <v>6</v>
      </c>
      <c r="F16">
        <f>'[25]GABM_R03_Terry-data'!$K15</f>
        <v>34</v>
      </c>
      <c r="G16">
        <f>'[26]GABM_R03_SarahAPI-data'!$K15</f>
        <v>20</v>
      </c>
      <c r="H16">
        <f>'[27]GABM_R03_savannah-data'!$K15</f>
        <v>7</v>
      </c>
      <c r="I16">
        <f>'[28]GABM_R03_MitchellAPI-data'!$K15</f>
        <v>5</v>
      </c>
      <c r="J16">
        <f>'[29]GABM_R03_SudipaAPI-data'!$K15</f>
        <v>6</v>
      </c>
      <c r="K16">
        <f>'[30]R03_GABM_run2-data'!$K15</f>
        <v>5</v>
      </c>
      <c r="L16">
        <f t="shared" si="0"/>
        <v>10.9</v>
      </c>
      <c r="N16">
        <v>13</v>
      </c>
      <c r="O16">
        <f>'[21]R03_GABM-data'!$K15</f>
        <v>5</v>
      </c>
      <c r="P16">
        <f>'[22]GABM_R03_RossAPI-data'!$K15</f>
        <v>4</v>
      </c>
      <c r="Q16">
        <f>'[23]GABM_R03_RandiAPI-data'!$K15</f>
        <v>17</v>
      </c>
      <c r="R16">
        <f>'[24]GABM_R03_NavidAPI-data'!$K15</f>
        <v>6</v>
      </c>
      <c r="S16">
        <f>'[25]GABM_R03_Terry-data'!$K15</f>
        <v>34</v>
      </c>
      <c r="T16">
        <f>'[26]GABM_R03_SarahAPI-data'!$K15</f>
        <v>20</v>
      </c>
      <c r="U16">
        <f>'[27]GABM_R03_savannah-data'!$K15</f>
        <v>7</v>
      </c>
      <c r="V16">
        <f>'[28]GABM_R03_MitchellAPI-data'!$K15</f>
        <v>5</v>
      </c>
      <c r="W16">
        <f>'[29]GABM_R03_SudipaAPI-data'!$K15</f>
        <v>6</v>
      </c>
      <c r="X16">
        <f>'[30]R03_GABM_run2-data'!$K15</f>
        <v>5</v>
      </c>
      <c r="Y16">
        <f t="shared" si="1"/>
        <v>10.9</v>
      </c>
    </row>
    <row r="17" spans="1:25" x14ac:dyDescent="0.35">
      <c r="A17">
        <v>14</v>
      </c>
      <c r="B17">
        <f>'[21]R03_GABM-data'!$K16</f>
        <v>4</v>
      </c>
      <c r="C17">
        <f>'[22]GABM_R03_RossAPI-data'!$K16</f>
        <v>2</v>
      </c>
      <c r="D17">
        <f>'[23]GABM_R03_RandiAPI-data'!$K16</f>
        <v>6</v>
      </c>
      <c r="E17">
        <f>'[24]GABM_R03_NavidAPI-data'!$K16</f>
        <v>3</v>
      </c>
      <c r="F17">
        <f>'[25]GABM_R03_Terry-data'!$K16</f>
        <v>27</v>
      </c>
      <c r="G17">
        <f>'[26]GABM_R03_SarahAPI-data'!$K16</f>
        <v>29</v>
      </c>
      <c r="H17">
        <f>'[27]GABM_R03_savannah-data'!$K16</f>
        <v>4</v>
      </c>
      <c r="I17">
        <f>'[28]GABM_R03_MitchellAPI-data'!$K16</f>
        <v>6</v>
      </c>
      <c r="J17">
        <f>'[29]GABM_R03_SudipaAPI-data'!$K16</f>
        <v>5</v>
      </c>
      <c r="K17">
        <f>'[30]R03_GABM_run2-data'!$K16</f>
        <v>7</v>
      </c>
      <c r="L17">
        <f t="shared" si="0"/>
        <v>9.3000000000000007</v>
      </c>
      <c r="N17">
        <v>14</v>
      </c>
      <c r="O17">
        <f>'[21]R03_GABM-data'!$K16</f>
        <v>4</v>
      </c>
      <c r="P17">
        <f>'[22]GABM_R03_RossAPI-data'!$K16</f>
        <v>2</v>
      </c>
      <c r="Q17">
        <f>'[23]GABM_R03_RandiAPI-data'!$K16</f>
        <v>6</v>
      </c>
      <c r="R17">
        <f>'[24]GABM_R03_NavidAPI-data'!$K16</f>
        <v>3</v>
      </c>
      <c r="S17">
        <f>'[25]GABM_R03_Terry-data'!$K16</f>
        <v>27</v>
      </c>
      <c r="T17">
        <f>'[26]GABM_R03_SarahAPI-data'!$K16</f>
        <v>29</v>
      </c>
      <c r="U17">
        <f>'[27]GABM_R03_savannah-data'!$K16</f>
        <v>4</v>
      </c>
      <c r="V17">
        <f>'[28]GABM_R03_MitchellAPI-data'!$K16</f>
        <v>6</v>
      </c>
      <c r="W17">
        <f>'[29]GABM_R03_SudipaAPI-data'!$K16</f>
        <v>5</v>
      </c>
      <c r="X17">
        <f>'[30]R03_GABM_run2-data'!$K16</f>
        <v>7</v>
      </c>
      <c r="Y17">
        <f t="shared" si="1"/>
        <v>9.3000000000000007</v>
      </c>
    </row>
    <row r="18" spans="1:25" x14ac:dyDescent="0.35">
      <c r="A18">
        <v>15</v>
      </c>
      <c r="B18">
        <f>'[21]R03_GABM-data'!$K17</f>
        <v>6</v>
      </c>
      <c r="C18">
        <f>'[22]GABM_R03_RossAPI-data'!$K17</f>
        <v>2</v>
      </c>
      <c r="D18">
        <f>'[23]GABM_R03_RandiAPI-data'!$K17</f>
        <v>10</v>
      </c>
      <c r="E18">
        <f>'[24]GABM_R03_NavidAPI-data'!$K17</f>
        <v>2</v>
      </c>
      <c r="F18">
        <f>'[25]GABM_R03_Terry-data'!$K17</f>
        <v>7</v>
      </c>
      <c r="G18">
        <f>'[26]GABM_R03_SarahAPI-data'!$K17</f>
        <v>18</v>
      </c>
      <c r="H18">
        <f>'[27]GABM_R03_savannah-data'!$K17</f>
        <v>7</v>
      </c>
      <c r="I18">
        <f>'[28]GABM_R03_MitchellAPI-data'!$K17</f>
        <v>4</v>
      </c>
      <c r="J18">
        <f>'[29]GABM_R03_SudipaAPI-data'!$K17</f>
        <v>15</v>
      </c>
      <c r="K18">
        <f>'[30]R03_GABM_run2-data'!$K17</f>
        <v>5</v>
      </c>
      <c r="L18">
        <f t="shared" si="0"/>
        <v>7.6</v>
      </c>
      <c r="N18">
        <v>15</v>
      </c>
      <c r="O18">
        <f>'[21]R03_GABM-data'!$K17</f>
        <v>6</v>
      </c>
      <c r="P18">
        <f>'[22]GABM_R03_RossAPI-data'!$K17</f>
        <v>2</v>
      </c>
      <c r="Q18">
        <f>'[23]GABM_R03_RandiAPI-data'!$K17</f>
        <v>10</v>
      </c>
      <c r="R18">
        <f>'[24]GABM_R03_NavidAPI-data'!$K17</f>
        <v>2</v>
      </c>
      <c r="S18">
        <f>'[25]GABM_R03_Terry-data'!$K17</f>
        <v>7</v>
      </c>
      <c r="T18">
        <f>'[26]GABM_R03_SarahAPI-data'!$K17</f>
        <v>18</v>
      </c>
      <c r="U18">
        <f>'[27]GABM_R03_savannah-data'!$K17</f>
        <v>7</v>
      </c>
      <c r="V18">
        <f>'[28]GABM_R03_MitchellAPI-data'!$K17</f>
        <v>4</v>
      </c>
      <c r="W18">
        <f>'[29]GABM_R03_SudipaAPI-data'!$K17</f>
        <v>15</v>
      </c>
      <c r="X18">
        <f>'[30]R03_GABM_run2-data'!$K17</f>
        <v>5</v>
      </c>
      <c r="Y18">
        <f t="shared" si="1"/>
        <v>7.6</v>
      </c>
    </row>
    <row r="19" spans="1:25" x14ac:dyDescent="0.35">
      <c r="A19">
        <v>16</v>
      </c>
      <c r="B19">
        <f>'[21]R03_GABM-data'!$K18</f>
        <v>7</v>
      </c>
      <c r="C19">
        <f>'[22]GABM_R03_RossAPI-data'!$K18</f>
        <v>6</v>
      </c>
      <c r="D19">
        <f>'[23]GABM_R03_RandiAPI-data'!$K18</f>
        <v>8</v>
      </c>
      <c r="E19">
        <f>'[24]GABM_R03_NavidAPI-data'!$K18</f>
        <v>4</v>
      </c>
      <c r="F19">
        <f>'[25]GABM_R03_Terry-data'!$K18</f>
        <v>8</v>
      </c>
      <c r="G19">
        <f>'[26]GABM_R03_SarahAPI-data'!$K18</f>
        <v>9</v>
      </c>
      <c r="H19">
        <f>'[27]GABM_R03_savannah-data'!$K18</f>
        <v>3</v>
      </c>
      <c r="I19">
        <f>'[28]GABM_R03_MitchellAPI-data'!$K18</f>
        <v>5</v>
      </c>
      <c r="J19">
        <f>'[29]GABM_R03_SudipaAPI-data'!$K18</f>
        <v>13</v>
      </c>
      <c r="K19">
        <f>'[30]R03_GABM_run2-data'!$K18</f>
        <v>10</v>
      </c>
      <c r="L19">
        <f t="shared" si="0"/>
        <v>7.3</v>
      </c>
      <c r="N19">
        <v>16</v>
      </c>
      <c r="O19">
        <f>'[21]R03_GABM-data'!$K18</f>
        <v>7</v>
      </c>
      <c r="P19">
        <f>'[22]GABM_R03_RossAPI-data'!$K18</f>
        <v>6</v>
      </c>
      <c r="Q19">
        <f>'[23]GABM_R03_RandiAPI-data'!$K18</f>
        <v>8</v>
      </c>
      <c r="R19">
        <f>'[24]GABM_R03_NavidAPI-data'!$K18</f>
        <v>4</v>
      </c>
      <c r="S19">
        <f>'[25]GABM_R03_Terry-data'!$K18</f>
        <v>8</v>
      </c>
      <c r="T19">
        <f>'[26]GABM_R03_SarahAPI-data'!$K18</f>
        <v>9</v>
      </c>
      <c r="U19">
        <f>'[27]GABM_R03_savannah-data'!$K18</f>
        <v>3</v>
      </c>
      <c r="V19">
        <f>'[28]GABM_R03_MitchellAPI-data'!$K18</f>
        <v>5</v>
      </c>
      <c r="W19">
        <f>'[29]GABM_R03_SudipaAPI-data'!$K18</f>
        <v>13</v>
      </c>
      <c r="X19">
        <f>'[30]R03_GABM_run2-data'!$K18</f>
        <v>10</v>
      </c>
      <c r="Y19">
        <f t="shared" si="1"/>
        <v>7.3</v>
      </c>
    </row>
    <row r="20" spans="1:25" x14ac:dyDescent="0.35">
      <c r="A20">
        <v>17</v>
      </c>
      <c r="B20">
        <f>'[21]R03_GABM-data'!$K19</f>
        <v>8</v>
      </c>
      <c r="C20">
        <f>'[22]GABM_R03_RossAPI-data'!$K19</f>
        <v>5</v>
      </c>
      <c r="D20">
        <f>'[23]GABM_R03_RandiAPI-data'!$K19</f>
        <v>3</v>
      </c>
      <c r="E20">
        <f>'[24]GABM_R03_NavidAPI-data'!$K19</f>
        <v>2</v>
      </c>
      <c r="F20">
        <f>'[25]GABM_R03_Terry-data'!$K19</f>
        <v>1</v>
      </c>
      <c r="G20">
        <f>'[26]GABM_R03_SarahAPI-data'!$K19</f>
        <v>9</v>
      </c>
      <c r="H20">
        <f>'[27]GABM_R03_savannah-data'!$K19</f>
        <v>6</v>
      </c>
      <c r="I20">
        <f>'[28]GABM_R03_MitchellAPI-data'!$K19</f>
        <v>2</v>
      </c>
      <c r="J20">
        <f>'[29]GABM_R03_SudipaAPI-data'!$K19</f>
        <v>24</v>
      </c>
      <c r="K20">
        <f>'[30]R03_GABM_run2-data'!$K19</f>
        <v>3</v>
      </c>
      <c r="L20">
        <f t="shared" si="0"/>
        <v>6.3</v>
      </c>
      <c r="N20">
        <v>17</v>
      </c>
      <c r="O20">
        <f>'[21]R03_GABM-data'!$K19</f>
        <v>8</v>
      </c>
      <c r="P20">
        <f>'[22]GABM_R03_RossAPI-data'!$K19</f>
        <v>5</v>
      </c>
      <c r="Q20">
        <f>'[23]GABM_R03_RandiAPI-data'!$K19</f>
        <v>3</v>
      </c>
      <c r="R20">
        <f>'[24]GABM_R03_NavidAPI-data'!$K19</f>
        <v>2</v>
      </c>
      <c r="S20">
        <f>'[25]GABM_R03_Terry-data'!$K19</f>
        <v>1</v>
      </c>
      <c r="T20">
        <f>'[26]GABM_R03_SarahAPI-data'!$K19</f>
        <v>9</v>
      </c>
      <c r="U20">
        <f>'[27]GABM_R03_savannah-data'!$K19</f>
        <v>6</v>
      </c>
      <c r="V20">
        <f>'[28]GABM_R03_MitchellAPI-data'!$K19</f>
        <v>2</v>
      </c>
      <c r="W20">
        <f>'[29]GABM_R03_SudipaAPI-data'!$K19</f>
        <v>24</v>
      </c>
      <c r="X20">
        <f>'[30]R03_GABM_run2-data'!$K19</f>
        <v>3</v>
      </c>
      <c r="Y20">
        <f t="shared" si="1"/>
        <v>6.3</v>
      </c>
    </row>
    <row r="21" spans="1:25" x14ac:dyDescent="0.35">
      <c r="A21">
        <v>18</v>
      </c>
      <c r="B21">
        <f>'[21]R03_GABM-data'!$K20</f>
        <v>9</v>
      </c>
      <c r="C21">
        <f>'[22]GABM_R03_RossAPI-data'!$K20</f>
        <v>5</v>
      </c>
      <c r="D21">
        <f>'[23]GABM_R03_RandiAPI-data'!$K20</f>
        <v>7</v>
      </c>
      <c r="E21">
        <f>'[24]GABM_R03_NavidAPI-data'!$K20</f>
        <v>3</v>
      </c>
      <c r="F21">
        <f>'[25]GABM_R03_Terry-data'!$K20</f>
        <v>4</v>
      </c>
      <c r="G21">
        <f>'[26]GABM_R03_SarahAPI-data'!$K20</f>
        <v>3</v>
      </c>
      <c r="H21">
        <f>'[27]GABM_R03_savannah-data'!$K20</f>
        <v>5</v>
      </c>
      <c r="I21">
        <f>'[28]GABM_R03_MitchellAPI-data'!$K20</f>
        <v>3</v>
      </c>
      <c r="J21">
        <f>'[29]GABM_R03_SudipaAPI-data'!$K20</f>
        <v>12</v>
      </c>
      <c r="K21">
        <f>'[30]R03_GABM_run2-data'!$K20</f>
        <v>8</v>
      </c>
      <c r="L21">
        <f t="shared" si="0"/>
        <v>5.9</v>
      </c>
      <c r="N21">
        <v>18</v>
      </c>
      <c r="O21">
        <f>'[21]R03_GABM-data'!$K20</f>
        <v>9</v>
      </c>
      <c r="P21">
        <f>'[22]GABM_R03_RossAPI-data'!$K20</f>
        <v>5</v>
      </c>
      <c r="Q21">
        <f>'[23]GABM_R03_RandiAPI-data'!$K20</f>
        <v>7</v>
      </c>
      <c r="R21">
        <f>'[24]GABM_R03_NavidAPI-data'!$K20</f>
        <v>3</v>
      </c>
      <c r="S21">
        <f>'[25]GABM_R03_Terry-data'!$K20</f>
        <v>4</v>
      </c>
      <c r="T21">
        <f>'[26]GABM_R03_SarahAPI-data'!$K20</f>
        <v>3</v>
      </c>
      <c r="U21">
        <f>'[27]GABM_R03_savannah-data'!$K20</f>
        <v>5</v>
      </c>
      <c r="V21">
        <f>'[28]GABM_R03_MitchellAPI-data'!$K20</f>
        <v>3</v>
      </c>
      <c r="W21">
        <f>'[29]GABM_R03_SudipaAPI-data'!$K20</f>
        <v>12</v>
      </c>
      <c r="X21">
        <f>'[30]R03_GABM_run2-data'!$K20</f>
        <v>8</v>
      </c>
      <c r="Y21">
        <f t="shared" si="1"/>
        <v>5.9</v>
      </c>
    </row>
    <row r="22" spans="1:25" x14ac:dyDescent="0.35">
      <c r="A22">
        <v>19</v>
      </c>
      <c r="B22">
        <f>'[21]R03_GABM-data'!$K21</f>
        <v>10</v>
      </c>
      <c r="C22">
        <f>'[22]GABM_R03_RossAPI-data'!$K21</f>
        <v>9</v>
      </c>
      <c r="D22">
        <f>'[23]GABM_R03_RandiAPI-data'!$K21</f>
        <v>12</v>
      </c>
      <c r="E22">
        <f>'[24]GABM_R03_NavidAPI-data'!$K21</f>
        <v>6</v>
      </c>
      <c r="F22">
        <f>'[25]GABM_R03_Terry-data'!$K21</f>
        <v>2</v>
      </c>
      <c r="G22">
        <f>'[26]GABM_R03_SarahAPI-data'!$K21</f>
        <v>3</v>
      </c>
      <c r="H22">
        <f>'[27]GABM_R03_savannah-data'!$K21</f>
        <v>3</v>
      </c>
      <c r="I22">
        <f>'[28]GABM_R03_MitchellAPI-data'!$K21</f>
        <v>5</v>
      </c>
      <c r="J22">
        <f>'[29]GABM_R03_SudipaAPI-data'!$K21</f>
        <v>4</v>
      </c>
      <c r="K22">
        <f>'[30]R03_GABM_run2-data'!$K21</f>
        <v>8</v>
      </c>
      <c r="L22">
        <f t="shared" si="0"/>
        <v>6.2</v>
      </c>
      <c r="N22">
        <v>19</v>
      </c>
      <c r="O22">
        <f>'[21]R03_GABM-data'!$K21</f>
        <v>10</v>
      </c>
      <c r="P22">
        <f>'[22]GABM_R03_RossAPI-data'!$K21</f>
        <v>9</v>
      </c>
      <c r="Q22">
        <f>'[23]GABM_R03_RandiAPI-data'!$K21</f>
        <v>12</v>
      </c>
      <c r="R22">
        <f>'[24]GABM_R03_NavidAPI-data'!$K21</f>
        <v>6</v>
      </c>
      <c r="S22">
        <f>'[25]GABM_R03_Terry-data'!$K21</f>
        <v>2</v>
      </c>
      <c r="T22">
        <f>'[26]GABM_R03_SarahAPI-data'!$K21</f>
        <v>3</v>
      </c>
      <c r="U22">
        <f>'[27]GABM_R03_savannah-data'!$K21</f>
        <v>3</v>
      </c>
      <c r="V22">
        <f>'[28]GABM_R03_MitchellAPI-data'!$K21</f>
        <v>5</v>
      </c>
      <c r="W22">
        <f>'[29]GABM_R03_SudipaAPI-data'!$K21</f>
        <v>4</v>
      </c>
      <c r="X22">
        <f>'[30]R03_GABM_run2-data'!$K21</f>
        <v>8</v>
      </c>
      <c r="Y22">
        <f t="shared" si="1"/>
        <v>6.2</v>
      </c>
    </row>
    <row r="23" spans="1:25" x14ac:dyDescent="0.35">
      <c r="A23">
        <v>20</v>
      </c>
      <c r="B23">
        <f>'[21]R03_GABM-data'!$K22</f>
        <v>12</v>
      </c>
      <c r="C23">
        <f>'[22]GABM_R03_RossAPI-data'!$K22</f>
        <v>9</v>
      </c>
      <c r="D23">
        <f>'[23]GABM_R03_RandiAPI-data'!$K22</f>
        <v>6</v>
      </c>
      <c r="E23">
        <f>'[24]GABM_R03_NavidAPI-data'!$K22</f>
        <v>7</v>
      </c>
      <c r="F23">
        <f>'[25]GABM_R03_Terry-data'!$K22</f>
        <v>2</v>
      </c>
      <c r="G23">
        <f>'[26]GABM_R03_SarahAPI-data'!$K22</f>
        <v>2</v>
      </c>
      <c r="H23">
        <f>'[27]GABM_R03_savannah-data'!$K22</f>
        <v>4</v>
      </c>
      <c r="I23">
        <f>'[28]GABM_R03_MitchellAPI-data'!$K22</f>
        <v>2</v>
      </c>
      <c r="J23">
        <f>'[29]GABM_R03_SudipaAPI-data'!$K22</f>
        <v>6</v>
      </c>
      <c r="K23">
        <f>'[30]R03_GABM_run2-data'!$K22</f>
        <v>17</v>
      </c>
      <c r="L23">
        <f t="shared" si="0"/>
        <v>6.7</v>
      </c>
      <c r="N23">
        <v>20</v>
      </c>
      <c r="O23">
        <f>'[21]R03_GABM-data'!$K22</f>
        <v>12</v>
      </c>
      <c r="P23">
        <f>'[22]GABM_R03_RossAPI-data'!$K22</f>
        <v>9</v>
      </c>
      <c r="Q23">
        <f>'[23]GABM_R03_RandiAPI-data'!$K22</f>
        <v>6</v>
      </c>
      <c r="R23">
        <f>'[24]GABM_R03_NavidAPI-data'!$K22</f>
        <v>7</v>
      </c>
      <c r="S23">
        <f>'[25]GABM_R03_Terry-data'!$K22</f>
        <v>2</v>
      </c>
      <c r="T23">
        <f>'[26]GABM_R03_SarahAPI-data'!$K22</f>
        <v>2</v>
      </c>
      <c r="U23">
        <f>'[27]GABM_R03_savannah-data'!$K22</f>
        <v>4</v>
      </c>
      <c r="V23">
        <f>'[28]GABM_R03_MitchellAPI-data'!$K22</f>
        <v>2</v>
      </c>
      <c r="W23">
        <f>'[29]GABM_R03_SudipaAPI-data'!$K22</f>
        <v>6</v>
      </c>
      <c r="X23">
        <f>'[30]R03_GABM_run2-data'!$K22</f>
        <v>17</v>
      </c>
      <c r="Y23">
        <f t="shared" si="1"/>
        <v>6.7</v>
      </c>
    </row>
    <row r="24" spans="1:25" x14ac:dyDescent="0.35">
      <c r="A24">
        <v>21</v>
      </c>
      <c r="B24">
        <f>'[21]R03_GABM-data'!$K23</f>
        <v>7</v>
      </c>
      <c r="C24">
        <f>'[22]GABM_R03_RossAPI-data'!$K23</f>
        <v>8</v>
      </c>
      <c r="D24">
        <f>'[23]GABM_R03_RandiAPI-data'!$K23</f>
        <v>8</v>
      </c>
      <c r="E24">
        <f>'[24]GABM_R03_NavidAPI-data'!$K23</f>
        <v>9</v>
      </c>
      <c r="F24">
        <f>'[25]GABM_R03_Terry-data'!$K23</f>
        <v>5</v>
      </c>
      <c r="G24">
        <f>'[26]GABM_R03_SarahAPI-data'!$K23</f>
        <v>4</v>
      </c>
      <c r="H24">
        <f>'[27]GABM_R03_savannah-data'!$K23</f>
        <v>6</v>
      </c>
      <c r="I24">
        <f>'[28]GABM_R03_MitchellAPI-data'!$K23</f>
        <v>3</v>
      </c>
      <c r="J24">
        <f>'[29]GABM_R03_SudipaAPI-data'!$K23</f>
        <v>0</v>
      </c>
      <c r="K24">
        <f>'[30]R03_GABM_run2-data'!$K23</f>
        <v>17</v>
      </c>
      <c r="L24">
        <f t="shared" si="0"/>
        <v>6.7</v>
      </c>
      <c r="N24">
        <v>21</v>
      </c>
      <c r="O24">
        <f>'[21]R03_GABM-data'!$K23</f>
        <v>7</v>
      </c>
      <c r="P24">
        <f>'[22]GABM_R03_RossAPI-data'!$K23</f>
        <v>8</v>
      </c>
      <c r="Q24">
        <f>'[23]GABM_R03_RandiAPI-data'!$K23</f>
        <v>8</v>
      </c>
      <c r="R24">
        <f>'[24]GABM_R03_NavidAPI-data'!$K23</f>
        <v>9</v>
      </c>
      <c r="S24">
        <f>'[25]GABM_R03_Terry-data'!$K23</f>
        <v>5</v>
      </c>
      <c r="T24">
        <f>'[26]GABM_R03_SarahAPI-data'!$K23</f>
        <v>4</v>
      </c>
      <c r="U24">
        <f>'[27]GABM_R03_savannah-data'!$K23</f>
        <v>6</v>
      </c>
      <c r="V24">
        <f>'[28]GABM_R03_MitchellAPI-data'!$K23</f>
        <v>3</v>
      </c>
      <c r="W24">
        <f>'[29]GABM_R03_SudipaAPI-data'!$K23</f>
        <v>0</v>
      </c>
      <c r="X24">
        <f>'[30]R03_GABM_run2-data'!$K23</f>
        <v>17</v>
      </c>
      <c r="Y24">
        <f t="shared" si="1"/>
        <v>6.7</v>
      </c>
    </row>
    <row r="25" spans="1:25" x14ac:dyDescent="0.35">
      <c r="A25">
        <v>22</v>
      </c>
      <c r="B25">
        <f>'[21]R03_GABM-data'!$K24</f>
        <v>15</v>
      </c>
      <c r="C25">
        <f>'[22]GABM_R03_RossAPI-data'!$K24</f>
        <v>5</v>
      </c>
      <c r="D25">
        <f>'[23]GABM_R03_RandiAPI-data'!$K24</f>
        <v>6</v>
      </c>
      <c r="E25">
        <f>'[24]GABM_R03_NavidAPI-data'!$K24</f>
        <v>9</v>
      </c>
      <c r="F25">
        <f>'[25]GABM_R03_Terry-data'!$K24</f>
        <v>9</v>
      </c>
      <c r="G25">
        <f>'[26]GABM_R03_SarahAPI-data'!$K24</f>
        <v>1</v>
      </c>
      <c r="H25">
        <f>'[27]GABM_R03_savannah-data'!$K24</f>
        <v>5</v>
      </c>
      <c r="I25">
        <f>'[28]GABM_R03_MitchellAPI-data'!$K24</f>
        <v>7</v>
      </c>
      <c r="J25">
        <f>'[29]GABM_R03_SudipaAPI-data'!$K24</f>
        <v>2</v>
      </c>
      <c r="K25">
        <f>'[30]R03_GABM_run2-data'!$K24</f>
        <v>13</v>
      </c>
      <c r="L25">
        <f t="shared" si="0"/>
        <v>7.2</v>
      </c>
      <c r="N25">
        <v>22</v>
      </c>
      <c r="O25">
        <f>'[21]R03_GABM-data'!$K24</f>
        <v>15</v>
      </c>
      <c r="P25">
        <f>'[22]GABM_R03_RossAPI-data'!$K24</f>
        <v>5</v>
      </c>
      <c r="Q25">
        <f>'[23]GABM_R03_RandiAPI-data'!$K24</f>
        <v>6</v>
      </c>
      <c r="R25">
        <f>'[24]GABM_R03_NavidAPI-data'!$K24</f>
        <v>9</v>
      </c>
      <c r="S25">
        <f>'[25]GABM_R03_Terry-data'!$K24</f>
        <v>9</v>
      </c>
      <c r="T25">
        <f>'[26]GABM_R03_SarahAPI-data'!$K24</f>
        <v>1</v>
      </c>
      <c r="U25">
        <f>'[27]GABM_R03_savannah-data'!$K24</f>
        <v>5</v>
      </c>
      <c r="V25">
        <f>'[28]GABM_R03_MitchellAPI-data'!$K24</f>
        <v>7</v>
      </c>
      <c r="W25">
        <f>'[29]GABM_R03_SudipaAPI-data'!$K24</f>
        <v>2</v>
      </c>
      <c r="X25">
        <f>'[30]R03_GABM_run2-data'!$K24</f>
        <v>13</v>
      </c>
      <c r="Y25">
        <f t="shared" si="1"/>
        <v>7.2</v>
      </c>
    </row>
    <row r="26" spans="1:25" x14ac:dyDescent="0.35">
      <c r="A26">
        <v>23</v>
      </c>
      <c r="B26">
        <f>'[21]R03_GABM-data'!$K25</f>
        <v>15</v>
      </c>
      <c r="C26">
        <f>'[22]GABM_R03_RossAPI-data'!$K25</f>
        <v>6</v>
      </c>
      <c r="D26">
        <f>'[23]GABM_R03_RandiAPI-data'!$K25</f>
        <v>5</v>
      </c>
      <c r="E26">
        <f>'[24]GABM_R03_NavidAPI-data'!$K25</f>
        <v>9</v>
      </c>
      <c r="F26">
        <f>'[25]GABM_R03_Terry-data'!$K25</f>
        <v>11</v>
      </c>
      <c r="G26">
        <f>'[26]GABM_R03_SarahAPI-data'!$K25</f>
        <v>5</v>
      </c>
      <c r="H26">
        <f>'[27]GABM_R03_savannah-data'!$K25</f>
        <v>8</v>
      </c>
      <c r="I26">
        <f>'[28]GABM_R03_MitchellAPI-data'!$K25</f>
        <v>1</v>
      </c>
      <c r="J26">
        <f>'[29]GABM_R03_SudipaAPI-data'!$K25</f>
        <v>2</v>
      </c>
      <c r="K26">
        <f>'[30]R03_GABM_run2-data'!$K25</f>
        <v>10</v>
      </c>
      <c r="L26">
        <f t="shared" si="0"/>
        <v>7.2</v>
      </c>
      <c r="N26">
        <v>23</v>
      </c>
      <c r="O26">
        <f>'[21]R03_GABM-data'!$K25</f>
        <v>15</v>
      </c>
      <c r="P26">
        <f>'[22]GABM_R03_RossAPI-data'!$K25</f>
        <v>6</v>
      </c>
      <c r="Q26">
        <f>'[23]GABM_R03_RandiAPI-data'!$K25</f>
        <v>5</v>
      </c>
      <c r="R26">
        <f>'[24]GABM_R03_NavidAPI-data'!$K25</f>
        <v>9</v>
      </c>
      <c r="S26">
        <f>'[25]GABM_R03_Terry-data'!$K25</f>
        <v>11</v>
      </c>
      <c r="T26">
        <f>'[26]GABM_R03_SarahAPI-data'!$K25</f>
        <v>5</v>
      </c>
      <c r="U26">
        <f>'[27]GABM_R03_savannah-data'!$K25</f>
        <v>8</v>
      </c>
      <c r="V26">
        <f>'[28]GABM_R03_MitchellAPI-data'!$K25</f>
        <v>1</v>
      </c>
      <c r="W26">
        <f>'[29]GABM_R03_SudipaAPI-data'!$K25</f>
        <v>2</v>
      </c>
      <c r="X26">
        <f>'[30]R03_GABM_run2-data'!$K25</f>
        <v>10</v>
      </c>
      <c r="Y26">
        <f t="shared" si="1"/>
        <v>7.2</v>
      </c>
    </row>
    <row r="27" spans="1:25" x14ac:dyDescent="0.35">
      <c r="A27">
        <v>24</v>
      </c>
      <c r="B27">
        <f>'[21]R03_GABM-data'!$K26</f>
        <v>8</v>
      </c>
      <c r="C27">
        <f>'[22]GABM_R03_RossAPI-data'!$K26</f>
        <v>4</v>
      </c>
      <c r="D27">
        <f>'[23]GABM_R03_RandiAPI-data'!$K26</f>
        <v>4</v>
      </c>
      <c r="E27">
        <f>'[24]GABM_R03_NavidAPI-data'!$K26</f>
        <v>6</v>
      </c>
      <c r="F27">
        <f>'[25]GABM_R03_Terry-data'!$K26</f>
        <v>10</v>
      </c>
      <c r="G27">
        <f>'[26]GABM_R03_SarahAPI-data'!$K26</f>
        <v>5</v>
      </c>
      <c r="H27">
        <f>'[27]GABM_R03_savannah-data'!$K26</f>
        <v>10</v>
      </c>
      <c r="I27">
        <f>'[28]GABM_R03_MitchellAPI-data'!$K26</f>
        <v>4</v>
      </c>
      <c r="J27">
        <f>'[29]GABM_R03_SudipaAPI-data'!$K26</f>
        <v>0</v>
      </c>
      <c r="K27">
        <f>'[30]R03_GABM_run2-data'!$K26</f>
        <v>7</v>
      </c>
      <c r="L27">
        <f t="shared" si="0"/>
        <v>5.8</v>
      </c>
      <c r="N27">
        <v>24</v>
      </c>
      <c r="O27">
        <f>'[21]R03_GABM-data'!$K26</f>
        <v>8</v>
      </c>
      <c r="P27">
        <f>'[22]GABM_R03_RossAPI-data'!$K26</f>
        <v>4</v>
      </c>
      <c r="Q27">
        <f>'[23]GABM_R03_RandiAPI-data'!$K26</f>
        <v>4</v>
      </c>
      <c r="R27">
        <f>'[24]GABM_R03_NavidAPI-data'!$K26</f>
        <v>6</v>
      </c>
      <c r="S27">
        <f>'[25]GABM_R03_Terry-data'!$K26</f>
        <v>10</v>
      </c>
      <c r="T27">
        <f>'[26]GABM_R03_SarahAPI-data'!$K26</f>
        <v>5</v>
      </c>
      <c r="U27">
        <f>'[27]GABM_R03_savannah-data'!$K26</f>
        <v>10</v>
      </c>
      <c r="V27">
        <f>'[28]GABM_R03_MitchellAPI-data'!$K26</f>
        <v>4</v>
      </c>
      <c r="W27">
        <f>'[29]GABM_R03_SudipaAPI-data'!$K26</f>
        <v>0</v>
      </c>
      <c r="X27">
        <f>'[30]R03_GABM_run2-data'!$K26</f>
        <v>7</v>
      </c>
      <c r="Y27">
        <f t="shared" si="1"/>
        <v>5.8</v>
      </c>
    </row>
    <row r="28" spans="1:25" x14ac:dyDescent="0.35">
      <c r="A28">
        <v>25</v>
      </c>
      <c r="B28">
        <f>'[21]R03_GABM-data'!$K27</f>
        <v>6</v>
      </c>
      <c r="C28">
        <f>'[22]GABM_R03_RossAPI-data'!$K27</f>
        <v>3</v>
      </c>
      <c r="D28">
        <f>'[23]GABM_R03_RandiAPI-data'!$K27</f>
        <v>4</v>
      </c>
      <c r="E28">
        <f>'[24]GABM_R03_NavidAPI-data'!$K27</f>
        <v>10</v>
      </c>
      <c r="F28">
        <f>'[25]GABM_R03_Terry-data'!$K27</f>
        <v>5</v>
      </c>
      <c r="G28">
        <f>'[26]GABM_R03_SarahAPI-data'!$K27</f>
        <v>5</v>
      </c>
      <c r="H28">
        <f>'[27]GABM_R03_savannah-data'!$K27</f>
        <v>10</v>
      </c>
      <c r="I28">
        <f>'[28]GABM_R03_MitchellAPI-data'!$K27</f>
        <v>4</v>
      </c>
      <c r="J28">
        <f>'[29]GABM_R03_SudipaAPI-data'!$K27</f>
        <v>9</v>
      </c>
      <c r="K28">
        <f>'[30]R03_GABM_run2-data'!$K27</f>
        <v>7</v>
      </c>
      <c r="L28">
        <f t="shared" si="0"/>
        <v>6.3</v>
      </c>
      <c r="N28">
        <v>25</v>
      </c>
      <c r="O28">
        <f>'[21]R03_GABM-data'!$K27</f>
        <v>6</v>
      </c>
      <c r="P28">
        <f>'[22]GABM_R03_RossAPI-data'!$K27</f>
        <v>3</v>
      </c>
      <c r="Q28">
        <f>'[23]GABM_R03_RandiAPI-data'!$K27</f>
        <v>4</v>
      </c>
      <c r="R28">
        <f>'[24]GABM_R03_NavidAPI-data'!$K27</f>
        <v>10</v>
      </c>
      <c r="S28">
        <f>'[25]GABM_R03_Terry-data'!$K27</f>
        <v>5</v>
      </c>
      <c r="T28">
        <f>'[26]GABM_R03_SarahAPI-data'!$K27</f>
        <v>5</v>
      </c>
      <c r="U28">
        <f>'[27]GABM_R03_savannah-data'!$K27</f>
        <v>10</v>
      </c>
      <c r="V28">
        <f>'[28]GABM_R03_MitchellAPI-data'!$K27</f>
        <v>4</v>
      </c>
      <c r="W28">
        <f>'[29]GABM_R03_SudipaAPI-data'!$K27</f>
        <v>9</v>
      </c>
      <c r="X28">
        <f>'[30]R03_GABM_run2-data'!$K27</f>
        <v>7</v>
      </c>
      <c r="Y28">
        <f t="shared" si="1"/>
        <v>6.3</v>
      </c>
    </row>
    <row r="29" spans="1:25" x14ac:dyDescent="0.35">
      <c r="A29">
        <v>26</v>
      </c>
      <c r="B29">
        <f>'[21]R03_GABM-data'!$K28</f>
        <v>1</v>
      </c>
      <c r="C29">
        <f>'[22]GABM_R03_RossAPI-data'!$K28</f>
        <v>2</v>
      </c>
      <c r="D29">
        <f>'[23]GABM_R03_RandiAPI-data'!$K28</f>
        <v>4</v>
      </c>
      <c r="E29">
        <f>'[24]GABM_R03_NavidAPI-data'!$K28</f>
        <v>7</v>
      </c>
      <c r="F29">
        <f>'[25]GABM_R03_Terry-data'!$K28</f>
        <v>9</v>
      </c>
      <c r="G29">
        <f>'[26]GABM_R03_SarahAPI-data'!$K28</f>
        <v>5</v>
      </c>
      <c r="H29">
        <f>'[27]GABM_R03_savannah-data'!$K28</f>
        <v>7</v>
      </c>
      <c r="I29">
        <f>'[28]GABM_R03_MitchellAPI-data'!$K28</f>
        <v>3</v>
      </c>
      <c r="J29">
        <f>'[29]GABM_R03_SudipaAPI-data'!$K28</f>
        <v>6</v>
      </c>
      <c r="K29">
        <f>'[30]R03_GABM_run2-data'!$K28</f>
        <v>5</v>
      </c>
      <c r="L29">
        <f t="shared" si="0"/>
        <v>4.9000000000000004</v>
      </c>
      <c r="N29">
        <v>26</v>
      </c>
      <c r="O29">
        <f>'[21]R03_GABM-data'!$K28</f>
        <v>1</v>
      </c>
      <c r="P29">
        <f>'[22]GABM_R03_RossAPI-data'!$K28</f>
        <v>2</v>
      </c>
      <c r="Q29">
        <f>'[23]GABM_R03_RandiAPI-data'!$K28</f>
        <v>4</v>
      </c>
      <c r="R29">
        <f>'[24]GABM_R03_NavidAPI-data'!$K28</f>
        <v>7</v>
      </c>
      <c r="S29">
        <f>'[25]GABM_R03_Terry-data'!$K28</f>
        <v>9</v>
      </c>
      <c r="T29">
        <f>'[26]GABM_R03_SarahAPI-data'!$K28</f>
        <v>5</v>
      </c>
      <c r="U29">
        <f>'[27]GABM_R03_savannah-data'!$K28</f>
        <v>7</v>
      </c>
      <c r="V29">
        <f>'[28]GABM_R03_MitchellAPI-data'!$K28</f>
        <v>3</v>
      </c>
      <c r="W29">
        <f>'[29]GABM_R03_SudipaAPI-data'!$K28</f>
        <v>6</v>
      </c>
      <c r="X29">
        <f>'[30]R03_GABM_run2-data'!$K28</f>
        <v>5</v>
      </c>
      <c r="Y29">
        <f t="shared" si="1"/>
        <v>4.9000000000000004</v>
      </c>
    </row>
    <row r="30" spans="1:25" x14ac:dyDescent="0.35">
      <c r="A30">
        <v>27</v>
      </c>
      <c r="B30">
        <f>'[21]R03_GABM-data'!$K29</f>
        <v>0</v>
      </c>
      <c r="C30">
        <f>'[22]GABM_R03_RossAPI-data'!$K29</f>
        <v>4</v>
      </c>
      <c r="D30">
        <f>'[23]GABM_R03_RandiAPI-data'!$K29</f>
        <v>3</v>
      </c>
      <c r="E30">
        <f>'[24]GABM_R03_NavidAPI-data'!$K29</f>
        <v>11</v>
      </c>
      <c r="F30">
        <f>'[25]GABM_R03_Terry-data'!$K29</f>
        <v>4</v>
      </c>
      <c r="G30">
        <f>'[26]GABM_R03_SarahAPI-data'!$K29</f>
        <v>2</v>
      </c>
      <c r="H30">
        <f>'[27]GABM_R03_savannah-data'!$K29</f>
        <v>7</v>
      </c>
      <c r="I30">
        <f>'[28]GABM_R03_MitchellAPI-data'!$K29</f>
        <v>3</v>
      </c>
      <c r="J30">
        <f>'[29]GABM_R03_SudipaAPI-data'!$K29</f>
        <v>9</v>
      </c>
      <c r="K30">
        <f>'[30]R03_GABM_run2-data'!$K29</f>
        <v>11</v>
      </c>
      <c r="L30">
        <f t="shared" si="0"/>
        <v>5.4</v>
      </c>
      <c r="N30">
        <v>27</v>
      </c>
      <c r="O30">
        <f>'[21]R03_GABM-data'!$K29</f>
        <v>0</v>
      </c>
      <c r="P30">
        <f>'[22]GABM_R03_RossAPI-data'!$K29</f>
        <v>4</v>
      </c>
      <c r="Q30">
        <f>'[23]GABM_R03_RandiAPI-data'!$K29</f>
        <v>3</v>
      </c>
      <c r="R30">
        <f>'[24]GABM_R03_NavidAPI-data'!$K29</f>
        <v>11</v>
      </c>
      <c r="S30">
        <f>'[25]GABM_R03_Terry-data'!$K29</f>
        <v>4</v>
      </c>
      <c r="T30">
        <f>'[26]GABM_R03_SarahAPI-data'!$K29</f>
        <v>2</v>
      </c>
      <c r="U30">
        <f>'[27]GABM_R03_savannah-data'!$K29</f>
        <v>7</v>
      </c>
      <c r="V30">
        <f>'[28]GABM_R03_MitchellAPI-data'!$K29</f>
        <v>3</v>
      </c>
      <c r="W30">
        <f>'[29]GABM_R03_SudipaAPI-data'!$K29</f>
        <v>9</v>
      </c>
      <c r="X30">
        <f>'[30]R03_GABM_run2-data'!$K29</f>
        <v>11</v>
      </c>
      <c r="Y30">
        <f t="shared" si="1"/>
        <v>5.4</v>
      </c>
    </row>
    <row r="31" spans="1:25" x14ac:dyDescent="0.35">
      <c r="A31">
        <v>28</v>
      </c>
      <c r="B31">
        <f>'[21]R03_GABM-data'!$K30</f>
        <v>2</v>
      </c>
      <c r="C31">
        <f>'[22]GABM_R03_RossAPI-data'!$K30</f>
        <v>6</v>
      </c>
      <c r="D31">
        <f>'[23]GABM_R03_RandiAPI-data'!$K30</f>
        <v>5</v>
      </c>
      <c r="E31">
        <f>'[24]GABM_R03_NavidAPI-data'!$K30</f>
        <v>7</v>
      </c>
      <c r="F31">
        <f>'[25]GABM_R03_Terry-data'!$K30</f>
        <v>13</v>
      </c>
      <c r="G31">
        <f>'[26]GABM_R03_SarahAPI-data'!$K30</f>
        <v>4</v>
      </c>
      <c r="H31">
        <f>'[27]GABM_R03_savannah-data'!$K30</f>
        <v>12</v>
      </c>
      <c r="I31">
        <f>'[28]GABM_R03_MitchellAPI-data'!$K30</f>
        <v>0</v>
      </c>
      <c r="J31">
        <f>'[29]GABM_R03_SudipaAPI-data'!$K30</f>
        <v>21</v>
      </c>
      <c r="K31">
        <f>'[30]R03_GABM_run2-data'!$K30</f>
        <v>7</v>
      </c>
      <c r="L31">
        <f t="shared" si="0"/>
        <v>7.7</v>
      </c>
      <c r="N31">
        <v>28</v>
      </c>
      <c r="O31">
        <f>'[21]R03_GABM-data'!$K30</f>
        <v>2</v>
      </c>
      <c r="P31">
        <f>'[22]GABM_R03_RossAPI-data'!$K30</f>
        <v>6</v>
      </c>
      <c r="Q31">
        <f>'[23]GABM_R03_RandiAPI-data'!$K30</f>
        <v>5</v>
      </c>
      <c r="R31">
        <f>'[24]GABM_R03_NavidAPI-data'!$K30</f>
        <v>7</v>
      </c>
      <c r="S31">
        <f>'[25]GABM_R03_Terry-data'!$K30</f>
        <v>13</v>
      </c>
      <c r="T31">
        <f>'[26]GABM_R03_SarahAPI-data'!$K30</f>
        <v>4</v>
      </c>
      <c r="U31">
        <f>'[27]GABM_R03_savannah-data'!$K30</f>
        <v>12</v>
      </c>
      <c r="V31">
        <f>'[28]GABM_R03_MitchellAPI-data'!$K30</f>
        <v>0</v>
      </c>
      <c r="W31">
        <f>'[29]GABM_R03_SudipaAPI-data'!$K30</f>
        <v>21</v>
      </c>
      <c r="X31">
        <f>'[30]R03_GABM_run2-data'!$K30</f>
        <v>7</v>
      </c>
      <c r="Y31">
        <f t="shared" si="1"/>
        <v>7.7</v>
      </c>
    </row>
    <row r="32" spans="1:25" x14ac:dyDescent="0.35">
      <c r="A32">
        <v>29</v>
      </c>
      <c r="B32">
        <f>'[21]R03_GABM-data'!$K31</f>
        <v>0</v>
      </c>
      <c r="C32">
        <f>'[22]GABM_R03_RossAPI-data'!$K31</f>
        <v>8</v>
      </c>
      <c r="D32">
        <f>'[23]GABM_R03_RandiAPI-data'!$K31</f>
        <v>4</v>
      </c>
      <c r="E32">
        <f>'[24]GABM_R03_NavidAPI-data'!$K31</f>
        <v>12</v>
      </c>
      <c r="F32">
        <f>'[25]GABM_R03_Terry-data'!$K31</f>
        <v>4</v>
      </c>
      <c r="G32">
        <f>'[26]GABM_R03_SarahAPI-data'!$K31</f>
        <v>1</v>
      </c>
      <c r="H32">
        <f>'[27]GABM_R03_savannah-data'!$K31</f>
        <v>18</v>
      </c>
      <c r="I32">
        <f>'[28]GABM_R03_MitchellAPI-data'!$K31</f>
        <v>2</v>
      </c>
      <c r="J32">
        <f>'[29]GABM_R03_SudipaAPI-data'!$K31</f>
        <v>9</v>
      </c>
      <c r="K32">
        <f>'[30]R03_GABM_run2-data'!$K31</f>
        <v>12</v>
      </c>
      <c r="L32">
        <f t="shared" si="0"/>
        <v>7</v>
      </c>
      <c r="N32">
        <v>29</v>
      </c>
      <c r="O32">
        <f>'[21]R03_GABM-data'!$K31</f>
        <v>0</v>
      </c>
      <c r="P32">
        <f>'[22]GABM_R03_RossAPI-data'!$K31</f>
        <v>8</v>
      </c>
      <c r="Q32">
        <f>'[23]GABM_R03_RandiAPI-data'!$K31</f>
        <v>4</v>
      </c>
      <c r="R32">
        <f>'[24]GABM_R03_NavidAPI-data'!$K31</f>
        <v>12</v>
      </c>
      <c r="S32">
        <f>'[25]GABM_R03_Terry-data'!$K31</f>
        <v>4</v>
      </c>
      <c r="T32">
        <f>'[26]GABM_R03_SarahAPI-data'!$K31</f>
        <v>1</v>
      </c>
      <c r="U32">
        <f>'[27]GABM_R03_savannah-data'!$K31</f>
        <v>18</v>
      </c>
      <c r="V32">
        <f>'[28]GABM_R03_MitchellAPI-data'!$K31</f>
        <v>2</v>
      </c>
      <c r="W32">
        <f>'[29]GABM_R03_SudipaAPI-data'!$K31</f>
        <v>9</v>
      </c>
      <c r="X32">
        <f>'[30]R03_GABM_run2-data'!$K31</f>
        <v>12</v>
      </c>
      <c r="Y32">
        <f t="shared" si="1"/>
        <v>7</v>
      </c>
    </row>
    <row r="33" spans="1:25" x14ac:dyDescent="0.35">
      <c r="A33">
        <v>30</v>
      </c>
      <c r="B33">
        <f>'[21]R03_GABM-data'!$K32</f>
        <v>1</v>
      </c>
      <c r="C33">
        <f>'[22]GABM_R03_RossAPI-data'!$K32</f>
        <v>11</v>
      </c>
      <c r="D33">
        <f>'[23]GABM_R03_RandiAPI-data'!$K32</f>
        <v>7</v>
      </c>
      <c r="E33">
        <f>'[24]GABM_R03_NavidAPI-data'!$K32</f>
        <v>12</v>
      </c>
      <c r="F33">
        <f>'[25]GABM_R03_Terry-data'!$K32</f>
        <v>8</v>
      </c>
      <c r="G33">
        <f>'[26]GABM_R03_SarahAPI-data'!$K32</f>
        <v>2</v>
      </c>
      <c r="H33">
        <f>'[27]GABM_R03_savannah-data'!$K32</f>
        <v>16</v>
      </c>
      <c r="I33">
        <f>'[28]GABM_R03_MitchellAPI-data'!$K32</f>
        <v>1</v>
      </c>
      <c r="J33">
        <f>'[29]GABM_R03_SudipaAPI-data'!$K32</f>
        <v>15</v>
      </c>
      <c r="K33">
        <f>'[30]R03_GABM_run2-data'!$K32</f>
        <v>5</v>
      </c>
      <c r="L33">
        <f t="shared" si="0"/>
        <v>7.8</v>
      </c>
      <c r="N33">
        <v>30</v>
      </c>
      <c r="O33">
        <f>'[21]R03_GABM-data'!$K32</f>
        <v>1</v>
      </c>
      <c r="P33">
        <f>'[22]GABM_R03_RossAPI-data'!$K32</f>
        <v>11</v>
      </c>
      <c r="Q33">
        <f>'[23]GABM_R03_RandiAPI-data'!$K32</f>
        <v>7</v>
      </c>
      <c r="R33">
        <f>'[24]GABM_R03_NavidAPI-data'!$K32</f>
        <v>12</v>
      </c>
      <c r="S33">
        <f>'[25]GABM_R03_Terry-data'!$K32</f>
        <v>8</v>
      </c>
      <c r="T33">
        <f>'[26]GABM_R03_SarahAPI-data'!$K32</f>
        <v>2</v>
      </c>
      <c r="U33">
        <f>'[27]GABM_R03_savannah-data'!$K32</f>
        <v>16</v>
      </c>
      <c r="V33">
        <f>'[28]GABM_R03_MitchellAPI-data'!$K32</f>
        <v>1</v>
      </c>
      <c r="W33">
        <f>'[29]GABM_R03_SudipaAPI-data'!$K32</f>
        <v>15</v>
      </c>
      <c r="X33">
        <f>'[30]R03_GABM_run2-data'!$K32</f>
        <v>5</v>
      </c>
      <c r="Y33">
        <f t="shared" si="1"/>
        <v>7.8</v>
      </c>
    </row>
    <row r="34" spans="1:25" x14ac:dyDescent="0.35">
      <c r="A34">
        <v>31</v>
      </c>
      <c r="B34">
        <f>'[21]R03_GABM-data'!$K33</f>
        <v>5</v>
      </c>
      <c r="C34">
        <f>'[22]GABM_R03_RossAPI-data'!$K33</f>
        <v>13</v>
      </c>
      <c r="D34">
        <f>'[23]GABM_R03_RandiAPI-data'!$K33</f>
        <v>5</v>
      </c>
      <c r="E34">
        <f>'[24]GABM_R03_NavidAPI-data'!$K33</f>
        <v>9</v>
      </c>
      <c r="F34">
        <f>'[25]GABM_R03_Terry-data'!$K33</f>
        <v>3</v>
      </c>
      <c r="G34">
        <f>'[26]GABM_R03_SarahAPI-data'!$K33</f>
        <v>1</v>
      </c>
      <c r="H34">
        <f>'[27]GABM_R03_savannah-data'!$K33</f>
        <v>19</v>
      </c>
      <c r="I34">
        <f>'[28]GABM_R03_MitchellAPI-data'!$K33</f>
        <v>0</v>
      </c>
      <c r="J34">
        <f>'[29]GABM_R03_SudipaAPI-data'!$K33</f>
        <v>15</v>
      </c>
      <c r="K34">
        <f>'[30]R03_GABM_run2-data'!$K33</f>
        <v>8</v>
      </c>
      <c r="L34">
        <f t="shared" si="0"/>
        <v>7.8</v>
      </c>
      <c r="N34">
        <v>31</v>
      </c>
      <c r="O34">
        <f>'[21]R03_GABM-data'!$K33</f>
        <v>5</v>
      </c>
      <c r="P34">
        <f>'[22]GABM_R03_RossAPI-data'!$K33</f>
        <v>13</v>
      </c>
      <c r="Q34">
        <f>'[23]GABM_R03_RandiAPI-data'!$K33</f>
        <v>5</v>
      </c>
      <c r="R34">
        <f>'[24]GABM_R03_NavidAPI-data'!$K33</f>
        <v>9</v>
      </c>
      <c r="S34">
        <f>'[25]GABM_R03_Terry-data'!$K33</f>
        <v>3</v>
      </c>
      <c r="T34">
        <f>'[26]GABM_R03_SarahAPI-data'!$K33</f>
        <v>1</v>
      </c>
      <c r="U34">
        <f>'[27]GABM_R03_savannah-data'!$K33</f>
        <v>19</v>
      </c>
      <c r="V34">
        <f>'[28]GABM_R03_MitchellAPI-data'!$K33</f>
        <v>0</v>
      </c>
      <c r="W34">
        <f>'[29]GABM_R03_SudipaAPI-data'!$K33</f>
        <v>15</v>
      </c>
      <c r="X34">
        <f>'[30]R03_GABM_run2-data'!$K33</f>
        <v>8</v>
      </c>
      <c r="Y34">
        <f t="shared" si="1"/>
        <v>7.8</v>
      </c>
    </row>
    <row r="35" spans="1:25" x14ac:dyDescent="0.35">
      <c r="A35">
        <v>32</v>
      </c>
      <c r="B35">
        <f>'[21]R03_GABM-data'!$K34</f>
        <v>6</v>
      </c>
      <c r="C35">
        <f>'[22]GABM_R03_RossAPI-data'!$K34</f>
        <v>12</v>
      </c>
      <c r="D35">
        <f>'[23]GABM_R03_RandiAPI-data'!$K34</f>
        <v>3</v>
      </c>
      <c r="E35">
        <f>'[24]GABM_R03_NavidAPI-data'!$K34</f>
        <v>17</v>
      </c>
      <c r="F35">
        <f>'[25]GABM_R03_Terry-data'!$K34</f>
        <v>0</v>
      </c>
      <c r="G35">
        <f>'[26]GABM_R03_SarahAPI-data'!$K34</f>
        <v>1</v>
      </c>
      <c r="H35">
        <f>'[27]GABM_R03_savannah-data'!$K34</f>
        <v>13</v>
      </c>
      <c r="I35">
        <f>'[28]GABM_R03_MitchellAPI-data'!$K34</f>
        <v>5</v>
      </c>
      <c r="J35">
        <f>'[29]GABM_R03_SudipaAPI-data'!$K34</f>
        <v>5</v>
      </c>
      <c r="K35">
        <f>'[30]R03_GABM_run2-data'!$K34</f>
        <v>8</v>
      </c>
      <c r="L35">
        <f t="shared" si="0"/>
        <v>7</v>
      </c>
      <c r="N35">
        <v>32</v>
      </c>
      <c r="O35">
        <f>'[21]R03_GABM-data'!$K34</f>
        <v>6</v>
      </c>
      <c r="P35">
        <f>'[22]GABM_R03_RossAPI-data'!$K34</f>
        <v>12</v>
      </c>
      <c r="Q35">
        <f>'[23]GABM_R03_RandiAPI-data'!$K34</f>
        <v>3</v>
      </c>
      <c r="R35">
        <f>'[24]GABM_R03_NavidAPI-data'!$K34</f>
        <v>17</v>
      </c>
      <c r="S35">
        <f>'[25]GABM_R03_Terry-data'!$K34</f>
        <v>0</v>
      </c>
      <c r="T35">
        <f>'[26]GABM_R03_SarahAPI-data'!$K34</f>
        <v>1</v>
      </c>
      <c r="U35">
        <f>'[27]GABM_R03_savannah-data'!$K34</f>
        <v>13</v>
      </c>
      <c r="V35">
        <f>'[28]GABM_R03_MitchellAPI-data'!$K34</f>
        <v>5</v>
      </c>
      <c r="W35">
        <f>'[29]GABM_R03_SudipaAPI-data'!$K34</f>
        <v>5</v>
      </c>
      <c r="X35">
        <f>'[30]R03_GABM_run2-data'!$K34</f>
        <v>8</v>
      </c>
      <c r="Y35">
        <f t="shared" si="1"/>
        <v>7</v>
      </c>
    </row>
    <row r="36" spans="1:25" x14ac:dyDescent="0.35">
      <c r="A36">
        <v>33</v>
      </c>
      <c r="B36">
        <f>'[21]R03_GABM-data'!$K35</f>
        <v>7</v>
      </c>
      <c r="C36">
        <f>'[22]GABM_R03_RossAPI-data'!$K35</f>
        <v>6</v>
      </c>
      <c r="D36">
        <f>'[23]GABM_R03_RandiAPI-data'!$K35</f>
        <v>2</v>
      </c>
      <c r="E36">
        <f>'[24]GABM_R03_NavidAPI-data'!$K35</f>
        <v>10</v>
      </c>
      <c r="F36">
        <f>'[25]GABM_R03_Terry-data'!$K35</f>
        <v>4</v>
      </c>
      <c r="G36">
        <f>'[26]GABM_R03_SarahAPI-data'!$K35</f>
        <v>2</v>
      </c>
      <c r="H36">
        <f>'[27]GABM_R03_savannah-data'!$K35</f>
        <v>10</v>
      </c>
      <c r="I36">
        <f>'[28]GABM_R03_MitchellAPI-data'!$K35</f>
        <v>5</v>
      </c>
      <c r="J36">
        <f>'[29]GABM_R03_SudipaAPI-data'!$K35</f>
        <v>6</v>
      </c>
      <c r="K36">
        <f>'[30]R03_GABM_run2-data'!$K35</f>
        <v>3</v>
      </c>
      <c r="L36">
        <f t="shared" si="0"/>
        <v>5.5</v>
      </c>
      <c r="N36">
        <v>33</v>
      </c>
      <c r="O36">
        <f>'[21]R03_GABM-data'!$K35</f>
        <v>7</v>
      </c>
      <c r="P36">
        <f>'[22]GABM_R03_RossAPI-data'!$K35</f>
        <v>6</v>
      </c>
      <c r="Q36">
        <f>'[23]GABM_R03_RandiAPI-data'!$K35</f>
        <v>2</v>
      </c>
      <c r="R36">
        <f>'[24]GABM_R03_NavidAPI-data'!$K35</f>
        <v>10</v>
      </c>
      <c r="S36">
        <f>'[25]GABM_R03_Terry-data'!$K35</f>
        <v>4</v>
      </c>
      <c r="T36">
        <f>'[26]GABM_R03_SarahAPI-data'!$K35</f>
        <v>2</v>
      </c>
      <c r="U36">
        <f>'[27]GABM_R03_savannah-data'!$K35</f>
        <v>10</v>
      </c>
      <c r="V36">
        <f>'[28]GABM_R03_MitchellAPI-data'!$K35</f>
        <v>5</v>
      </c>
      <c r="W36">
        <f>'[29]GABM_R03_SudipaAPI-data'!$K35</f>
        <v>6</v>
      </c>
      <c r="X36">
        <f>'[30]R03_GABM_run2-data'!$K35</f>
        <v>3</v>
      </c>
      <c r="Y36">
        <f t="shared" si="1"/>
        <v>5.5</v>
      </c>
    </row>
    <row r="37" spans="1:25" x14ac:dyDescent="0.35">
      <c r="A37">
        <v>34</v>
      </c>
      <c r="B37">
        <f>'[21]R03_GABM-data'!$K36</f>
        <v>3</v>
      </c>
      <c r="C37">
        <f>'[22]GABM_R03_RossAPI-data'!$K36</f>
        <v>4</v>
      </c>
      <c r="D37">
        <f>'[23]GABM_R03_RandiAPI-data'!$K36</f>
        <v>2</v>
      </c>
      <c r="E37">
        <f>'[24]GABM_R03_NavidAPI-data'!$K36</f>
        <v>8</v>
      </c>
      <c r="F37">
        <f>'[25]GABM_R03_Terry-data'!$K36</f>
        <v>1</v>
      </c>
      <c r="G37">
        <f>'[26]GABM_R03_SarahAPI-data'!$K36</f>
        <v>1</v>
      </c>
      <c r="H37">
        <f>'[27]GABM_R03_savannah-data'!$K36</f>
        <v>6</v>
      </c>
      <c r="I37">
        <f>'[28]GABM_R03_MitchellAPI-data'!$K36</f>
        <v>6</v>
      </c>
      <c r="J37">
        <f>'[29]GABM_R03_SudipaAPI-data'!$K36</f>
        <v>2</v>
      </c>
      <c r="K37">
        <f>'[30]R03_GABM_run2-data'!$K36</f>
        <v>2</v>
      </c>
      <c r="L37">
        <f t="shared" si="0"/>
        <v>3.5</v>
      </c>
      <c r="N37">
        <v>34</v>
      </c>
      <c r="O37">
        <f>'[21]R03_GABM-data'!$K36</f>
        <v>3</v>
      </c>
      <c r="P37">
        <f>'[22]GABM_R03_RossAPI-data'!$K36</f>
        <v>4</v>
      </c>
      <c r="Q37">
        <f>'[23]GABM_R03_RandiAPI-data'!$K36</f>
        <v>2</v>
      </c>
      <c r="R37">
        <f>'[24]GABM_R03_NavidAPI-data'!$K36</f>
        <v>8</v>
      </c>
      <c r="S37">
        <f>'[25]GABM_R03_Terry-data'!$K36</f>
        <v>1</v>
      </c>
      <c r="T37">
        <f>'[26]GABM_R03_SarahAPI-data'!$K36</f>
        <v>1</v>
      </c>
      <c r="U37">
        <f>'[27]GABM_R03_savannah-data'!$K36</f>
        <v>6</v>
      </c>
      <c r="V37">
        <f>'[28]GABM_R03_MitchellAPI-data'!$K36</f>
        <v>6</v>
      </c>
      <c r="W37">
        <f>'[29]GABM_R03_SudipaAPI-data'!$K36</f>
        <v>2</v>
      </c>
      <c r="X37">
        <f>'[30]R03_GABM_run2-data'!$K36</f>
        <v>2</v>
      </c>
      <c r="Y37">
        <f t="shared" si="1"/>
        <v>3.5</v>
      </c>
    </row>
    <row r="38" spans="1:25" x14ac:dyDescent="0.35">
      <c r="A38">
        <v>35</v>
      </c>
      <c r="B38">
        <f>'[21]R03_GABM-data'!$K37</f>
        <v>2</v>
      </c>
      <c r="C38">
        <f>'[22]GABM_R03_RossAPI-data'!$K37</f>
        <v>2</v>
      </c>
      <c r="D38">
        <f>'[23]GABM_R03_RandiAPI-data'!$K37</f>
        <v>0</v>
      </c>
      <c r="E38">
        <f>'[24]GABM_R03_NavidAPI-data'!$K37</f>
        <v>7</v>
      </c>
      <c r="F38">
        <f>'[25]GABM_R03_Terry-data'!$K37</f>
        <v>1</v>
      </c>
      <c r="G38">
        <f>'[26]GABM_R03_SarahAPI-data'!$K37</f>
        <v>4</v>
      </c>
      <c r="H38">
        <f>'[27]GABM_R03_savannah-data'!$K37</f>
        <v>7</v>
      </c>
      <c r="I38">
        <f>'[28]GABM_R03_MitchellAPI-data'!$K37</f>
        <v>16</v>
      </c>
      <c r="J38">
        <f>'[29]GABM_R03_SudipaAPI-data'!$K37</f>
        <v>0</v>
      </c>
      <c r="K38">
        <f>'[30]R03_GABM_run2-data'!$K37</f>
        <v>7</v>
      </c>
      <c r="L38">
        <f t="shared" si="0"/>
        <v>4.5999999999999996</v>
      </c>
      <c r="N38">
        <v>35</v>
      </c>
      <c r="O38">
        <f>'[21]R03_GABM-data'!$K37</f>
        <v>2</v>
      </c>
      <c r="P38">
        <f>'[22]GABM_R03_RossAPI-data'!$K37</f>
        <v>2</v>
      </c>
      <c r="Q38">
        <f>'[23]GABM_R03_RandiAPI-data'!$K37</f>
        <v>0</v>
      </c>
      <c r="R38">
        <f>'[24]GABM_R03_NavidAPI-data'!$K37</f>
        <v>7</v>
      </c>
      <c r="S38">
        <f>'[25]GABM_R03_Terry-data'!$K37</f>
        <v>1</v>
      </c>
      <c r="T38">
        <f>'[26]GABM_R03_SarahAPI-data'!$K37</f>
        <v>4</v>
      </c>
      <c r="U38">
        <f>'[27]GABM_R03_savannah-data'!$K37</f>
        <v>7</v>
      </c>
      <c r="V38">
        <f>'[28]GABM_R03_MitchellAPI-data'!$K37</f>
        <v>16</v>
      </c>
      <c r="W38">
        <f>'[29]GABM_R03_SudipaAPI-data'!$K37</f>
        <v>0</v>
      </c>
      <c r="X38">
        <f>'[30]R03_GABM_run2-data'!$K37</f>
        <v>7</v>
      </c>
      <c r="Y38">
        <f t="shared" si="1"/>
        <v>4.5999999999999996</v>
      </c>
    </row>
    <row r="39" spans="1:25" x14ac:dyDescent="0.35">
      <c r="A39">
        <v>36</v>
      </c>
      <c r="B39">
        <f>'[21]R03_GABM-data'!$K38</f>
        <v>4</v>
      </c>
      <c r="C39">
        <f>'[22]GABM_R03_RossAPI-data'!$K38</f>
        <v>4</v>
      </c>
      <c r="D39">
        <f>'[23]GABM_R03_RandiAPI-data'!$K38</f>
        <v>2</v>
      </c>
      <c r="E39">
        <f>'[24]GABM_R03_NavidAPI-data'!$K38</f>
        <v>5</v>
      </c>
      <c r="F39">
        <f>'[25]GABM_R03_Terry-data'!$K38</f>
        <v>10</v>
      </c>
      <c r="G39">
        <f>'[26]GABM_R03_SarahAPI-data'!$K38</f>
        <v>2</v>
      </c>
      <c r="H39">
        <f>'[27]GABM_R03_savannah-data'!$K38</f>
        <v>5</v>
      </c>
      <c r="I39">
        <f>'[28]GABM_R03_MitchellAPI-data'!$K38</f>
        <v>4</v>
      </c>
      <c r="J39">
        <f>'[29]GABM_R03_SudipaAPI-data'!$K38</f>
        <v>0</v>
      </c>
      <c r="K39">
        <f>'[30]R03_GABM_run2-data'!$K38</f>
        <v>3</v>
      </c>
      <c r="L39">
        <f t="shared" si="0"/>
        <v>3.9</v>
      </c>
      <c r="N39">
        <v>36</v>
      </c>
      <c r="O39">
        <f>'[21]R03_GABM-data'!$K38</f>
        <v>4</v>
      </c>
      <c r="P39">
        <f>'[22]GABM_R03_RossAPI-data'!$K38</f>
        <v>4</v>
      </c>
      <c r="Q39">
        <f>'[23]GABM_R03_RandiAPI-data'!$K38</f>
        <v>2</v>
      </c>
      <c r="R39">
        <f>'[24]GABM_R03_NavidAPI-data'!$K38</f>
        <v>5</v>
      </c>
      <c r="S39">
        <f>'[25]GABM_R03_Terry-data'!$K38</f>
        <v>10</v>
      </c>
      <c r="T39">
        <f>'[26]GABM_R03_SarahAPI-data'!$K38</f>
        <v>2</v>
      </c>
      <c r="U39">
        <f>'[27]GABM_R03_savannah-data'!$K38</f>
        <v>5</v>
      </c>
      <c r="V39">
        <f>'[28]GABM_R03_MitchellAPI-data'!$K38</f>
        <v>4</v>
      </c>
      <c r="W39">
        <f>'[29]GABM_R03_SudipaAPI-data'!$K38</f>
        <v>0</v>
      </c>
      <c r="X39">
        <f>'[30]R03_GABM_run2-data'!$K38</f>
        <v>3</v>
      </c>
      <c r="Y39">
        <f t="shared" si="1"/>
        <v>3.9</v>
      </c>
    </row>
    <row r="40" spans="1:25" x14ac:dyDescent="0.35">
      <c r="A40">
        <v>37</v>
      </c>
      <c r="B40">
        <f>'[21]R03_GABM-data'!$K39</f>
        <v>2</v>
      </c>
      <c r="C40">
        <f>'[22]GABM_R03_RossAPI-data'!$K39</f>
        <v>2</v>
      </c>
      <c r="D40">
        <f>'[23]GABM_R03_RandiAPI-data'!$K39</f>
        <v>0</v>
      </c>
      <c r="E40">
        <f>'[24]GABM_R03_NavidAPI-data'!$K39</f>
        <v>9</v>
      </c>
      <c r="F40">
        <f>'[25]GABM_R03_Terry-data'!$K39</f>
        <v>4</v>
      </c>
      <c r="G40">
        <f>'[26]GABM_R03_SarahAPI-data'!$K39</f>
        <v>2</v>
      </c>
      <c r="H40">
        <f>'[27]GABM_R03_savannah-data'!$K39</f>
        <v>7</v>
      </c>
      <c r="I40">
        <f>'[28]GABM_R03_MitchellAPI-data'!$K39</f>
        <v>8</v>
      </c>
      <c r="J40">
        <f>'[29]GABM_R03_SudipaAPI-data'!$K39</f>
        <v>0</v>
      </c>
      <c r="K40">
        <f>'[30]R03_GABM_run2-data'!$K39</f>
        <v>7</v>
      </c>
      <c r="L40">
        <f t="shared" si="0"/>
        <v>4.0999999999999996</v>
      </c>
      <c r="N40">
        <v>37</v>
      </c>
      <c r="O40">
        <f>'[21]R03_GABM-data'!$K39</f>
        <v>2</v>
      </c>
      <c r="P40">
        <f>'[22]GABM_R03_RossAPI-data'!$K39</f>
        <v>2</v>
      </c>
      <c r="Q40">
        <f>'[23]GABM_R03_RandiAPI-data'!$K39</f>
        <v>0</v>
      </c>
      <c r="R40">
        <f>'[24]GABM_R03_NavidAPI-data'!$K39</f>
        <v>9</v>
      </c>
      <c r="S40">
        <f>'[25]GABM_R03_Terry-data'!$K39</f>
        <v>4</v>
      </c>
      <c r="T40">
        <f>'[26]GABM_R03_SarahAPI-data'!$K39</f>
        <v>2</v>
      </c>
      <c r="U40">
        <f>'[27]GABM_R03_savannah-data'!$K39</f>
        <v>7</v>
      </c>
      <c r="V40">
        <f>'[28]GABM_R03_MitchellAPI-data'!$K39</f>
        <v>8</v>
      </c>
      <c r="W40">
        <f>'[29]GABM_R03_SudipaAPI-data'!$K39</f>
        <v>0</v>
      </c>
      <c r="X40">
        <f>'[30]R03_GABM_run2-data'!$K39</f>
        <v>7</v>
      </c>
      <c r="Y40">
        <f t="shared" si="1"/>
        <v>4.0999999999999996</v>
      </c>
    </row>
    <row r="41" spans="1:25" x14ac:dyDescent="0.35">
      <c r="A41">
        <v>38</v>
      </c>
      <c r="B41">
        <f>'[21]R03_GABM-data'!$K40</f>
        <v>2</v>
      </c>
      <c r="C41">
        <f>'[22]GABM_R03_RossAPI-data'!$K40</f>
        <v>6</v>
      </c>
      <c r="D41">
        <f>'[23]GABM_R03_RandiAPI-data'!$K40</f>
        <v>2</v>
      </c>
      <c r="E41">
        <f>'[24]GABM_R03_NavidAPI-data'!$K40</f>
        <v>5</v>
      </c>
      <c r="F41">
        <f>'[25]GABM_R03_Terry-data'!$K40</f>
        <v>8</v>
      </c>
      <c r="G41">
        <f>'[26]GABM_R03_SarahAPI-data'!$K40</f>
        <v>1</v>
      </c>
      <c r="H41">
        <f>'[27]GABM_R03_savannah-data'!$K40</f>
        <v>7</v>
      </c>
      <c r="I41">
        <f>'[28]GABM_R03_MitchellAPI-data'!$K40</f>
        <v>11</v>
      </c>
      <c r="J41">
        <f>'[29]GABM_R03_SudipaAPI-data'!$K40</f>
        <v>0</v>
      </c>
      <c r="K41">
        <f>'[30]R03_GABM_run2-data'!$K40</f>
        <v>8</v>
      </c>
      <c r="L41">
        <f t="shared" si="0"/>
        <v>5</v>
      </c>
      <c r="N41">
        <v>38</v>
      </c>
      <c r="O41">
        <f>'[21]R03_GABM-data'!$K40</f>
        <v>2</v>
      </c>
      <c r="P41">
        <f>'[22]GABM_R03_RossAPI-data'!$K40</f>
        <v>6</v>
      </c>
      <c r="Q41">
        <f>'[23]GABM_R03_RandiAPI-data'!$K40</f>
        <v>2</v>
      </c>
      <c r="R41">
        <f>'[24]GABM_R03_NavidAPI-data'!$K40</f>
        <v>5</v>
      </c>
      <c r="S41">
        <f>'[25]GABM_R03_Terry-data'!$K40</f>
        <v>8</v>
      </c>
      <c r="T41">
        <f>'[26]GABM_R03_SarahAPI-data'!$K40</f>
        <v>1</v>
      </c>
      <c r="U41">
        <f>'[27]GABM_R03_savannah-data'!$K40</f>
        <v>7</v>
      </c>
      <c r="V41">
        <f>'[28]GABM_R03_MitchellAPI-data'!$K40</f>
        <v>11</v>
      </c>
      <c r="W41">
        <f>'[29]GABM_R03_SudipaAPI-data'!$K40</f>
        <v>0</v>
      </c>
      <c r="X41">
        <f>'[30]R03_GABM_run2-data'!$K40</f>
        <v>8</v>
      </c>
      <c r="Y41">
        <f t="shared" si="1"/>
        <v>5</v>
      </c>
    </row>
    <row r="42" spans="1:25" x14ac:dyDescent="0.35">
      <c r="A42">
        <v>39</v>
      </c>
      <c r="B42">
        <f>'[21]R03_GABM-data'!$K41</f>
        <v>4</v>
      </c>
      <c r="C42">
        <f>'[22]GABM_R03_RossAPI-data'!$K41</f>
        <v>4</v>
      </c>
      <c r="D42">
        <f>'[23]GABM_R03_RandiAPI-data'!$K41</f>
        <v>3</v>
      </c>
      <c r="E42">
        <f>'[24]GABM_R03_NavidAPI-data'!$K41</f>
        <v>4</v>
      </c>
      <c r="F42">
        <f>'[25]GABM_R03_Terry-data'!$K41</f>
        <v>7</v>
      </c>
      <c r="G42">
        <f>'[26]GABM_R03_SarahAPI-data'!$K41</f>
        <v>2</v>
      </c>
      <c r="H42">
        <f>'[27]GABM_R03_savannah-data'!$K41</f>
        <v>9</v>
      </c>
      <c r="I42">
        <f>'[28]GABM_R03_MitchellAPI-data'!$K41</f>
        <v>4</v>
      </c>
      <c r="J42">
        <f>'[29]GABM_R03_SudipaAPI-data'!$K41</f>
        <v>2</v>
      </c>
      <c r="K42">
        <f>'[30]R03_GABM_run2-data'!$K41</f>
        <v>5</v>
      </c>
      <c r="L42">
        <f t="shared" si="0"/>
        <v>4.4000000000000004</v>
      </c>
      <c r="N42">
        <v>39</v>
      </c>
      <c r="O42">
        <f>'[21]R03_GABM-data'!$K41</f>
        <v>4</v>
      </c>
      <c r="P42">
        <f>'[22]GABM_R03_RossAPI-data'!$K41</f>
        <v>4</v>
      </c>
      <c r="Q42">
        <f>'[23]GABM_R03_RandiAPI-data'!$K41</f>
        <v>3</v>
      </c>
      <c r="R42">
        <f>'[24]GABM_R03_NavidAPI-data'!$K41</f>
        <v>4</v>
      </c>
      <c r="S42">
        <f>'[25]GABM_R03_Terry-data'!$K41</f>
        <v>7</v>
      </c>
      <c r="T42">
        <f>'[26]GABM_R03_SarahAPI-data'!$K41</f>
        <v>2</v>
      </c>
      <c r="U42">
        <f>'[27]GABM_R03_savannah-data'!$K41</f>
        <v>9</v>
      </c>
      <c r="V42">
        <f>'[28]GABM_R03_MitchellAPI-data'!$K41</f>
        <v>4</v>
      </c>
      <c r="W42">
        <f>'[29]GABM_R03_SudipaAPI-data'!$K41</f>
        <v>2</v>
      </c>
      <c r="X42">
        <f>'[30]R03_GABM_run2-data'!$K41</f>
        <v>5</v>
      </c>
      <c r="Y42">
        <f t="shared" si="1"/>
        <v>4.4000000000000004</v>
      </c>
    </row>
    <row r="43" spans="1:25" x14ac:dyDescent="0.35">
      <c r="A43">
        <v>40</v>
      </c>
      <c r="B43">
        <f>'[21]R03_GABM-data'!$K42</f>
        <v>1</v>
      </c>
      <c r="C43">
        <f>'[22]GABM_R03_RossAPI-data'!$K42</f>
        <v>2</v>
      </c>
      <c r="D43">
        <f>'[23]GABM_R03_RandiAPI-data'!$K42</f>
        <v>1</v>
      </c>
      <c r="E43">
        <f>'[24]GABM_R03_NavidAPI-data'!$K42</f>
        <v>0</v>
      </c>
      <c r="F43">
        <f>'[25]GABM_R03_Terry-data'!$K42</f>
        <v>9</v>
      </c>
      <c r="G43">
        <f>'[26]GABM_R03_SarahAPI-data'!$K42</f>
        <v>2</v>
      </c>
      <c r="H43">
        <f>'[27]GABM_R03_savannah-data'!$K42</f>
        <v>3</v>
      </c>
      <c r="I43">
        <f>'[28]GABM_R03_MitchellAPI-data'!$K42</f>
        <v>5</v>
      </c>
      <c r="J43">
        <f>'[29]GABM_R03_SudipaAPI-data'!$K42</f>
        <v>1</v>
      </c>
      <c r="K43">
        <f>'[30]R03_GABM_run2-data'!$K42</f>
        <v>6</v>
      </c>
      <c r="L43">
        <f t="shared" si="0"/>
        <v>3</v>
      </c>
      <c r="N43">
        <v>40</v>
      </c>
      <c r="O43">
        <f>'[21]R03_GABM-data'!$K42</f>
        <v>1</v>
      </c>
      <c r="P43">
        <f>'[22]GABM_R03_RossAPI-data'!$K42</f>
        <v>2</v>
      </c>
      <c r="Q43">
        <f>'[23]GABM_R03_RandiAPI-data'!$K42</f>
        <v>1</v>
      </c>
      <c r="R43">
        <f>'[24]GABM_R03_NavidAPI-data'!$K42</f>
        <v>0</v>
      </c>
      <c r="S43">
        <f>'[25]GABM_R03_Terry-data'!$K42</f>
        <v>9</v>
      </c>
      <c r="T43">
        <f>'[26]GABM_R03_SarahAPI-data'!$K42</f>
        <v>2</v>
      </c>
      <c r="U43">
        <f>'[27]GABM_R03_savannah-data'!$K42</f>
        <v>3</v>
      </c>
      <c r="V43">
        <f>'[28]GABM_R03_MitchellAPI-data'!$K42</f>
        <v>5</v>
      </c>
      <c r="W43">
        <f>'[29]GABM_R03_SudipaAPI-data'!$K42</f>
        <v>1</v>
      </c>
      <c r="X43">
        <f>'[30]R03_GABM_run2-data'!$K42</f>
        <v>6</v>
      </c>
      <c r="Y43">
        <f t="shared" si="1"/>
        <v>3</v>
      </c>
    </row>
    <row r="44" spans="1:25" x14ac:dyDescent="0.35">
      <c r="A44">
        <v>41</v>
      </c>
      <c r="B44">
        <f>'[21]R03_GABM-data'!$K43</f>
        <v>3</v>
      </c>
      <c r="C44">
        <f>'[22]GABM_R03_RossAPI-data'!$K43</f>
        <v>6</v>
      </c>
      <c r="D44">
        <f>'[23]GABM_R03_RandiAPI-data'!$K43</f>
        <v>4</v>
      </c>
      <c r="E44">
        <f>'[24]GABM_R03_NavidAPI-data'!$K43</f>
        <v>1</v>
      </c>
      <c r="F44">
        <f>'[25]GABM_R03_Terry-data'!$K43</f>
        <v>13</v>
      </c>
      <c r="G44">
        <f>'[26]GABM_R03_SarahAPI-data'!$K43</f>
        <v>3</v>
      </c>
      <c r="H44">
        <f>'[27]GABM_R03_savannah-data'!$K43</f>
        <v>8</v>
      </c>
      <c r="I44">
        <f>'[28]GABM_R03_MitchellAPI-data'!$K43</f>
        <v>7</v>
      </c>
      <c r="J44">
        <f>'[29]GABM_R03_SudipaAPI-data'!$K43</f>
        <v>0</v>
      </c>
      <c r="K44">
        <f>'[30]R03_GABM_run2-data'!$K43</f>
        <v>6</v>
      </c>
      <c r="L44">
        <f t="shared" si="0"/>
        <v>5.0999999999999996</v>
      </c>
      <c r="N44">
        <v>41</v>
      </c>
      <c r="O44">
        <f>'[21]R03_GABM-data'!$K43</f>
        <v>3</v>
      </c>
      <c r="P44">
        <f>'[22]GABM_R03_RossAPI-data'!$K43</f>
        <v>6</v>
      </c>
      <c r="Q44">
        <f>'[23]GABM_R03_RandiAPI-data'!$K43</f>
        <v>4</v>
      </c>
      <c r="R44">
        <f>'[24]GABM_R03_NavidAPI-data'!$K43</f>
        <v>1</v>
      </c>
      <c r="S44">
        <f>'[25]GABM_R03_Terry-data'!$K43</f>
        <v>13</v>
      </c>
      <c r="T44">
        <f>'[26]GABM_R03_SarahAPI-data'!$K43</f>
        <v>3</v>
      </c>
      <c r="U44">
        <f>'[27]GABM_R03_savannah-data'!$K43</f>
        <v>8</v>
      </c>
      <c r="V44">
        <f>'[28]GABM_R03_MitchellAPI-data'!$K43</f>
        <v>7</v>
      </c>
      <c r="W44">
        <f>'[29]GABM_R03_SudipaAPI-data'!$K43</f>
        <v>0</v>
      </c>
      <c r="X44">
        <f>'[30]R03_GABM_run2-data'!$K43</f>
        <v>6</v>
      </c>
      <c r="Y44">
        <f t="shared" si="1"/>
        <v>5.0999999999999996</v>
      </c>
    </row>
    <row r="45" spans="1:25" x14ac:dyDescent="0.35">
      <c r="A45">
        <v>42</v>
      </c>
      <c r="B45">
        <f>'[21]R03_GABM-data'!$K44</f>
        <v>3</v>
      </c>
      <c r="C45">
        <f>'[22]GABM_R03_RossAPI-data'!$K44</f>
        <v>8</v>
      </c>
      <c r="D45">
        <f>'[23]GABM_R03_RandiAPI-data'!$K44</f>
        <v>2</v>
      </c>
      <c r="E45">
        <f>'[24]GABM_R03_NavidAPI-data'!$K44</f>
        <v>0</v>
      </c>
      <c r="F45">
        <f>'[25]GABM_R03_Terry-data'!$K44</f>
        <v>4</v>
      </c>
      <c r="G45">
        <f>'[26]GABM_R03_SarahAPI-data'!$K44</f>
        <v>4</v>
      </c>
      <c r="H45">
        <f>'[27]GABM_R03_savannah-data'!$K44</f>
        <v>3</v>
      </c>
      <c r="I45">
        <f>'[28]GABM_R03_MitchellAPI-data'!$K44</f>
        <v>4</v>
      </c>
      <c r="J45">
        <f>'[29]GABM_R03_SudipaAPI-data'!$K44</f>
        <v>0</v>
      </c>
      <c r="K45">
        <f>'[30]R03_GABM_run2-data'!$K44</f>
        <v>6</v>
      </c>
      <c r="L45">
        <f t="shared" si="0"/>
        <v>3.4</v>
      </c>
      <c r="N45">
        <v>42</v>
      </c>
      <c r="O45">
        <f>'[21]R03_GABM-data'!$K44</f>
        <v>3</v>
      </c>
      <c r="P45">
        <f>'[22]GABM_R03_RossAPI-data'!$K44</f>
        <v>8</v>
      </c>
      <c r="Q45">
        <f>'[23]GABM_R03_RandiAPI-data'!$K44</f>
        <v>2</v>
      </c>
      <c r="R45">
        <f>'[24]GABM_R03_NavidAPI-data'!$K44</f>
        <v>0</v>
      </c>
      <c r="S45">
        <f>'[25]GABM_R03_Terry-data'!$K44</f>
        <v>4</v>
      </c>
      <c r="T45">
        <f>'[26]GABM_R03_SarahAPI-data'!$K44</f>
        <v>4</v>
      </c>
      <c r="U45">
        <f>'[27]GABM_R03_savannah-data'!$K44</f>
        <v>3</v>
      </c>
      <c r="V45">
        <f>'[28]GABM_R03_MitchellAPI-data'!$K44</f>
        <v>4</v>
      </c>
      <c r="W45">
        <f>'[29]GABM_R03_SudipaAPI-data'!$K44</f>
        <v>0</v>
      </c>
      <c r="X45">
        <f>'[30]R03_GABM_run2-data'!$K44</f>
        <v>6</v>
      </c>
      <c r="Y45">
        <f t="shared" si="1"/>
        <v>3.4</v>
      </c>
    </row>
    <row r="46" spans="1:25" x14ac:dyDescent="0.35">
      <c r="A46">
        <v>43</v>
      </c>
      <c r="B46">
        <f>'[21]R03_GABM-data'!$K45</f>
        <v>4</v>
      </c>
      <c r="C46">
        <f>'[22]GABM_R03_RossAPI-data'!$K45</f>
        <v>8</v>
      </c>
      <c r="D46">
        <f>'[23]GABM_R03_RandiAPI-data'!$K45</f>
        <v>4</v>
      </c>
      <c r="E46">
        <f>'[24]GABM_R03_NavidAPI-data'!$K45</f>
        <v>2</v>
      </c>
      <c r="F46">
        <f>'[25]GABM_R03_Terry-data'!$K45</f>
        <v>12</v>
      </c>
      <c r="G46">
        <f>'[26]GABM_R03_SarahAPI-data'!$K45</f>
        <v>2</v>
      </c>
      <c r="H46">
        <f>'[27]GABM_R03_savannah-data'!$K45</f>
        <v>5</v>
      </c>
      <c r="I46">
        <f>'[28]GABM_R03_MitchellAPI-data'!$K45</f>
        <v>10</v>
      </c>
      <c r="J46">
        <f>'[29]GABM_R03_SudipaAPI-data'!$K45</f>
        <v>0</v>
      </c>
      <c r="K46">
        <f>'[30]R03_GABM_run2-data'!$K45</f>
        <v>1</v>
      </c>
      <c r="L46">
        <f t="shared" si="0"/>
        <v>4.8</v>
      </c>
      <c r="N46">
        <v>43</v>
      </c>
      <c r="O46">
        <f>'[21]R03_GABM-data'!$K45</f>
        <v>4</v>
      </c>
      <c r="P46">
        <f>'[22]GABM_R03_RossAPI-data'!$K45</f>
        <v>8</v>
      </c>
      <c r="Q46">
        <f>'[23]GABM_R03_RandiAPI-data'!$K45</f>
        <v>4</v>
      </c>
      <c r="R46">
        <f>'[24]GABM_R03_NavidAPI-data'!$K45</f>
        <v>2</v>
      </c>
      <c r="S46">
        <f>'[25]GABM_R03_Terry-data'!$K45</f>
        <v>12</v>
      </c>
      <c r="T46">
        <f>'[26]GABM_R03_SarahAPI-data'!$K45</f>
        <v>2</v>
      </c>
      <c r="U46">
        <f>'[27]GABM_R03_savannah-data'!$K45</f>
        <v>5</v>
      </c>
      <c r="V46">
        <f>'[28]GABM_R03_MitchellAPI-data'!$K45</f>
        <v>10</v>
      </c>
      <c r="W46">
        <f>'[29]GABM_R03_SudipaAPI-data'!$K45</f>
        <v>0</v>
      </c>
      <c r="X46">
        <f>'[30]R03_GABM_run2-data'!$K45</f>
        <v>1</v>
      </c>
      <c r="Y46">
        <f t="shared" si="1"/>
        <v>4.8</v>
      </c>
    </row>
    <row r="47" spans="1:25" x14ac:dyDescent="0.35">
      <c r="A47">
        <v>44</v>
      </c>
      <c r="B47">
        <f>'[21]R03_GABM-data'!$K46</f>
        <v>2</v>
      </c>
      <c r="C47">
        <f>'[22]GABM_R03_RossAPI-data'!$K46</f>
        <v>9</v>
      </c>
      <c r="D47">
        <f>'[23]GABM_R03_RandiAPI-data'!$K46</f>
        <v>2</v>
      </c>
      <c r="E47">
        <f>'[24]GABM_R03_NavidAPI-data'!$K46</f>
        <v>4</v>
      </c>
      <c r="F47">
        <f>'[25]GABM_R03_Terry-data'!$K46</f>
        <v>7</v>
      </c>
      <c r="G47">
        <f>'[26]GABM_R03_SarahAPI-data'!$K46</f>
        <v>3</v>
      </c>
      <c r="H47">
        <f>'[27]GABM_R03_savannah-data'!$K46</f>
        <v>5</v>
      </c>
      <c r="I47">
        <f>'[28]GABM_R03_MitchellAPI-data'!$K46</f>
        <v>3</v>
      </c>
      <c r="J47">
        <f>'[29]GABM_R03_SudipaAPI-data'!$K46</f>
        <v>0</v>
      </c>
      <c r="K47">
        <f>'[30]R03_GABM_run2-data'!$K46</f>
        <v>4</v>
      </c>
      <c r="L47">
        <f t="shared" si="0"/>
        <v>3.9</v>
      </c>
      <c r="N47">
        <v>44</v>
      </c>
      <c r="O47">
        <f>'[21]R03_GABM-data'!$K46</f>
        <v>2</v>
      </c>
      <c r="P47">
        <f>'[22]GABM_R03_RossAPI-data'!$K46</f>
        <v>9</v>
      </c>
      <c r="Q47">
        <f>'[23]GABM_R03_RandiAPI-data'!$K46</f>
        <v>2</v>
      </c>
      <c r="R47">
        <f>'[24]GABM_R03_NavidAPI-data'!$K46</f>
        <v>4</v>
      </c>
      <c r="S47">
        <f>'[25]GABM_R03_Terry-data'!$K46</f>
        <v>7</v>
      </c>
      <c r="T47">
        <f>'[26]GABM_R03_SarahAPI-data'!$K46</f>
        <v>3</v>
      </c>
      <c r="U47">
        <f>'[27]GABM_R03_savannah-data'!$K46</f>
        <v>5</v>
      </c>
      <c r="V47">
        <f>'[28]GABM_R03_MitchellAPI-data'!$K46</f>
        <v>3</v>
      </c>
      <c r="W47">
        <f>'[29]GABM_R03_SudipaAPI-data'!$K46</f>
        <v>0</v>
      </c>
      <c r="X47">
        <f>'[30]R03_GABM_run2-data'!$K46</f>
        <v>4</v>
      </c>
      <c r="Y47">
        <f t="shared" si="1"/>
        <v>3.9</v>
      </c>
    </row>
    <row r="48" spans="1:25" x14ac:dyDescent="0.35">
      <c r="A48">
        <v>45</v>
      </c>
      <c r="B48">
        <f>'[21]R03_GABM-data'!$K47</f>
        <v>1</v>
      </c>
      <c r="C48">
        <f>'[22]GABM_R03_RossAPI-data'!$K47</f>
        <v>11</v>
      </c>
      <c r="D48">
        <f>'[23]GABM_R03_RandiAPI-data'!$K47</f>
        <v>2</v>
      </c>
      <c r="E48">
        <f>'[24]GABM_R03_NavidAPI-data'!$K47</f>
        <v>3</v>
      </c>
      <c r="F48">
        <f>'[25]GABM_R03_Terry-data'!$K47</f>
        <v>4</v>
      </c>
      <c r="G48">
        <f>'[26]GABM_R03_SarahAPI-data'!$K47</f>
        <v>2</v>
      </c>
      <c r="H48">
        <f>'[27]GABM_R03_savannah-data'!$K47</f>
        <v>3</v>
      </c>
      <c r="I48">
        <f>'[28]GABM_R03_MitchellAPI-data'!$K47</f>
        <v>6</v>
      </c>
      <c r="J48">
        <f>'[29]GABM_R03_SudipaAPI-data'!$K47</f>
        <v>4</v>
      </c>
      <c r="K48">
        <f>'[30]R03_GABM_run2-data'!$K47</f>
        <v>1</v>
      </c>
      <c r="L48">
        <f t="shared" si="0"/>
        <v>3.7</v>
      </c>
      <c r="N48">
        <v>45</v>
      </c>
      <c r="O48">
        <f>'[21]R03_GABM-data'!$K47</f>
        <v>1</v>
      </c>
      <c r="P48">
        <f>'[22]GABM_R03_RossAPI-data'!$K47</f>
        <v>11</v>
      </c>
      <c r="Q48">
        <f>'[23]GABM_R03_RandiAPI-data'!$K47</f>
        <v>2</v>
      </c>
      <c r="R48">
        <f>'[24]GABM_R03_NavidAPI-data'!$K47</f>
        <v>3</v>
      </c>
      <c r="S48">
        <f>'[25]GABM_R03_Terry-data'!$K47</f>
        <v>4</v>
      </c>
      <c r="T48">
        <f>'[26]GABM_R03_SarahAPI-data'!$K47</f>
        <v>2</v>
      </c>
      <c r="U48">
        <f>'[27]GABM_R03_savannah-data'!$K47</f>
        <v>3</v>
      </c>
      <c r="V48">
        <f>'[28]GABM_R03_MitchellAPI-data'!$K47</f>
        <v>6</v>
      </c>
      <c r="W48">
        <f>'[29]GABM_R03_SudipaAPI-data'!$K47</f>
        <v>4</v>
      </c>
      <c r="X48">
        <f>'[30]R03_GABM_run2-data'!$K47</f>
        <v>1</v>
      </c>
      <c r="Y48">
        <f t="shared" si="1"/>
        <v>3.7</v>
      </c>
    </row>
    <row r="49" spans="1:25" x14ac:dyDescent="0.35">
      <c r="A49">
        <v>46</v>
      </c>
      <c r="B49">
        <f>'[21]R03_GABM-data'!$K48</f>
        <v>0</v>
      </c>
      <c r="C49">
        <f>'[22]GABM_R03_RossAPI-data'!$K48</f>
        <v>8</v>
      </c>
      <c r="D49">
        <f>'[23]GABM_R03_RandiAPI-data'!$K48</f>
        <v>0</v>
      </c>
      <c r="E49">
        <f>'[24]GABM_R03_NavidAPI-data'!$K48</f>
        <v>5</v>
      </c>
      <c r="F49">
        <f>'[25]GABM_R03_Terry-data'!$K48</f>
        <v>4</v>
      </c>
      <c r="G49">
        <f>'[26]GABM_R03_SarahAPI-data'!$K48</f>
        <v>4</v>
      </c>
      <c r="H49">
        <f>'[27]GABM_R03_savannah-data'!$K48</f>
        <v>3</v>
      </c>
      <c r="I49">
        <f>'[28]GABM_R03_MitchellAPI-data'!$K48</f>
        <v>8</v>
      </c>
      <c r="J49">
        <f>'[29]GABM_R03_SudipaAPI-data'!$K48</f>
        <v>7</v>
      </c>
      <c r="K49">
        <f>'[30]R03_GABM_run2-data'!$K48</f>
        <v>2</v>
      </c>
      <c r="L49">
        <f t="shared" si="0"/>
        <v>4.0999999999999996</v>
      </c>
      <c r="N49">
        <v>46</v>
      </c>
      <c r="O49">
        <f>'[21]R03_GABM-data'!$K48</f>
        <v>0</v>
      </c>
      <c r="P49">
        <f>'[22]GABM_R03_RossAPI-data'!$K48</f>
        <v>8</v>
      </c>
      <c r="Q49">
        <f>'[23]GABM_R03_RandiAPI-data'!$K48</f>
        <v>0</v>
      </c>
      <c r="R49">
        <f>'[24]GABM_R03_NavidAPI-data'!$K48</f>
        <v>5</v>
      </c>
      <c r="S49">
        <f>'[25]GABM_R03_Terry-data'!$K48</f>
        <v>4</v>
      </c>
      <c r="T49">
        <f>'[26]GABM_R03_SarahAPI-data'!$K48</f>
        <v>4</v>
      </c>
      <c r="U49">
        <f>'[27]GABM_R03_savannah-data'!$K48</f>
        <v>3</v>
      </c>
      <c r="V49">
        <f>'[28]GABM_R03_MitchellAPI-data'!$K48</f>
        <v>8</v>
      </c>
      <c r="W49">
        <f>'[29]GABM_R03_SudipaAPI-data'!$K48</f>
        <v>7</v>
      </c>
      <c r="X49">
        <f>'[30]R03_GABM_run2-data'!$K48</f>
        <v>2</v>
      </c>
      <c r="Y49">
        <f t="shared" si="1"/>
        <v>4.0999999999999996</v>
      </c>
    </row>
    <row r="50" spans="1:25" x14ac:dyDescent="0.35">
      <c r="A50">
        <v>47</v>
      </c>
      <c r="B50">
        <f>'[21]R03_GABM-data'!$K49</f>
        <v>0</v>
      </c>
      <c r="C50">
        <f>'[22]GABM_R03_RossAPI-data'!$K49</f>
        <v>8</v>
      </c>
      <c r="D50">
        <f>'[23]GABM_R03_RandiAPI-data'!$K49</f>
        <v>1</v>
      </c>
      <c r="E50">
        <f>'[24]GABM_R03_NavidAPI-data'!$K49</f>
        <v>2</v>
      </c>
      <c r="F50">
        <f>'[25]GABM_R03_Terry-data'!$K49</f>
        <v>2</v>
      </c>
      <c r="G50">
        <f>'[26]GABM_R03_SarahAPI-data'!$K49</f>
        <v>2</v>
      </c>
      <c r="H50">
        <f>'[27]GABM_R03_savannah-data'!$K49</f>
        <v>2</v>
      </c>
      <c r="I50">
        <f>'[28]GABM_R03_MitchellAPI-data'!$K49</f>
        <v>8</v>
      </c>
      <c r="J50">
        <f>'[29]GABM_R03_SudipaAPI-data'!$K49</f>
        <v>8</v>
      </c>
      <c r="K50">
        <f>'[30]R03_GABM_run2-data'!$K49</f>
        <v>2</v>
      </c>
      <c r="L50">
        <f t="shared" si="0"/>
        <v>3.5</v>
      </c>
      <c r="N50">
        <v>47</v>
      </c>
      <c r="O50">
        <f>'[21]R03_GABM-data'!$K49</f>
        <v>0</v>
      </c>
      <c r="P50">
        <f>'[22]GABM_R03_RossAPI-data'!$K49</f>
        <v>8</v>
      </c>
      <c r="Q50">
        <f>'[23]GABM_R03_RandiAPI-data'!$K49</f>
        <v>1</v>
      </c>
      <c r="R50">
        <f>'[24]GABM_R03_NavidAPI-data'!$K49</f>
        <v>2</v>
      </c>
      <c r="S50">
        <f>'[25]GABM_R03_Terry-data'!$K49</f>
        <v>2</v>
      </c>
      <c r="T50">
        <f>'[26]GABM_R03_SarahAPI-data'!$K49</f>
        <v>2</v>
      </c>
      <c r="U50">
        <f>'[27]GABM_R03_savannah-data'!$K49</f>
        <v>2</v>
      </c>
      <c r="V50">
        <f>'[28]GABM_R03_MitchellAPI-data'!$K49</f>
        <v>8</v>
      </c>
      <c r="W50">
        <f>'[29]GABM_R03_SudipaAPI-data'!$K49</f>
        <v>8</v>
      </c>
      <c r="X50">
        <f>'[30]R03_GABM_run2-data'!$K49</f>
        <v>2</v>
      </c>
      <c r="Y50">
        <f t="shared" si="1"/>
        <v>3.5</v>
      </c>
    </row>
    <row r="51" spans="1:25" x14ac:dyDescent="0.35">
      <c r="A51">
        <v>48</v>
      </c>
      <c r="B51">
        <f>'[21]R03_GABM-data'!$K50</f>
        <v>0</v>
      </c>
      <c r="C51">
        <f>'[22]GABM_R03_RossAPI-data'!$K50</f>
        <v>6</v>
      </c>
      <c r="D51">
        <f>'[23]GABM_R03_RandiAPI-data'!$K50</f>
        <v>0</v>
      </c>
      <c r="E51">
        <f>'[24]GABM_R03_NavidAPI-data'!$K50</f>
        <v>6</v>
      </c>
      <c r="F51">
        <f>'[25]GABM_R03_Terry-data'!$K50</f>
        <v>1</v>
      </c>
      <c r="G51">
        <f>'[26]GABM_R03_SarahAPI-data'!$K50</f>
        <v>2</v>
      </c>
      <c r="H51">
        <f>'[27]GABM_R03_savannah-data'!$K50</f>
        <v>1</v>
      </c>
      <c r="I51">
        <f>'[28]GABM_R03_MitchellAPI-data'!$K50</f>
        <v>8</v>
      </c>
      <c r="J51">
        <f>'[29]GABM_R03_SudipaAPI-data'!$K50</f>
        <v>17</v>
      </c>
      <c r="K51">
        <f>'[30]R03_GABM_run2-data'!$K50</f>
        <v>1</v>
      </c>
      <c r="L51">
        <f t="shared" si="0"/>
        <v>4.2</v>
      </c>
      <c r="N51">
        <v>48</v>
      </c>
      <c r="O51">
        <f>'[21]R03_GABM-data'!$K50</f>
        <v>0</v>
      </c>
      <c r="P51">
        <f>'[22]GABM_R03_RossAPI-data'!$K50</f>
        <v>6</v>
      </c>
      <c r="Q51">
        <f>'[23]GABM_R03_RandiAPI-data'!$K50</f>
        <v>0</v>
      </c>
      <c r="R51">
        <f>'[24]GABM_R03_NavidAPI-data'!$K50</f>
        <v>6</v>
      </c>
      <c r="S51">
        <f>'[25]GABM_R03_Terry-data'!$K50</f>
        <v>1</v>
      </c>
      <c r="T51">
        <f>'[26]GABM_R03_SarahAPI-data'!$K50</f>
        <v>2</v>
      </c>
      <c r="U51">
        <f>'[27]GABM_R03_savannah-data'!$K50</f>
        <v>1</v>
      </c>
      <c r="V51">
        <f>'[28]GABM_R03_MitchellAPI-data'!$K50</f>
        <v>8</v>
      </c>
      <c r="W51">
        <f>'[29]GABM_R03_SudipaAPI-data'!$K50</f>
        <v>17</v>
      </c>
      <c r="X51">
        <f>'[30]R03_GABM_run2-data'!$K50</f>
        <v>1</v>
      </c>
      <c r="Y51">
        <f t="shared" si="1"/>
        <v>4.2</v>
      </c>
    </row>
    <row r="52" spans="1:25" x14ac:dyDescent="0.35">
      <c r="A52">
        <v>49</v>
      </c>
      <c r="B52">
        <f>'[21]R03_GABM-data'!$K51</f>
        <v>1</v>
      </c>
      <c r="C52">
        <f>'[22]GABM_R03_RossAPI-data'!$K51</f>
        <v>9</v>
      </c>
      <c r="D52">
        <f>'[23]GABM_R03_RandiAPI-data'!$K51</f>
        <v>0</v>
      </c>
      <c r="E52">
        <f>'[24]GABM_R03_NavidAPI-data'!$K51</f>
        <v>2</v>
      </c>
      <c r="F52">
        <f>'[25]GABM_R03_Terry-data'!$K51</f>
        <v>3</v>
      </c>
      <c r="G52">
        <f>'[26]GABM_R03_SarahAPI-data'!$K51</f>
        <v>1</v>
      </c>
      <c r="H52">
        <f>'[27]GABM_R03_savannah-data'!$K51</f>
        <v>2</v>
      </c>
      <c r="I52">
        <f>'[28]GABM_R03_MitchellAPI-data'!$K51</f>
        <v>9</v>
      </c>
      <c r="J52">
        <f>'[29]GABM_R03_SudipaAPI-data'!$K51</f>
        <v>13</v>
      </c>
      <c r="K52">
        <f>'[30]R03_GABM_run2-data'!$K51</f>
        <v>1</v>
      </c>
      <c r="L52">
        <f t="shared" si="0"/>
        <v>4.0999999999999996</v>
      </c>
      <c r="N52">
        <v>49</v>
      </c>
      <c r="O52">
        <f>'[21]R03_GABM-data'!$K51</f>
        <v>1</v>
      </c>
      <c r="P52">
        <f>'[22]GABM_R03_RossAPI-data'!$K51</f>
        <v>9</v>
      </c>
      <c r="Q52">
        <f>'[23]GABM_R03_RandiAPI-data'!$K51</f>
        <v>0</v>
      </c>
      <c r="R52">
        <f>'[24]GABM_R03_NavidAPI-data'!$K51</f>
        <v>2</v>
      </c>
      <c r="S52">
        <f>'[25]GABM_R03_Terry-data'!$K51</f>
        <v>3</v>
      </c>
      <c r="T52">
        <f>'[26]GABM_R03_SarahAPI-data'!$K51</f>
        <v>1</v>
      </c>
      <c r="U52">
        <f>'[27]GABM_R03_savannah-data'!$K51</f>
        <v>2</v>
      </c>
      <c r="V52">
        <f>'[28]GABM_R03_MitchellAPI-data'!$K51</f>
        <v>9</v>
      </c>
      <c r="W52">
        <f>'[29]GABM_R03_SudipaAPI-data'!$K51</f>
        <v>13</v>
      </c>
      <c r="X52">
        <f>'[30]R03_GABM_run2-data'!$K51</f>
        <v>1</v>
      </c>
      <c r="Y52">
        <f t="shared" si="1"/>
        <v>4.0999999999999996</v>
      </c>
    </row>
    <row r="53" spans="1:25" x14ac:dyDescent="0.35">
      <c r="A53">
        <v>50</v>
      </c>
      <c r="B53">
        <f>'[21]R03_GABM-data'!$K52</f>
        <v>2</v>
      </c>
      <c r="C53">
        <f>'[22]GABM_R03_RossAPI-data'!$K52</f>
        <v>5</v>
      </c>
      <c r="D53">
        <f>'[23]GABM_R03_RandiAPI-data'!$K52</f>
        <v>1</v>
      </c>
      <c r="E53">
        <f>'[24]GABM_R03_NavidAPI-data'!$K52</f>
        <v>1</v>
      </c>
      <c r="F53">
        <f>'[25]GABM_R03_Terry-data'!$K52</f>
        <v>0</v>
      </c>
      <c r="G53">
        <f>'[26]GABM_R03_SarahAPI-data'!$K52</f>
        <v>1</v>
      </c>
      <c r="H53">
        <f>'[27]GABM_R03_savannah-data'!$K52</f>
        <v>3</v>
      </c>
      <c r="I53">
        <f>'[28]GABM_R03_MitchellAPI-data'!$K52</f>
        <v>10</v>
      </c>
      <c r="J53">
        <f>'[29]GABM_R03_SudipaAPI-data'!$K52</f>
        <v>17</v>
      </c>
      <c r="K53">
        <f>'[30]R03_GABM_run2-data'!$K52</f>
        <v>1</v>
      </c>
      <c r="L53">
        <f t="shared" si="0"/>
        <v>4.0999999999999996</v>
      </c>
      <c r="N53">
        <v>50</v>
      </c>
      <c r="O53">
        <f>'[21]R03_GABM-data'!$K52</f>
        <v>2</v>
      </c>
      <c r="P53">
        <f>'[22]GABM_R03_RossAPI-data'!$K52</f>
        <v>5</v>
      </c>
      <c r="Q53">
        <f>'[23]GABM_R03_RandiAPI-data'!$K52</f>
        <v>1</v>
      </c>
      <c r="R53">
        <f>'[24]GABM_R03_NavidAPI-data'!$K52</f>
        <v>1</v>
      </c>
      <c r="S53">
        <f>'[25]GABM_R03_Terry-data'!$K52</f>
        <v>0</v>
      </c>
      <c r="T53">
        <f>'[26]GABM_R03_SarahAPI-data'!$K52</f>
        <v>1</v>
      </c>
      <c r="U53">
        <f>'[27]GABM_R03_savannah-data'!$K52</f>
        <v>3</v>
      </c>
      <c r="V53">
        <f>'[28]GABM_R03_MitchellAPI-data'!$K52</f>
        <v>10</v>
      </c>
      <c r="W53">
        <f>'[29]GABM_R03_SudipaAPI-data'!$K52</f>
        <v>17</v>
      </c>
      <c r="X53">
        <f>'[30]R03_GABM_run2-data'!$K52</f>
        <v>1</v>
      </c>
      <c r="Y53">
        <f t="shared" si="1"/>
        <v>4.0999999999999996</v>
      </c>
    </row>
    <row r="54" spans="1:25" x14ac:dyDescent="0.35">
      <c r="A54">
        <v>51</v>
      </c>
      <c r="B54">
        <f>'[21]R03_GABM-data'!$K53</f>
        <v>6</v>
      </c>
      <c r="C54">
        <f>'[22]GABM_R03_RossAPI-data'!$K53</f>
        <v>8</v>
      </c>
      <c r="D54">
        <f>'[23]GABM_R03_RandiAPI-data'!$K53</f>
        <v>0</v>
      </c>
      <c r="E54">
        <f>'[24]GABM_R03_NavidAPI-data'!$K53</f>
        <v>0</v>
      </c>
      <c r="F54">
        <f>'[25]GABM_R03_Terry-data'!$K53</f>
        <v>0</v>
      </c>
      <c r="G54">
        <f>'[26]GABM_R03_SarahAPI-data'!$K53</f>
        <v>2</v>
      </c>
      <c r="H54">
        <f>'[27]GABM_R03_savannah-data'!$K53</f>
        <v>1</v>
      </c>
      <c r="I54">
        <f>'[28]GABM_R03_MitchellAPI-data'!$K53</f>
        <v>11</v>
      </c>
      <c r="J54">
        <f>'[29]GABM_R03_SudipaAPI-data'!$K53</f>
        <v>12</v>
      </c>
      <c r="K54">
        <f>'[30]R03_GABM_run2-data'!$K53</f>
        <v>0</v>
      </c>
      <c r="L54">
        <f t="shared" si="0"/>
        <v>4</v>
      </c>
      <c r="N54">
        <v>51</v>
      </c>
      <c r="O54">
        <f>'[21]R03_GABM-data'!$K53</f>
        <v>6</v>
      </c>
      <c r="P54">
        <f>'[22]GABM_R03_RossAPI-data'!$K53</f>
        <v>8</v>
      </c>
      <c r="Q54">
        <f>'[23]GABM_R03_RandiAPI-data'!$K53</f>
        <v>0</v>
      </c>
      <c r="R54">
        <f>'[24]GABM_R03_NavidAPI-data'!$K53</f>
        <v>0</v>
      </c>
      <c r="S54">
        <f>'[25]GABM_R03_Terry-data'!$K53</f>
        <v>0</v>
      </c>
      <c r="T54">
        <f>'[26]GABM_R03_SarahAPI-data'!$K53</f>
        <v>2</v>
      </c>
      <c r="U54">
        <f>'[27]GABM_R03_savannah-data'!$K53</f>
        <v>1</v>
      </c>
      <c r="V54">
        <f>'[28]GABM_R03_MitchellAPI-data'!$K53</f>
        <v>11</v>
      </c>
      <c r="W54">
        <f>'[29]GABM_R03_SudipaAPI-data'!$K53</f>
        <v>12</v>
      </c>
      <c r="X54">
        <f>'[30]R03_GABM_run2-data'!$K53</f>
        <v>0</v>
      </c>
      <c r="Y54">
        <f t="shared" si="1"/>
        <v>4</v>
      </c>
    </row>
    <row r="55" spans="1:25" x14ac:dyDescent="0.35">
      <c r="A55">
        <v>52</v>
      </c>
      <c r="B55">
        <f>'[21]R03_GABM-data'!$K54</f>
        <v>6</v>
      </c>
      <c r="C55">
        <f>'[22]GABM_R03_RossAPI-data'!$K54</f>
        <v>7</v>
      </c>
      <c r="D55">
        <f>'[23]GABM_R03_RandiAPI-data'!$K54</f>
        <v>0</v>
      </c>
      <c r="E55">
        <f>'[24]GABM_R03_NavidAPI-data'!$K54</f>
        <v>1</v>
      </c>
      <c r="F55">
        <f>'[25]GABM_R03_Terry-data'!$K54</f>
        <v>0</v>
      </c>
      <c r="G55">
        <f>'[26]GABM_R03_SarahAPI-data'!$K54</f>
        <v>5</v>
      </c>
      <c r="H55">
        <f>'[27]GABM_R03_savannah-data'!$K54</f>
        <v>3</v>
      </c>
      <c r="I55">
        <f>'[28]GABM_R03_MitchellAPI-data'!$K54</f>
        <v>10</v>
      </c>
      <c r="J55">
        <f>'[29]GABM_R03_SudipaAPI-data'!$K54</f>
        <v>3</v>
      </c>
      <c r="K55">
        <f>'[30]R03_GABM_run2-data'!$K54</f>
        <v>0</v>
      </c>
      <c r="L55">
        <f t="shared" si="0"/>
        <v>3.5</v>
      </c>
      <c r="N55">
        <v>52</v>
      </c>
      <c r="O55">
        <f>'[21]R03_GABM-data'!$K54</f>
        <v>6</v>
      </c>
      <c r="P55">
        <f>'[22]GABM_R03_RossAPI-data'!$K54</f>
        <v>7</v>
      </c>
      <c r="Q55">
        <f>'[23]GABM_R03_RandiAPI-data'!$K54</f>
        <v>0</v>
      </c>
      <c r="R55">
        <f>'[24]GABM_R03_NavidAPI-data'!$K54</f>
        <v>1</v>
      </c>
      <c r="S55">
        <f>'[25]GABM_R03_Terry-data'!$K54</f>
        <v>0</v>
      </c>
      <c r="T55">
        <f>'[26]GABM_R03_SarahAPI-data'!$K54</f>
        <v>5</v>
      </c>
      <c r="U55">
        <f>'[27]GABM_R03_savannah-data'!$K54</f>
        <v>3</v>
      </c>
      <c r="V55">
        <f>'[28]GABM_R03_MitchellAPI-data'!$K54</f>
        <v>10</v>
      </c>
      <c r="W55">
        <f>'[29]GABM_R03_SudipaAPI-data'!$K54</f>
        <v>3</v>
      </c>
      <c r="X55">
        <f>'[30]R03_GABM_run2-data'!$K54</f>
        <v>0</v>
      </c>
      <c r="Y55">
        <f t="shared" si="1"/>
        <v>3.5</v>
      </c>
    </row>
    <row r="56" spans="1:25" x14ac:dyDescent="0.35">
      <c r="A56">
        <v>53</v>
      </c>
      <c r="B56">
        <f>'[21]R03_GABM-data'!$K55</f>
        <v>5</v>
      </c>
      <c r="C56">
        <f>'[22]GABM_R03_RossAPI-data'!$K55</f>
        <v>1</v>
      </c>
      <c r="D56">
        <f>'[23]GABM_R03_RandiAPI-data'!$K55</f>
        <v>0</v>
      </c>
      <c r="E56">
        <f>'[24]GABM_R03_NavidAPI-data'!$K55</f>
        <v>1</v>
      </c>
      <c r="F56">
        <f>'[25]GABM_R03_Terry-data'!$K55</f>
        <v>0</v>
      </c>
      <c r="G56">
        <f>'[26]GABM_R03_SarahAPI-data'!$K55</f>
        <v>2</v>
      </c>
      <c r="H56">
        <f>'[27]GABM_R03_savannah-data'!$K55</f>
        <v>0</v>
      </c>
      <c r="I56">
        <f>'[28]GABM_R03_MitchellAPI-data'!$K55</f>
        <v>8</v>
      </c>
      <c r="J56">
        <f>'[29]GABM_R03_SudipaAPI-data'!$K55</f>
        <v>6</v>
      </c>
      <c r="K56">
        <f>'[30]R03_GABM_run2-data'!$K55</f>
        <v>0</v>
      </c>
      <c r="L56">
        <f t="shared" si="0"/>
        <v>2.2999999999999998</v>
      </c>
      <c r="N56">
        <v>53</v>
      </c>
      <c r="O56">
        <f>'[21]R03_GABM-data'!$K55</f>
        <v>5</v>
      </c>
      <c r="P56">
        <f>'[22]GABM_R03_RossAPI-data'!$K55</f>
        <v>1</v>
      </c>
      <c r="Q56">
        <f>'[23]GABM_R03_RandiAPI-data'!$K55</f>
        <v>0</v>
      </c>
      <c r="R56">
        <f>'[24]GABM_R03_NavidAPI-data'!$K55</f>
        <v>1</v>
      </c>
      <c r="S56">
        <f>'[25]GABM_R03_Terry-data'!$K55</f>
        <v>0</v>
      </c>
      <c r="T56">
        <f>'[26]GABM_R03_SarahAPI-data'!$K55</f>
        <v>2</v>
      </c>
      <c r="U56">
        <f>'[27]GABM_R03_savannah-data'!$K55</f>
        <v>0</v>
      </c>
      <c r="V56">
        <f>'[28]GABM_R03_MitchellAPI-data'!$K55</f>
        <v>8</v>
      </c>
      <c r="W56">
        <f>'[29]GABM_R03_SudipaAPI-data'!$K55</f>
        <v>6</v>
      </c>
      <c r="X56">
        <f>'[30]R03_GABM_run2-data'!$K55</f>
        <v>0</v>
      </c>
      <c r="Y56">
        <f t="shared" si="1"/>
        <v>2.2999999999999998</v>
      </c>
    </row>
    <row r="57" spans="1:25" x14ac:dyDescent="0.35">
      <c r="A57">
        <v>54</v>
      </c>
      <c r="B57">
        <f>'[21]R03_GABM-data'!$K56</f>
        <v>6</v>
      </c>
      <c r="C57">
        <f>'[22]GABM_R03_RossAPI-data'!$K56</f>
        <v>2</v>
      </c>
      <c r="D57" t="e">
        <f>'[23]GABM_R03_RandiAPI-data'!$K56</f>
        <v>#REF!</v>
      </c>
      <c r="E57">
        <f>'[24]GABM_R03_NavidAPI-data'!$K56</f>
        <v>0</v>
      </c>
      <c r="F57">
        <f>'[25]GABM_R03_Terry-data'!$K56</f>
        <v>0</v>
      </c>
      <c r="G57">
        <f>'[26]GABM_R03_SarahAPI-data'!$K56</f>
        <v>5</v>
      </c>
      <c r="H57">
        <f>'[27]GABM_R03_savannah-data'!$K56</f>
        <v>0</v>
      </c>
      <c r="I57">
        <f>'[28]GABM_R03_MitchellAPI-data'!$K56</f>
        <v>14</v>
      </c>
      <c r="J57">
        <f>'[29]GABM_R03_SudipaAPI-data'!$K56</f>
        <v>3</v>
      </c>
      <c r="K57">
        <f>'[30]R03_GABM_run2-data'!$K56</f>
        <v>0</v>
      </c>
      <c r="L57" t="e">
        <f>AVERAGE(B57:K57)</f>
        <v>#REF!</v>
      </c>
      <c r="N57">
        <v>54</v>
      </c>
      <c r="O57">
        <f>'[21]R03_GABM-data'!$K56</f>
        <v>6</v>
      </c>
      <c r="P57">
        <f>'[22]GABM_R03_RossAPI-data'!$K56</f>
        <v>2</v>
      </c>
      <c r="Q57">
        <v>0</v>
      </c>
      <c r="R57">
        <f>'[24]GABM_R03_NavidAPI-data'!$K56</f>
        <v>0</v>
      </c>
      <c r="S57">
        <f>'[25]GABM_R03_Terry-data'!$K56</f>
        <v>0</v>
      </c>
      <c r="T57">
        <f>'[26]GABM_R03_SarahAPI-data'!$K56</f>
        <v>5</v>
      </c>
      <c r="U57">
        <f>'[27]GABM_R03_savannah-data'!$K56</f>
        <v>0</v>
      </c>
      <c r="V57">
        <f>'[28]GABM_R03_MitchellAPI-data'!$K56</f>
        <v>14</v>
      </c>
      <c r="W57">
        <f>'[29]GABM_R03_SudipaAPI-data'!$K56</f>
        <v>3</v>
      </c>
      <c r="X57">
        <f>'[30]R03_GABM_run2-data'!$K56</f>
        <v>0</v>
      </c>
      <c r="Y57">
        <f t="shared" si="1"/>
        <v>3</v>
      </c>
    </row>
    <row r="58" spans="1:25" x14ac:dyDescent="0.35">
      <c r="A58">
        <v>55</v>
      </c>
      <c r="B58">
        <f>'[21]R03_GABM-data'!$K57</f>
        <v>5</v>
      </c>
      <c r="C58">
        <f>'[22]GABM_R03_RossAPI-data'!$K57</f>
        <v>1</v>
      </c>
      <c r="D58" t="e">
        <f>'[23]GABM_R03_RandiAPI-data'!$K57</f>
        <v>#REF!</v>
      </c>
      <c r="E58">
        <f>'[24]GABM_R03_NavidAPI-data'!$K57</f>
        <v>2</v>
      </c>
      <c r="F58">
        <f>'[25]GABM_R03_Terry-data'!$K57</f>
        <v>4</v>
      </c>
      <c r="G58">
        <f>'[26]GABM_R03_SarahAPI-data'!$K57</f>
        <v>5</v>
      </c>
      <c r="H58">
        <f>'[27]GABM_R03_savannah-data'!$K57</f>
        <v>1</v>
      </c>
      <c r="I58">
        <f>'[28]GABM_R03_MitchellAPI-data'!$K57</f>
        <v>10</v>
      </c>
      <c r="J58">
        <f>'[29]GABM_R03_SudipaAPI-data'!$K57</f>
        <v>2</v>
      </c>
      <c r="K58">
        <f>'[30]R03_GABM_run2-data'!$K57</f>
        <v>2</v>
      </c>
      <c r="L58" t="e">
        <f t="shared" si="0"/>
        <v>#REF!</v>
      </c>
      <c r="N58">
        <v>55</v>
      </c>
      <c r="O58">
        <f>'[21]R03_GABM-data'!$K57</f>
        <v>5</v>
      </c>
      <c r="P58">
        <f>'[22]GABM_R03_RossAPI-data'!$K57</f>
        <v>1</v>
      </c>
      <c r="Q58">
        <v>0</v>
      </c>
      <c r="R58">
        <f>'[24]GABM_R03_NavidAPI-data'!$K57</f>
        <v>2</v>
      </c>
      <c r="S58">
        <f>'[25]GABM_R03_Terry-data'!$K57</f>
        <v>4</v>
      </c>
      <c r="T58">
        <f>'[26]GABM_R03_SarahAPI-data'!$K57</f>
        <v>5</v>
      </c>
      <c r="U58">
        <f>'[27]GABM_R03_savannah-data'!$K57</f>
        <v>1</v>
      </c>
      <c r="V58">
        <f>'[28]GABM_R03_MitchellAPI-data'!$K57</f>
        <v>10</v>
      </c>
      <c r="W58">
        <f>'[29]GABM_R03_SudipaAPI-data'!$K57</f>
        <v>2</v>
      </c>
      <c r="X58">
        <f>'[30]R03_GABM_run2-data'!$K57</f>
        <v>2</v>
      </c>
      <c r="Y58">
        <f t="shared" si="1"/>
        <v>3.2</v>
      </c>
    </row>
    <row r="59" spans="1:25" x14ac:dyDescent="0.35">
      <c r="A59">
        <v>56</v>
      </c>
      <c r="B59">
        <f>'[21]R03_GABM-data'!$K58</f>
        <v>7</v>
      </c>
      <c r="C59">
        <f>'[22]GABM_R03_RossAPI-data'!$K58</f>
        <v>2</v>
      </c>
      <c r="D59" t="e">
        <f>'[23]GABM_R03_RandiAPI-data'!$K58</f>
        <v>#REF!</v>
      </c>
      <c r="E59">
        <f>'[24]GABM_R03_NavidAPI-data'!$K58</f>
        <v>2</v>
      </c>
      <c r="F59">
        <f>'[25]GABM_R03_Terry-data'!$K58</f>
        <v>2</v>
      </c>
      <c r="G59">
        <f>'[26]GABM_R03_SarahAPI-data'!$K58</f>
        <v>4</v>
      </c>
      <c r="H59">
        <f>'[27]GABM_R03_savannah-data'!$K58</f>
        <v>0</v>
      </c>
      <c r="I59">
        <f>'[28]GABM_R03_MitchellAPI-data'!$K58</f>
        <v>15</v>
      </c>
      <c r="J59">
        <f>'[29]GABM_R03_SudipaAPI-data'!$K58</f>
        <v>3</v>
      </c>
      <c r="K59">
        <f>'[30]R03_GABM_run2-data'!$K58</f>
        <v>0</v>
      </c>
      <c r="L59" t="e">
        <f t="shared" si="0"/>
        <v>#REF!</v>
      </c>
      <c r="N59">
        <v>56</v>
      </c>
      <c r="O59">
        <f>'[21]R03_GABM-data'!$K58</f>
        <v>7</v>
      </c>
      <c r="P59">
        <f>'[22]GABM_R03_RossAPI-data'!$K58</f>
        <v>2</v>
      </c>
      <c r="Q59">
        <v>0</v>
      </c>
      <c r="R59">
        <f>'[24]GABM_R03_NavidAPI-data'!$K58</f>
        <v>2</v>
      </c>
      <c r="S59">
        <f>'[25]GABM_R03_Terry-data'!$K58</f>
        <v>2</v>
      </c>
      <c r="T59">
        <f>'[26]GABM_R03_SarahAPI-data'!$K58</f>
        <v>4</v>
      </c>
      <c r="U59">
        <f>'[27]GABM_R03_savannah-data'!$K58</f>
        <v>0</v>
      </c>
      <c r="V59">
        <f>'[28]GABM_R03_MitchellAPI-data'!$K58</f>
        <v>15</v>
      </c>
      <c r="W59">
        <f>'[29]GABM_R03_SudipaAPI-data'!$K58</f>
        <v>3</v>
      </c>
      <c r="X59">
        <f>'[30]R03_GABM_run2-data'!$K58</f>
        <v>0</v>
      </c>
      <c r="Y59">
        <f t="shared" si="1"/>
        <v>3.5</v>
      </c>
    </row>
    <row r="60" spans="1:25" x14ac:dyDescent="0.35">
      <c r="A60">
        <v>57</v>
      </c>
      <c r="B60">
        <f>'[21]R03_GABM-data'!$K59</f>
        <v>1</v>
      </c>
      <c r="C60">
        <f>'[22]GABM_R03_RossAPI-data'!$K59</f>
        <v>7</v>
      </c>
      <c r="D60" t="e">
        <f>'[23]GABM_R03_RandiAPI-data'!$K59</f>
        <v>#REF!</v>
      </c>
      <c r="E60">
        <f>'[24]GABM_R03_NavidAPI-data'!$K59</f>
        <v>2</v>
      </c>
      <c r="F60">
        <f>'[25]GABM_R03_Terry-data'!$K59</f>
        <v>4</v>
      </c>
      <c r="G60">
        <f>'[26]GABM_R03_SarahAPI-data'!$K59</f>
        <v>4</v>
      </c>
      <c r="H60">
        <f>'[27]GABM_R03_savannah-data'!$K59</f>
        <v>0</v>
      </c>
      <c r="I60">
        <f>'[28]GABM_R03_MitchellAPI-data'!$K59</f>
        <v>8</v>
      </c>
      <c r="J60">
        <f>'[29]GABM_R03_SudipaAPI-data'!$K59</f>
        <v>1</v>
      </c>
      <c r="K60">
        <f>'[30]R03_GABM_run2-data'!$K59</f>
        <v>2</v>
      </c>
      <c r="L60" t="e">
        <f t="shared" si="0"/>
        <v>#REF!</v>
      </c>
      <c r="N60">
        <v>57</v>
      </c>
      <c r="O60">
        <f>'[21]R03_GABM-data'!$K59</f>
        <v>1</v>
      </c>
      <c r="P60">
        <f>'[22]GABM_R03_RossAPI-data'!$K59</f>
        <v>7</v>
      </c>
      <c r="Q60">
        <v>0</v>
      </c>
      <c r="R60">
        <f>'[24]GABM_R03_NavidAPI-data'!$K59</f>
        <v>2</v>
      </c>
      <c r="S60">
        <f>'[25]GABM_R03_Terry-data'!$K59</f>
        <v>4</v>
      </c>
      <c r="T60">
        <f>'[26]GABM_R03_SarahAPI-data'!$K59</f>
        <v>4</v>
      </c>
      <c r="U60">
        <f>'[27]GABM_R03_savannah-data'!$K59</f>
        <v>0</v>
      </c>
      <c r="V60">
        <f>'[28]GABM_R03_MitchellAPI-data'!$K59</f>
        <v>8</v>
      </c>
      <c r="W60">
        <f>'[29]GABM_R03_SudipaAPI-data'!$K59</f>
        <v>1</v>
      </c>
      <c r="X60">
        <f>'[30]R03_GABM_run2-data'!$K59</f>
        <v>2</v>
      </c>
      <c r="Y60">
        <f t="shared" si="1"/>
        <v>2.9</v>
      </c>
    </row>
    <row r="61" spans="1:25" x14ac:dyDescent="0.35">
      <c r="A61">
        <v>58</v>
      </c>
      <c r="B61">
        <f>'[21]R03_GABM-data'!$K60</f>
        <v>4</v>
      </c>
      <c r="C61">
        <f>'[22]GABM_R03_RossAPI-data'!$K60</f>
        <v>4</v>
      </c>
      <c r="D61" t="e">
        <f>'[23]GABM_R03_RandiAPI-data'!$K60</f>
        <v>#REF!</v>
      </c>
      <c r="E61">
        <f>'[24]GABM_R03_NavidAPI-data'!$K60</f>
        <v>5</v>
      </c>
      <c r="F61">
        <f>'[25]GABM_R03_Terry-data'!$K60</f>
        <v>5</v>
      </c>
      <c r="G61">
        <f>'[26]GABM_R03_SarahAPI-data'!$K60</f>
        <v>2</v>
      </c>
      <c r="H61">
        <f>'[27]GABM_R03_savannah-data'!$K60</f>
        <v>3</v>
      </c>
      <c r="I61">
        <f>'[28]GABM_R03_MitchellAPI-data'!$K60</f>
        <v>7</v>
      </c>
      <c r="J61">
        <f>'[29]GABM_R03_SudipaAPI-data'!$K60</f>
        <v>2</v>
      </c>
      <c r="K61">
        <f>'[30]R03_GABM_run2-data'!$K60</f>
        <v>3</v>
      </c>
      <c r="L61" t="e">
        <f t="shared" si="0"/>
        <v>#REF!</v>
      </c>
      <c r="N61">
        <v>58</v>
      </c>
      <c r="O61">
        <f>'[21]R03_GABM-data'!$K60</f>
        <v>4</v>
      </c>
      <c r="P61">
        <f>'[22]GABM_R03_RossAPI-data'!$K60</f>
        <v>4</v>
      </c>
      <c r="Q61">
        <v>0</v>
      </c>
      <c r="R61">
        <f>'[24]GABM_R03_NavidAPI-data'!$K60</f>
        <v>5</v>
      </c>
      <c r="S61">
        <f>'[25]GABM_R03_Terry-data'!$K60</f>
        <v>5</v>
      </c>
      <c r="T61">
        <f>'[26]GABM_R03_SarahAPI-data'!$K60</f>
        <v>2</v>
      </c>
      <c r="U61">
        <f>'[27]GABM_R03_savannah-data'!$K60</f>
        <v>3</v>
      </c>
      <c r="V61">
        <f>'[28]GABM_R03_MitchellAPI-data'!$K60</f>
        <v>7</v>
      </c>
      <c r="W61">
        <f>'[29]GABM_R03_SudipaAPI-data'!$K60</f>
        <v>2</v>
      </c>
      <c r="X61">
        <f>'[30]R03_GABM_run2-data'!$K60</f>
        <v>3</v>
      </c>
      <c r="Y61">
        <f t="shared" si="1"/>
        <v>3.5</v>
      </c>
    </row>
    <row r="62" spans="1:25" x14ac:dyDescent="0.35">
      <c r="A62">
        <v>59</v>
      </c>
      <c r="B62">
        <f>'[21]R03_GABM-data'!$K61</f>
        <v>0</v>
      </c>
      <c r="C62">
        <f>'[22]GABM_R03_RossAPI-data'!$K61</f>
        <v>5</v>
      </c>
      <c r="D62" t="e">
        <f>'[23]GABM_R03_RandiAPI-data'!$K61</f>
        <v>#REF!</v>
      </c>
      <c r="E62">
        <f>'[24]GABM_R03_NavidAPI-data'!$K61</f>
        <v>4</v>
      </c>
      <c r="F62">
        <f>'[25]GABM_R03_Terry-data'!$K61</f>
        <v>6</v>
      </c>
      <c r="G62">
        <f>'[26]GABM_R03_SarahAPI-data'!$K61</f>
        <v>4</v>
      </c>
      <c r="H62">
        <f>'[27]GABM_R03_savannah-data'!$K61</f>
        <v>1</v>
      </c>
      <c r="I62">
        <f>'[28]GABM_R03_MitchellAPI-data'!$K61</f>
        <v>7</v>
      </c>
      <c r="J62">
        <f>'[29]GABM_R03_SudipaAPI-data'!$K61</f>
        <v>1</v>
      </c>
      <c r="K62">
        <f>'[30]R03_GABM_run2-data'!$K61</f>
        <v>1</v>
      </c>
      <c r="L62" t="e">
        <f t="shared" si="0"/>
        <v>#REF!</v>
      </c>
      <c r="N62">
        <v>59</v>
      </c>
      <c r="O62">
        <f>'[21]R03_GABM-data'!$K61</f>
        <v>0</v>
      </c>
      <c r="P62">
        <f>'[22]GABM_R03_RossAPI-data'!$K61</f>
        <v>5</v>
      </c>
      <c r="Q62">
        <v>0</v>
      </c>
      <c r="R62">
        <f>'[24]GABM_R03_NavidAPI-data'!$K61</f>
        <v>4</v>
      </c>
      <c r="S62">
        <f>'[25]GABM_R03_Terry-data'!$K61</f>
        <v>6</v>
      </c>
      <c r="T62">
        <f>'[26]GABM_R03_SarahAPI-data'!$K61</f>
        <v>4</v>
      </c>
      <c r="U62">
        <f>'[27]GABM_R03_savannah-data'!$K61</f>
        <v>1</v>
      </c>
      <c r="V62">
        <f>'[28]GABM_R03_MitchellAPI-data'!$K61</f>
        <v>7</v>
      </c>
      <c r="W62">
        <f>'[29]GABM_R03_SudipaAPI-data'!$K61</f>
        <v>1</v>
      </c>
      <c r="X62">
        <f>'[30]R03_GABM_run2-data'!$K61</f>
        <v>1</v>
      </c>
      <c r="Y62">
        <f t="shared" si="1"/>
        <v>2.9</v>
      </c>
    </row>
    <row r="63" spans="1:25" x14ac:dyDescent="0.35">
      <c r="A63">
        <v>60</v>
      </c>
      <c r="B63">
        <f>'[21]R03_GABM-data'!$K62</f>
        <v>2</v>
      </c>
      <c r="C63">
        <f>'[22]GABM_R03_RossAPI-data'!$K62</f>
        <v>5</v>
      </c>
      <c r="D63" t="e">
        <f>'[23]GABM_R03_RandiAPI-data'!$K62</f>
        <v>#REF!</v>
      </c>
      <c r="E63">
        <f>'[24]GABM_R03_NavidAPI-data'!$K62</f>
        <v>5</v>
      </c>
      <c r="F63">
        <f>'[25]GABM_R03_Terry-data'!$K62</f>
        <v>3</v>
      </c>
      <c r="G63">
        <f>'[26]GABM_R03_SarahAPI-data'!$K62</f>
        <v>3</v>
      </c>
      <c r="H63">
        <f>'[27]GABM_R03_savannah-data'!$K62</f>
        <v>3</v>
      </c>
      <c r="I63">
        <f>'[28]GABM_R03_MitchellAPI-data'!$K62</f>
        <v>1</v>
      </c>
      <c r="J63">
        <f>'[29]GABM_R03_SudipaAPI-data'!$K62</f>
        <v>1</v>
      </c>
      <c r="K63">
        <f>'[30]R03_GABM_run2-data'!$K62</f>
        <v>7</v>
      </c>
      <c r="L63" t="e">
        <f t="shared" si="0"/>
        <v>#REF!</v>
      </c>
      <c r="N63">
        <v>60</v>
      </c>
      <c r="O63">
        <f>'[21]R03_GABM-data'!$K62</f>
        <v>2</v>
      </c>
      <c r="P63">
        <f>'[22]GABM_R03_RossAPI-data'!$K62</f>
        <v>5</v>
      </c>
      <c r="Q63">
        <v>0</v>
      </c>
      <c r="R63">
        <f>'[24]GABM_R03_NavidAPI-data'!$K62</f>
        <v>5</v>
      </c>
      <c r="S63">
        <f>'[25]GABM_R03_Terry-data'!$K62</f>
        <v>3</v>
      </c>
      <c r="T63">
        <f>'[26]GABM_R03_SarahAPI-data'!$K62</f>
        <v>3</v>
      </c>
      <c r="U63">
        <f>'[27]GABM_R03_savannah-data'!$K62</f>
        <v>3</v>
      </c>
      <c r="V63">
        <f>'[28]GABM_R03_MitchellAPI-data'!$K62</f>
        <v>1</v>
      </c>
      <c r="W63">
        <f>'[29]GABM_R03_SudipaAPI-data'!$K62</f>
        <v>1</v>
      </c>
      <c r="X63">
        <f>'[30]R03_GABM_run2-data'!$K62</f>
        <v>7</v>
      </c>
      <c r="Y63">
        <f t="shared" si="1"/>
        <v>3</v>
      </c>
    </row>
    <row r="64" spans="1:25" x14ac:dyDescent="0.35">
      <c r="A64">
        <v>61</v>
      </c>
      <c r="B64">
        <f>'[21]R03_GABM-data'!$K63</f>
        <v>2</v>
      </c>
      <c r="C64">
        <f>'[22]GABM_R03_RossAPI-data'!$K63</f>
        <v>4</v>
      </c>
      <c r="D64" t="e">
        <f>'[23]GABM_R03_RandiAPI-data'!$K63</f>
        <v>#REF!</v>
      </c>
      <c r="E64">
        <f>'[24]GABM_R03_NavidAPI-data'!$K63</f>
        <v>8</v>
      </c>
      <c r="F64">
        <f>'[25]GABM_R03_Terry-data'!$K63</f>
        <v>4</v>
      </c>
      <c r="G64">
        <f>'[26]GABM_R03_SarahAPI-data'!$K63</f>
        <v>1</v>
      </c>
      <c r="H64">
        <f>'[27]GABM_R03_savannah-data'!$K63</f>
        <v>2</v>
      </c>
      <c r="I64">
        <f>'[28]GABM_R03_MitchellAPI-data'!$K63</f>
        <v>4</v>
      </c>
      <c r="J64">
        <f>'[29]GABM_R03_SudipaAPI-data'!$K63</f>
        <v>4</v>
      </c>
      <c r="K64">
        <f>'[30]R03_GABM_run2-data'!$K63</f>
        <v>4</v>
      </c>
      <c r="L64" t="e">
        <f t="shared" si="0"/>
        <v>#REF!</v>
      </c>
      <c r="N64">
        <v>61</v>
      </c>
      <c r="O64">
        <f>'[21]R03_GABM-data'!$K63</f>
        <v>2</v>
      </c>
      <c r="P64">
        <f>'[22]GABM_R03_RossAPI-data'!$K63</f>
        <v>4</v>
      </c>
      <c r="Q64">
        <v>0</v>
      </c>
      <c r="R64">
        <f>'[24]GABM_R03_NavidAPI-data'!$K63</f>
        <v>8</v>
      </c>
      <c r="S64">
        <f>'[25]GABM_R03_Terry-data'!$K63</f>
        <v>4</v>
      </c>
      <c r="T64">
        <f>'[26]GABM_R03_SarahAPI-data'!$K63</f>
        <v>1</v>
      </c>
      <c r="U64">
        <f>'[27]GABM_R03_savannah-data'!$K63</f>
        <v>2</v>
      </c>
      <c r="V64">
        <f>'[28]GABM_R03_MitchellAPI-data'!$K63</f>
        <v>4</v>
      </c>
      <c r="W64">
        <f>'[29]GABM_R03_SudipaAPI-data'!$K63</f>
        <v>4</v>
      </c>
      <c r="X64">
        <f>'[30]R03_GABM_run2-data'!$K63</f>
        <v>4</v>
      </c>
      <c r="Y64">
        <f t="shared" si="1"/>
        <v>3.3</v>
      </c>
    </row>
    <row r="65" spans="1:25" x14ac:dyDescent="0.35">
      <c r="A65">
        <v>62</v>
      </c>
      <c r="B65">
        <f>'[21]R03_GABM-data'!$K64</f>
        <v>1</v>
      </c>
      <c r="C65">
        <f>'[22]GABM_R03_RossAPI-data'!$K64</f>
        <v>1</v>
      </c>
      <c r="D65" t="e">
        <f>'[23]GABM_R03_RandiAPI-data'!$K64</f>
        <v>#REF!</v>
      </c>
      <c r="E65">
        <f>'[24]GABM_R03_NavidAPI-data'!$K64</f>
        <v>5</v>
      </c>
      <c r="F65">
        <f>'[25]GABM_R03_Terry-data'!$K64</f>
        <v>0</v>
      </c>
      <c r="G65">
        <f>'[26]GABM_R03_SarahAPI-data'!$K64</f>
        <v>2</v>
      </c>
      <c r="H65">
        <f>'[27]GABM_R03_savannah-data'!$K64</f>
        <v>2</v>
      </c>
      <c r="I65">
        <f>'[28]GABM_R03_MitchellAPI-data'!$K64</f>
        <v>0</v>
      </c>
      <c r="J65">
        <f>'[29]GABM_R03_SudipaAPI-data'!$K64</f>
        <v>2</v>
      </c>
      <c r="K65">
        <f>'[30]R03_GABM_run2-data'!$K64</f>
        <v>5</v>
      </c>
      <c r="L65" t="e">
        <f t="shared" si="0"/>
        <v>#REF!</v>
      </c>
      <c r="N65">
        <v>62</v>
      </c>
      <c r="O65">
        <f>'[21]R03_GABM-data'!$K64</f>
        <v>1</v>
      </c>
      <c r="P65">
        <f>'[22]GABM_R03_RossAPI-data'!$K64</f>
        <v>1</v>
      </c>
      <c r="Q65">
        <v>0</v>
      </c>
      <c r="R65">
        <f>'[24]GABM_R03_NavidAPI-data'!$K64</f>
        <v>5</v>
      </c>
      <c r="S65">
        <f>'[25]GABM_R03_Terry-data'!$K64</f>
        <v>0</v>
      </c>
      <c r="T65">
        <f>'[26]GABM_R03_SarahAPI-data'!$K64</f>
        <v>2</v>
      </c>
      <c r="U65">
        <f>'[27]GABM_R03_savannah-data'!$K64</f>
        <v>2</v>
      </c>
      <c r="V65">
        <f>'[28]GABM_R03_MitchellAPI-data'!$K64</f>
        <v>0</v>
      </c>
      <c r="W65">
        <f>'[29]GABM_R03_SudipaAPI-data'!$K64</f>
        <v>2</v>
      </c>
      <c r="X65">
        <f>'[30]R03_GABM_run2-data'!$K64</f>
        <v>5</v>
      </c>
      <c r="Y65">
        <f t="shared" si="1"/>
        <v>1.8</v>
      </c>
    </row>
    <row r="66" spans="1:25" x14ac:dyDescent="0.35">
      <c r="A66">
        <v>63</v>
      </c>
      <c r="B66">
        <f>'[21]R03_GABM-data'!$K65</f>
        <v>6</v>
      </c>
      <c r="C66">
        <f>'[22]GABM_R03_RossAPI-data'!$K65</f>
        <v>0</v>
      </c>
      <c r="D66" t="e">
        <f>'[23]GABM_R03_RandiAPI-data'!$K65</f>
        <v>#REF!</v>
      </c>
      <c r="E66">
        <f>'[24]GABM_R03_NavidAPI-data'!$K65</f>
        <v>5</v>
      </c>
      <c r="F66">
        <f>'[25]GABM_R03_Terry-data'!$K65</f>
        <v>2</v>
      </c>
      <c r="G66">
        <f>'[26]GABM_R03_SarahAPI-data'!$K65</f>
        <v>2</v>
      </c>
      <c r="H66">
        <f>'[27]GABM_R03_savannah-data'!$K65</f>
        <v>1</v>
      </c>
      <c r="I66">
        <f>'[28]GABM_R03_MitchellAPI-data'!$K65</f>
        <v>0</v>
      </c>
      <c r="J66">
        <f>'[29]GABM_R03_SudipaAPI-data'!$K65</f>
        <v>2</v>
      </c>
      <c r="K66">
        <f>'[30]R03_GABM_run2-data'!$K65</f>
        <v>4</v>
      </c>
      <c r="L66" t="e">
        <f t="shared" si="0"/>
        <v>#REF!</v>
      </c>
      <c r="N66">
        <v>63</v>
      </c>
      <c r="O66">
        <f>'[21]R03_GABM-data'!$K65</f>
        <v>6</v>
      </c>
      <c r="P66">
        <f>'[22]GABM_R03_RossAPI-data'!$K65</f>
        <v>0</v>
      </c>
      <c r="Q66">
        <v>0</v>
      </c>
      <c r="R66">
        <f>'[24]GABM_R03_NavidAPI-data'!$K65</f>
        <v>5</v>
      </c>
      <c r="S66">
        <f>'[25]GABM_R03_Terry-data'!$K65</f>
        <v>2</v>
      </c>
      <c r="T66">
        <f>'[26]GABM_R03_SarahAPI-data'!$K65</f>
        <v>2</v>
      </c>
      <c r="U66">
        <f>'[27]GABM_R03_savannah-data'!$K65</f>
        <v>1</v>
      </c>
      <c r="V66">
        <f>'[28]GABM_R03_MitchellAPI-data'!$K65</f>
        <v>0</v>
      </c>
      <c r="W66">
        <f>'[29]GABM_R03_SudipaAPI-data'!$K65</f>
        <v>2</v>
      </c>
      <c r="X66">
        <f>'[30]R03_GABM_run2-data'!$K65</f>
        <v>4</v>
      </c>
      <c r="Y66">
        <f t="shared" si="1"/>
        <v>2.2000000000000002</v>
      </c>
    </row>
    <row r="67" spans="1:25" x14ac:dyDescent="0.35">
      <c r="A67">
        <v>64</v>
      </c>
      <c r="B67">
        <f>'[21]R03_GABM-data'!$K66</f>
        <v>2</v>
      </c>
      <c r="C67">
        <f>'[22]GABM_R03_RossAPI-data'!$K66</f>
        <v>0</v>
      </c>
      <c r="D67" t="e">
        <f>'[23]GABM_R03_RandiAPI-data'!$K66</f>
        <v>#REF!</v>
      </c>
      <c r="E67">
        <f>'[24]GABM_R03_NavidAPI-data'!$K66</f>
        <v>1</v>
      </c>
      <c r="F67">
        <f>'[25]GABM_R03_Terry-data'!$K66</f>
        <v>0</v>
      </c>
      <c r="G67">
        <f>'[26]GABM_R03_SarahAPI-data'!$K66</f>
        <v>4</v>
      </c>
      <c r="H67">
        <f>'[27]GABM_R03_savannah-data'!$K66</f>
        <v>2</v>
      </c>
      <c r="I67">
        <f>'[28]GABM_R03_MitchellAPI-data'!$K66</f>
        <v>0</v>
      </c>
      <c r="J67">
        <f>'[29]GABM_R03_SudipaAPI-data'!$K66</f>
        <v>1</v>
      </c>
      <c r="K67">
        <f>'[30]R03_GABM_run2-data'!$K66</f>
        <v>5</v>
      </c>
      <c r="L67" t="e">
        <f t="shared" si="0"/>
        <v>#REF!</v>
      </c>
      <c r="N67">
        <v>64</v>
      </c>
      <c r="O67">
        <f>'[21]R03_GABM-data'!$K66</f>
        <v>2</v>
      </c>
      <c r="P67">
        <f>'[22]GABM_R03_RossAPI-data'!$K66</f>
        <v>0</v>
      </c>
      <c r="Q67">
        <v>0</v>
      </c>
      <c r="R67">
        <f>'[24]GABM_R03_NavidAPI-data'!$K66</f>
        <v>1</v>
      </c>
      <c r="S67">
        <f>'[25]GABM_R03_Terry-data'!$K66</f>
        <v>0</v>
      </c>
      <c r="T67">
        <f>'[26]GABM_R03_SarahAPI-data'!$K66</f>
        <v>4</v>
      </c>
      <c r="U67">
        <f>'[27]GABM_R03_savannah-data'!$K66</f>
        <v>2</v>
      </c>
      <c r="V67">
        <f>'[28]GABM_R03_MitchellAPI-data'!$K66</f>
        <v>0</v>
      </c>
      <c r="W67">
        <f>'[29]GABM_R03_SudipaAPI-data'!$K66</f>
        <v>1</v>
      </c>
      <c r="X67">
        <f>'[30]R03_GABM_run2-data'!$K66</f>
        <v>5</v>
      </c>
      <c r="Y67">
        <f t="shared" si="1"/>
        <v>1.5</v>
      </c>
    </row>
    <row r="68" spans="1:25" x14ac:dyDescent="0.35">
      <c r="A68">
        <v>65</v>
      </c>
      <c r="B68">
        <f>'[21]R03_GABM-data'!$K67</f>
        <v>2</v>
      </c>
      <c r="C68">
        <f>'[22]GABM_R03_RossAPI-data'!$K67</f>
        <v>0</v>
      </c>
      <c r="D68" t="e">
        <f>'[23]GABM_R03_RandiAPI-data'!$K67</f>
        <v>#REF!</v>
      </c>
      <c r="E68">
        <f>'[24]GABM_R03_NavidAPI-data'!$K67</f>
        <v>2</v>
      </c>
      <c r="F68">
        <f>'[25]GABM_R03_Terry-data'!$K67</f>
        <v>0</v>
      </c>
      <c r="G68">
        <f>'[26]GABM_R03_SarahAPI-data'!$K67</f>
        <v>4</v>
      </c>
      <c r="H68">
        <f>'[27]GABM_R03_savannah-data'!$K67</f>
        <v>1</v>
      </c>
      <c r="I68">
        <f>'[28]GABM_R03_MitchellAPI-data'!$K67</f>
        <v>0</v>
      </c>
      <c r="J68">
        <f>'[29]GABM_R03_SudipaAPI-data'!$K67</f>
        <v>2</v>
      </c>
      <c r="K68">
        <f>'[30]R03_GABM_run2-data'!$K67</f>
        <v>4</v>
      </c>
      <c r="L68" t="e">
        <f t="shared" ref="L68:L131" si="2">AVERAGE(B68:K68)</f>
        <v>#REF!</v>
      </c>
      <c r="N68">
        <v>65</v>
      </c>
      <c r="O68">
        <f>'[21]R03_GABM-data'!$K67</f>
        <v>2</v>
      </c>
      <c r="P68">
        <f>'[22]GABM_R03_RossAPI-data'!$K67</f>
        <v>0</v>
      </c>
      <c r="Q68">
        <v>0</v>
      </c>
      <c r="R68">
        <f>'[24]GABM_R03_NavidAPI-data'!$K67</f>
        <v>2</v>
      </c>
      <c r="S68">
        <f>'[25]GABM_R03_Terry-data'!$K67</f>
        <v>0</v>
      </c>
      <c r="T68">
        <f>'[26]GABM_R03_SarahAPI-data'!$K67</f>
        <v>4</v>
      </c>
      <c r="U68">
        <f>'[27]GABM_R03_savannah-data'!$K67</f>
        <v>1</v>
      </c>
      <c r="V68">
        <f>'[28]GABM_R03_MitchellAPI-data'!$K67</f>
        <v>0</v>
      </c>
      <c r="W68">
        <f>'[29]GABM_R03_SudipaAPI-data'!$K67</f>
        <v>2</v>
      </c>
      <c r="X68">
        <f>'[30]R03_GABM_run2-data'!$K67</f>
        <v>4</v>
      </c>
      <c r="Y68">
        <f t="shared" ref="Y68:Y131" si="3">AVERAGE(O68:X68)</f>
        <v>1.5</v>
      </c>
    </row>
    <row r="69" spans="1:25" x14ac:dyDescent="0.35">
      <c r="A69">
        <v>66</v>
      </c>
      <c r="B69">
        <f>'[21]R03_GABM-data'!$K68</f>
        <v>2</v>
      </c>
      <c r="C69">
        <f>'[22]GABM_R03_RossAPI-data'!$K68</f>
        <v>0</v>
      </c>
      <c r="D69" t="e">
        <f>'[23]GABM_R03_RandiAPI-data'!$K68</f>
        <v>#REF!</v>
      </c>
      <c r="E69">
        <f>'[24]GABM_R03_NavidAPI-data'!$K68</f>
        <v>0</v>
      </c>
      <c r="F69">
        <f>'[25]GABM_R03_Terry-data'!$K68</f>
        <v>5</v>
      </c>
      <c r="G69">
        <f>'[26]GABM_R03_SarahAPI-data'!$K68</f>
        <v>3</v>
      </c>
      <c r="H69">
        <f>'[27]GABM_R03_savannah-data'!$K68</f>
        <v>1</v>
      </c>
      <c r="I69">
        <f>'[28]GABM_R03_MitchellAPI-data'!$K68</f>
        <v>0</v>
      </c>
      <c r="J69">
        <f>'[29]GABM_R03_SudipaAPI-data'!$K68</f>
        <v>1</v>
      </c>
      <c r="K69">
        <f>'[30]R03_GABM_run2-data'!$K68</f>
        <v>4</v>
      </c>
      <c r="L69" t="e">
        <f t="shared" si="2"/>
        <v>#REF!</v>
      </c>
      <c r="N69">
        <v>66</v>
      </c>
      <c r="O69">
        <f>'[21]R03_GABM-data'!$K68</f>
        <v>2</v>
      </c>
      <c r="P69">
        <f>'[22]GABM_R03_RossAPI-data'!$K68</f>
        <v>0</v>
      </c>
      <c r="Q69">
        <v>0</v>
      </c>
      <c r="R69">
        <f>'[24]GABM_R03_NavidAPI-data'!$K68</f>
        <v>0</v>
      </c>
      <c r="S69">
        <f>'[25]GABM_R03_Terry-data'!$K68</f>
        <v>5</v>
      </c>
      <c r="T69">
        <f>'[26]GABM_R03_SarahAPI-data'!$K68</f>
        <v>3</v>
      </c>
      <c r="U69">
        <f>'[27]GABM_R03_savannah-data'!$K68</f>
        <v>1</v>
      </c>
      <c r="V69">
        <f>'[28]GABM_R03_MitchellAPI-data'!$K68</f>
        <v>0</v>
      </c>
      <c r="W69">
        <f>'[29]GABM_R03_SudipaAPI-data'!$K68</f>
        <v>1</v>
      </c>
      <c r="X69">
        <f>'[30]R03_GABM_run2-data'!$K68</f>
        <v>4</v>
      </c>
      <c r="Y69">
        <f t="shared" si="3"/>
        <v>1.6</v>
      </c>
    </row>
    <row r="70" spans="1:25" x14ac:dyDescent="0.35">
      <c r="A70">
        <v>67</v>
      </c>
      <c r="B70">
        <f>'[21]R03_GABM-data'!$K69</f>
        <v>3</v>
      </c>
      <c r="C70">
        <f>'[22]GABM_R03_RossAPI-data'!$K69</f>
        <v>1</v>
      </c>
      <c r="D70" t="e">
        <f>'[23]GABM_R03_RandiAPI-data'!$K69</f>
        <v>#REF!</v>
      </c>
      <c r="E70">
        <f>'[24]GABM_R03_NavidAPI-data'!$K69</f>
        <v>1</v>
      </c>
      <c r="F70">
        <f>'[25]GABM_R03_Terry-data'!$K69</f>
        <v>2</v>
      </c>
      <c r="G70">
        <f>'[26]GABM_R03_SarahAPI-data'!$K69</f>
        <v>2</v>
      </c>
      <c r="H70">
        <f>'[27]GABM_R03_savannah-data'!$K69</f>
        <v>2</v>
      </c>
      <c r="I70">
        <f>'[28]GABM_R03_MitchellAPI-data'!$K69</f>
        <v>2</v>
      </c>
      <c r="J70">
        <f>'[29]GABM_R03_SudipaAPI-data'!$K69</f>
        <v>0</v>
      </c>
      <c r="K70">
        <f>'[30]R03_GABM_run2-data'!$K69</f>
        <v>3</v>
      </c>
      <c r="L70" t="e">
        <f t="shared" si="2"/>
        <v>#REF!</v>
      </c>
      <c r="N70">
        <v>67</v>
      </c>
      <c r="O70">
        <f>'[21]R03_GABM-data'!$K69</f>
        <v>3</v>
      </c>
      <c r="P70">
        <f>'[22]GABM_R03_RossAPI-data'!$K69</f>
        <v>1</v>
      </c>
      <c r="Q70">
        <v>0</v>
      </c>
      <c r="R70">
        <f>'[24]GABM_R03_NavidAPI-data'!$K69</f>
        <v>1</v>
      </c>
      <c r="S70">
        <f>'[25]GABM_R03_Terry-data'!$K69</f>
        <v>2</v>
      </c>
      <c r="T70">
        <f>'[26]GABM_R03_SarahAPI-data'!$K69</f>
        <v>2</v>
      </c>
      <c r="U70">
        <f>'[27]GABM_R03_savannah-data'!$K69</f>
        <v>2</v>
      </c>
      <c r="V70">
        <f>'[28]GABM_R03_MitchellAPI-data'!$K69</f>
        <v>2</v>
      </c>
      <c r="W70">
        <f>'[29]GABM_R03_SudipaAPI-data'!$K69</f>
        <v>0</v>
      </c>
      <c r="X70">
        <f>'[30]R03_GABM_run2-data'!$K69</f>
        <v>3</v>
      </c>
      <c r="Y70">
        <f t="shared" si="3"/>
        <v>1.6</v>
      </c>
    </row>
    <row r="71" spans="1:25" x14ac:dyDescent="0.35">
      <c r="A71">
        <v>68</v>
      </c>
      <c r="B71">
        <f>'[21]R03_GABM-data'!$K70</f>
        <v>5</v>
      </c>
      <c r="C71">
        <f>'[22]GABM_R03_RossAPI-data'!$K70</f>
        <v>3</v>
      </c>
      <c r="D71" t="e">
        <f>'[23]GABM_R03_RandiAPI-data'!$K70</f>
        <v>#REF!</v>
      </c>
      <c r="E71">
        <f>'[24]GABM_R03_NavidAPI-data'!$K70</f>
        <v>1</v>
      </c>
      <c r="F71">
        <f>'[25]GABM_R03_Terry-data'!$K70</f>
        <v>2</v>
      </c>
      <c r="G71">
        <f>'[26]GABM_R03_SarahAPI-data'!$K70</f>
        <v>5</v>
      </c>
      <c r="H71">
        <f>'[27]GABM_R03_savannah-data'!$K70</f>
        <v>2</v>
      </c>
      <c r="I71">
        <f>'[28]GABM_R03_MitchellAPI-data'!$K70</f>
        <v>0</v>
      </c>
      <c r="J71">
        <f>'[29]GABM_R03_SudipaAPI-data'!$K70</f>
        <v>0</v>
      </c>
      <c r="K71">
        <f>'[30]R03_GABM_run2-data'!$K70</f>
        <v>2</v>
      </c>
      <c r="L71" t="e">
        <f t="shared" si="2"/>
        <v>#REF!</v>
      </c>
      <c r="N71">
        <v>68</v>
      </c>
      <c r="O71">
        <f>'[21]R03_GABM-data'!$K70</f>
        <v>5</v>
      </c>
      <c r="P71">
        <f>'[22]GABM_R03_RossAPI-data'!$K70</f>
        <v>3</v>
      </c>
      <c r="Q71">
        <v>0</v>
      </c>
      <c r="R71">
        <f>'[24]GABM_R03_NavidAPI-data'!$K70</f>
        <v>1</v>
      </c>
      <c r="S71">
        <f>'[25]GABM_R03_Terry-data'!$K70</f>
        <v>2</v>
      </c>
      <c r="T71">
        <f>'[26]GABM_R03_SarahAPI-data'!$K70</f>
        <v>5</v>
      </c>
      <c r="U71">
        <f>'[27]GABM_R03_savannah-data'!$K70</f>
        <v>2</v>
      </c>
      <c r="V71">
        <f>'[28]GABM_R03_MitchellAPI-data'!$K70</f>
        <v>0</v>
      </c>
      <c r="W71">
        <f>'[29]GABM_R03_SudipaAPI-data'!$K70</f>
        <v>0</v>
      </c>
      <c r="X71">
        <f>'[30]R03_GABM_run2-data'!$K70</f>
        <v>2</v>
      </c>
      <c r="Y71">
        <f t="shared" si="3"/>
        <v>2</v>
      </c>
    </row>
    <row r="72" spans="1:25" x14ac:dyDescent="0.35">
      <c r="A72">
        <v>69</v>
      </c>
      <c r="B72">
        <f>'[21]R03_GABM-data'!$K71</f>
        <v>4</v>
      </c>
      <c r="C72">
        <f>'[22]GABM_R03_RossAPI-data'!$K71</f>
        <v>3</v>
      </c>
      <c r="D72" t="e">
        <f>'[23]GABM_R03_RandiAPI-data'!$K71</f>
        <v>#REF!</v>
      </c>
      <c r="E72">
        <f>'[24]GABM_R03_NavidAPI-data'!$K71</f>
        <v>0</v>
      </c>
      <c r="F72">
        <f>'[25]GABM_R03_Terry-data'!$K71</f>
        <v>7</v>
      </c>
      <c r="G72">
        <f>'[26]GABM_R03_SarahAPI-data'!$K71</f>
        <v>4</v>
      </c>
      <c r="H72">
        <f>'[27]GABM_R03_savannah-data'!$K71</f>
        <v>3</v>
      </c>
      <c r="I72">
        <f>'[28]GABM_R03_MitchellAPI-data'!$K71</f>
        <v>1</v>
      </c>
      <c r="J72">
        <f>'[29]GABM_R03_SudipaAPI-data'!$K71</f>
        <v>0</v>
      </c>
      <c r="K72">
        <f>'[30]R03_GABM_run2-data'!$K71</f>
        <v>2</v>
      </c>
      <c r="L72" t="e">
        <f t="shared" si="2"/>
        <v>#REF!</v>
      </c>
      <c r="N72">
        <v>69</v>
      </c>
      <c r="O72">
        <f>'[21]R03_GABM-data'!$K71</f>
        <v>4</v>
      </c>
      <c r="P72">
        <f>'[22]GABM_R03_RossAPI-data'!$K71</f>
        <v>3</v>
      </c>
      <c r="Q72">
        <v>0</v>
      </c>
      <c r="R72">
        <f>'[24]GABM_R03_NavidAPI-data'!$K71</f>
        <v>0</v>
      </c>
      <c r="S72">
        <f>'[25]GABM_R03_Terry-data'!$K71</f>
        <v>7</v>
      </c>
      <c r="T72">
        <f>'[26]GABM_R03_SarahAPI-data'!$K71</f>
        <v>4</v>
      </c>
      <c r="U72">
        <f>'[27]GABM_R03_savannah-data'!$K71</f>
        <v>3</v>
      </c>
      <c r="V72">
        <f>'[28]GABM_R03_MitchellAPI-data'!$K71</f>
        <v>1</v>
      </c>
      <c r="W72">
        <f>'[29]GABM_R03_SudipaAPI-data'!$K71</f>
        <v>0</v>
      </c>
      <c r="X72">
        <f>'[30]R03_GABM_run2-data'!$K71</f>
        <v>2</v>
      </c>
      <c r="Y72">
        <f t="shared" si="3"/>
        <v>2.4</v>
      </c>
    </row>
    <row r="73" spans="1:25" x14ac:dyDescent="0.35">
      <c r="A73">
        <v>70</v>
      </c>
      <c r="B73">
        <f>'[21]R03_GABM-data'!$K72</f>
        <v>1</v>
      </c>
      <c r="C73">
        <f>'[22]GABM_R03_RossAPI-data'!$K72</f>
        <v>1</v>
      </c>
      <c r="D73" t="e">
        <f>'[23]GABM_R03_RandiAPI-data'!$K72</f>
        <v>#REF!</v>
      </c>
      <c r="E73">
        <f>'[24]GABM_R03_NavidAPI-data'!$K72</f>
        <v>1</v>
      </c>
      <c r="F73">
        <f>'[25]GABM_R03_Terry-data'!$K72</f>
        <v>1</v>
      </c>
      <c r="G73">
        <f>'[26]GABM_R03_SarahAPI-data'!$K72</f>
        <v>5</v>
      </c>
      <c r="H73">
        <f>'[27]GABM_R03_savannah-data'!$K72</f>
        <v>1</v>
      </c>
      <c r="I73">
        <f>'[28]GABM_R03_MitchellAPI-data'!$K72</f>
        <v>2</v>
      </c>
      <c r="J73">
        <f>'[29]GABM_R03_SudipaAPI-data'!$K72</f>
        <v>0</v>
      </c>
      <c r="K73">
        <f>'[30]R03_GABM_run2-data'!$K72</f>
        <v>3</v>
      </c>
      <c r="L73" t="e">
        <f t="shared" si="2"/>
        <v>#REF!</v>
      </c>
      <c r="N73">
        <v>70</v>
      </c>
      <c r="O73">
        <f>'[21]R03_GABM-data'!$K72</f>
        <v>1</v>
      </c>
      <c r="P73">
        <f>'[22]GABM_R03_RossAPI-data'!$K72</f>
        <v>1</v>
      </c>
      <c r="Q73">
        <v>0</v>
      </c>
      <c r="R73">
        <f>'[24]GABM_R03_NavidAPI-data'!$K72</f>
        <v>1</v>
      </c>
      <c r="S73">
        <f>'[25]GABM_R03_Terry-data'!$K72</f>
        <v>1</v>
      </c>
      <c r="T73">
        <f>'[26]GABM_R03_SarahAPI-data'!$K72</f>
        <v>5</v>
      </c>
      <c r="U73">
        <f>'[27]GABM_R03_savannah-data'!$K72</f>
        <v>1</v>
      </c>
      <c r="V73">
        <f>'[28]GABM_R03_MitchellAPI-data'!$K72</f>
        <v>2</v>
      </c>
      <c r="W73">
        <f>'[29]GABM_R03_SudipaAPI-data'!$K72</f>
        <v>0</v>
      </c>
      <c r="X73">
        <f>'[30]R03_GABM_run2-data'!$K72</f>
        <v>3</v>
      </c>
      <c r="Y73">
        <f t="shared" si="3"/>
        <v>1.5</v>
      </c>
    </row>
    <row r="74" spans="1:25" x14ac:dyDescent="0.35">
      <c r="A74">
        <v>71</v>
      </c>
      <c r="B74">
        <f>'[21]R03_GABM-data'!$K73</f>
        <v>2</v>
      </c>
      <c r="C74">
        <f>'[22]GABM_R03_RossAPI-data'!$K73</f>
        <v>1</v>
      </c>
      <c r="D74" t="e">
        <f>'[23]GABM_R03_RandiAPI-data'!$K73</f>
        <v>#REF!</v>
      </c>
      <c r="E74">
        <f>'[24]GABM_R03_NavidAPI-data'!$K73</f>
        <v>1</v>
      </c>
      <c r="F74">
        <f>'[25]GABM_R03_Terry-data'!$K73</f>
        <v>1</v>
      </c>
      <c r="G74">
        <f>'[26]GABM_R03_SarahAPI-data'!$K73</f>
        <v>5</v>
      </c>
      <c r="H74">
        <f>'[27]GABM_R03_savannah-data'!$K73</f>
        <v>0</v>
      </c>
      <c r="I74">
        <f>'[28]GABM_R03_MitchellAPI-data'!$K73</f>
        <v>1</v>
      </c>
      <c r="J74">
        <f>'[29]GABM_R03_SudipaAPI-data'!$K73</f>
        <v>3</v>
      </c>
      <c r="K74">
        <f>'[30]R03_GABM_run2-data'!$K73</f>
        <v>0</v>
      </c>
      <c r="L74" t="e">
        <f t="shared" si="2"/>
        <v>#REF!</v>
      </c>
      <c r="N74">
        <v>71</v>
      </c>
      <c r="O74">
        <f>'[21]R03_GABM-data'!$K73</f>
        <v>2</v>
      </c>
      <c r="P74">
        <f>'[22]GABM_R03_RossAPI-data'!$K73</f>
        <v>1</v>
      </c>
      <c r="Q74">
        <v>0</v>
      </c>
      <c r="R74">
        <f>'[24]GABM_R03_NavidAPI-data'!$K73</f>
        <v>1</v>
      </c>
      <c r="S74">
        <f>'[25]GABM_R03_Terry-data'!$K73</f>
        <v>1</v>
      </c>
      <c r="T74">
        <f>'[26]GABM_R03_SarahAPI-data'!$K73</f>
        <v>5</v>
      </c>
      <c r="U74">
        <f>'[27]GABM_R03_savannah-data'!$K73</f>
        <v>0</v>
      </c>
      <c r="V74">
        <f>'[28]GABM_R03_MitchellAPI-data'!$K73</f>
        <v>1</v>
      </c>
      <c r="W74">
        <f>'[29]GABM_R03_SudipaAPI-data'!$K73</f>
        <v>3</v>
      </c>
      <c r="X74">
        <f>'[30]R03_GABM_run2-data'!$K73</f>
        <v>0</v>
      </c>
      <c r="Y74">
        <f t="shared" si="3"/>
        <v>1.4</v>
      </c>
    </row>
    <row r="75" spans="1:25" x14ac:dyDescent="0.35">
      <c r="A75">
        <v>72</v>
      </c>
      <c r="B75">
        <f>'[21]R03_GABM-data'!$K74</f>
        <v>1</v>
      </c>
      <c r="C75">
        <f>'[22]GABM_R03_RossAPI-data'!$K74</f>
        <v>1</v>
      </c>
      <c r="D75" t="e">
        <f>'[23]GABM_R03_RandiAPI-data'!$K74</f>
        <v>#REF!</v>
      </c>
      <c r="E75">
        <f>'[24]GABM_R03_NavidAPI-data'!$K74</f>
        <v>1</v>
      </c>
      <c r="F75">
        <f>'[25]GABM_R03_Terry-data'!$K74</f>
        <v>1</v>
      </c>
      <c r="G75">
        <f>'[26]GABM_R03_SarahAPI-data'!$K74</f>
        <v>2</v>
      </c>
      <c r="H75">
        <f>'[27]GABM_R03_savannah-data'!$K74</f>
        <v>3</v>
      </c>
      <c r="I75">
        <f>'[28]GABM_R03_MitchellAPI-data'!$K74</f>
        <v>5</v>
      </c>
      <c r="J75">
        <f>'[29]GABM_R03_SudipaAPI-data'!$K74</f>
        <v>0</v>
      </c>
      <c r="K75">
        <f>'[30]R03_GABM_run2-data'!$K74</f>
        <v>2</v>
      </c>
      <c r="L75" t="e">
        <f t="shared" si="2"/>
        <v>#REF!</v>
      </c>
      <c r="N75">
        <v>72</v>
      </c>
      <c r="O75">
        <f>'[21]R03_GABM-data'!$K74</f>
        <v>1</v>
      </c>
      <c r="P75">
        <f>'[22]GABM_R03_RossAPI-data'!$K74</f>
        <v>1</v>
      </c>
      <c r="Q75">
        <v>0</v>
      </c>
      <c r="R75">
        <f>'[24]GABM_R03_NavidAPI-data'!$K74</f>
        <v>1</v>
      </c>
      <c r="S75">
        <f>'[25]GABM_R03_Terry-data'!$K74</f>
        <v>1</v>
      </c>
      <c r="T75">
        <f>'[26]GABM_R03_SarahAPI-data'!$K74</f>
        <v>2</v>
      </c>
      <c r="U75">
        <f>'[27]GABM_R03_savannah-data'!$K74</f>
        <v>3</v>
      </c>
      <c r="V75">
        <f>'[28]GABM_R03_MitchellAPI-data'!$K74</f>
        <v>5</v>
      </c>
      <c r="W75">
        <f>'[29]GABM_R03_SudipaAPI-data'!$K74</f>
        <v>0</v>
      </c>
      <c r="X75">
        <f>'[30]R03_GABM_run2-data'!$K74</f>
        <v>2</v>
      </c>
      <c r="Y75">
        <f t="shared" si="3"/>
        <v>1.6</v>
      </c>
    </row>
    <row r="76" spans="1:25" x14ac:dyDescent="0.35">
      <c r="A76">
        <v>73</v>
      </c>
      <c r="B76">
        <f>'[21]R03_GABM-data'!$K75</f>
        <v>0</v>
      </c>
      <c r="C76">
        <f>'[22]GABM_R03_RossAPI-data'!$K75</f>
        <v>0</v>
      </c>
      <c r="D76" t="e">
        <f>'[23]GABM_R03_RandiAPI-data'!$K75</f>
        <v>#REF!</v>
      </c>
      <c r="E76">
        <f>'[24]GABM_R03_NavidAPI-data'!$K75</f>
        <v>1</v>
      </c>
      <c r="F76">
        <f>'[25]GABM_R03_Terry-data'!$K75</f>
        <v>0</v>
      </c>
      <c r="G76">
        <f>'[26]GABM_R03_SarahAPI-data'!$K75</f>
        <v>0</v>
      </c>
      <c r="H76">
        <f>'[27]GABM_R03_savannah-data'!$K75</f>
        <v>2</v>
      </c>
      <c r="I76">
        <f>'[28]GABM_R03_MitchellAPI-data'!$K75</f>
        <v>2</v>
      </c>
      <c r="J76">
        <f>'[29]GABM_R03_SudipaAPI-data'!$K75</f>
        <v>0</v>
      </c>
      <c r="K76">
        <f>'[30]R03_GABM_run2-data'!$K75</f>
        <v>0</v>
      </c>
      <c r="L76" t="e">
        <f t="shared" si="2"/>
        <v>#REF!</v>
      </c>
      <c r="N76">
        <v>73</v>
      </c>
      <c r="O76">
        <f>'[21]R03_GABM-data'!$K75</f>
        <v>0</v>
      </c>
      <c r="P76">
        <f>'[22]GABM_R03_RossAPI-data'!$K75</f>
        <v>0</v>
      </c>
      <c r="Q76">
        <v>0</v>
      </c>
      <c r="R76">
        <f>'[24]GABM_R03_NavidAPI-data'!$K75</f>
        <v>1</v>
      </c>
      <c r="S76">
        <f>'[25]GABM_R03_Terry-data'!$K75</f>
        <v>0</v>
      </c>
      <c r="T76">
        <f>'[26]GABM_R03_SarahAPI-data'!$K75</f>
        <v>0</v>
      </c>
      <c r="U76">
        <f>'[27]GABM_R03_savannah-data'!$K75</f>
        <v>2</v>
      </c>
      <c r="V76">
        <f>'[28]GABM_R03_MitchellAPI-data'!$K75</f>
        <v>2</v>
      </c>
      <c r="W76">
        <f>'[29]GABM_R03_SudipaAPI-data'!$K75</f>
        <v>0</v>
      </c>
      <c r="X76">
        <f>'[30]R03_GABM_run2-data'!$K75</f>
        <v>0</v>
      </c>
      <c r="Y76">
        <f t="shared" si="3"/>
        <v>0.5</v>
      </c>
    </row>
    <row r="77" spans="1:25" x14ac:dyDescent="0.35">
      <c r="A77">
        <v>74</v>
      </c>
      <c r="B77">
        <f>'[21]R03_GABM-data'!$K76</f>
        <v>0</v>
      </c>
      <c r="C77">
        <f>'[22]GABM_R03_RossAPI-data'!$K76</f>
        <v>0</v>
      </c>
      <c r="D77" t="e">
        <f>'[23]GABM_R03_RandiAPI-data'!$K76</f>
        <v>#REF!</v>
      </c>
      <c r="E77">
        <f>'[24]GABM_R03_NavidAPI-data'!$K76</f>
        <v>0</v>
      </c>
      <c r="F77">
        <f>'[25]GABM_R03_Terry-data'!$K76</f>
        <v>2</v>
      </c>
      <c r="G77">
        <f>'[26]GABM_R03_SarahAPI-data'!$K76</f>
        <v>1</v>
      </c>
      <c r="H77">
        <f>'[27]GABM_R03_savannah-data'!$K76</f>
        <v>2</v>
      </c>
      <c r="I77">
        <f>'[28]GABM_R03_MitchellAPI-data'!$K76</f>
        <v>0</v>
      </c>
      <c r="J77">
        <f>'[29]GABM_R03_SudipaAPI-data'!$K76</f>
        <v>1</v>
      </c>
      <c r="K77">
        <f>'[30]R03_GABM_run2-data'!$K76</f>
        <v>1</v>
      </c>
      <c r="L77" t="e">
        <f t="shared" si="2"/>
        <v>#REF!</v>
      </c>
      <c r="N77">
        <v>74</v>
      </c>
      <c r="O77">
        <f>'[21]R03_GABM-data'!$K76</f>
        <v>0</v>
      </c>
      <c r="P77">
        <f>'[22]GABM_R03_RossAPI-data'!$K76</f>
        <v>0</v>
      </c>
      <c r="Q77">
        <v>0</v>
      </c>
      <c r="R77">
        <f>'[24]GABM_R03_NavidAPI-data'!$K76</f>
        <v>0</v>
      </c>
      <c r="S77">
        <f>'[25]GABM_R03_Terry-data'!$K76</f>
        <v>2</v>
      </c>
      <c r="T77">
        <f>'[26]GABM_R03_SarahAPI-data'!$K76</f>
        <v>1</v>
      </c>
      <c r="U77">
        <f>'[27]GABM_R03_savannah-data'!$K76</f>
        <v>2</v>
      </c>
      <c r="V77">
        <f>'[28]GABM_R03_MitchellAPI-data'!$K76</f>
        <v>0</v>
      </c>
      <c r="W77">
        <f>'[29]GABM_R03_SudipaAPI-data'!$K76</f>
        <v>1</v>
      </c>
      <c r="X77">
        <f>'[30]R03_GABM_run2-data'!$K76</f>
        <v>1</v>
      </c>
      <c r="Y77">
        <f t="shared" si="3"/>
        <v>0.7</v>
      </c>
    </row>
    <row r="78" spans="1:25" x14ac:dyDescent="0.35">
      <c r="A78">
        <v>75</v>
      </c>
      <c r="B78">
        <f>'[21]R03_GABM-data'!$K77</f>
        <v>0</v>
      </c>
      <c r="C78">
        <f>'[22]GABM_R03_RossAPI-data'!$K77</f>
        <v>0</v>
      </c>
      <c r="D78" t="e">
        <f>'[23]GABM_R03_RandiAPI-data'!$K77</f>
        <v>#REF!</v>
      </c>
      <c r="E78">
        <f>'[24]GABM_R03_NavidAPI-data'!$K77</f>
        <v>0</v>
      </c>
      <c r="F78">
        <f>'[25]GABM_R03_Terry-data'!$K77</f>
        <v>0</v>
      </c>
      <c r="G78">
        <f>'[26]GABM_R03_SarahAPI-data'!$K77</f>
        <v>1</v>
      </c>
      <c r="H78">
        <f>'[27]GABM_R03_savannah-data'!$K77</f>
        <v>8</v>
      </c>
      <c r="I78">
        <f>'[28]GABM_R03_MitchellAPI-data'!$K77</f>
        <v>2</v>
      </c>
      <c r="J78">
        <f>'[29]GABM_R03_SudipaAPI-data'!$K77</f>
        <v>0</v>
      </c>
      <c r="K78">
        <f>'[30]R03_GABM_run2-data'!$K77</f>
        <v>2</v>
      </c>
      <c r="L78" t="e">
        <f t="shared" si="2"/>
        <v>#REF!</v>
      </c>
      <c r="N78">
        <v>75</v>
      </c>
      <c r="O78">
        <f>'[21]R03_GABM-data'!$K77</f>
        <v>0</v>
      </c>
      <c r="P78">
        <f>'[22]GABM_R03_RossAPI-data'!$K77</f>
        <v>0</v>
      </c>
      <c r="Q78">
        <v>0</v>
      </c>
      <c r="R78">
        <f>'[24]GABM_R03_NavidAPI-data'!$K77</f>
        <v>0</v>
      </c>
      <c r="S78">
        <f>'[25]GABM_R03_Terry-data'!$K77</f>
        <v>0</v>
      </c>
      <c r="T78">
        <f>'[26]GABM_R03_SarahAPI-data'!$K77</f>
        <v>1</v>
      </c>
      <c r="U78">
        <f>'[27]GABM_R03_savannah-data'!$K77</f>
        <v>8</v>
      </c>
      <c r="V78">
        <f>'[28]GABM_R03_MitchellAPI-data'!$K77</f>
        <v>2</v>
      </c>
      <c r="W78">
        <f>'[29]GABM_R03_SudipaAPI-data'!$K77</f>
        <v>0</v>
      </c>
      <c r="X78">
        <f>'[30]R03_GABM_run2-data'!$K77</f>
        <v>2</v>
      </c>
      <c r="Y78">
        <f t="shared" si="3"/>
        <v>1.3</v>
      </c>
    </row>
    <row r="79" spans="1:25" x14ac:dyDescent="0.35">
      <c r="A79">
        <v>76</v>
      </c>
      <c r="B79">
        <f>'[21]R03_GABM-data'!$K78</f>
        <v>0</v>
      </c>
      <c r="C79" t="e">
        <f>'[22]GABM_R03_RossAPI-data'!$K78</f>
        <v>#REF!</v>
      </c>
      <c r="D79" t="e">
        <f>'[23]GABM_R03_RandiAPI-data'!$K78</f>
        <v>#REF!</v>
      </c>
      <c r="E79">
        <f>'[24]GABM_R03_NavidAPI-data'!$K78</f>
        <v>0</v>
      </c>
      <c r="F79">
        <f>'[25]GABM_R03_Terry-data'!$K78</f>
        <v>2</v>
      </c>
      <c r="G79">
        <f>'[26]GABM_R03_SarahAPI-data'!$K78</f>
        <v>4</v>
      </c>
      <c r="H79">
        <f>'[27]GABM_R03_savannah-data'!$K78</f>
        <v>0</v>
      </c>
      <c r="I79">
        <f>'[28]GABM_R03_MitchellAPI-data'!$K78</f>
        <v>0</v>
      </c>
      <c r="J79">
        <f>'[29]GABM_R03_SudipaAPI-data'!$K78</f>
        <v>0</v>
      </c>
      <c r="K79">
        <f>'[30]R03_GABM_run2-data'!$K78</f>
        <v>1</v>
      </c>
      <c r="L79" t="e">
        <f t="shared" si="2"/>
        <v>#REF!</v>
      </c>
      <c r="N79">
        <v>76</v>
      </c>
      <c r="O79">
        <f>'[21]R03_GABM-data'!$K78</f>
        <v>0</v>
      </c>
      <c r="P79">
        <v>0</v>
      </c>
      <c r="Q79">
        <v>0</v>
      </c>
      <c r="R79">
        <f>'[24]GABM_R03_NavidAPI-data'!$K78</f>
        <v>0</v>
      </c>
      <c r="S79">
        <f>'[25]GABM_R03_Terry-data'!$K78</f>
        <v>2</v>
      </c>
      <c r="T79">
        <f>'[26]GABM_R03_SarahAPI-data'!$K78</f>
        <v>4</v>
      </c>
      <c r="U79">
        <f>'[27]GABM_R03_savannah-data'!$K78</f>
        <v>0</v>
      </c>
      <c r="V79">
        <f>'[28]GABM_R03_MitchellAPI-data'!$K78</f>
        <v>0</v>
      </c>
      <c r="W79">
        <f>'[29]GABM_R03_SudipaAPI-data'!$K78</f>
        <v>0</v>
      </c>
      <c r="X79">
        <f>'[30]R03_GABM_run2-data'!$K78</f>
        <v>1</v>
      </c>
      <c r="Y79">
        <f t="shared" si="3"/>
        <v>0.7</v>
      </c>
    </row>
    <row r="80" spans="1:25" x14ac:dyDescent="0.35">
      <c r="A80">
        <v>77</v>
      </c>
      <c r="B80" t="e">
        <f>'[21]R03_GABM-data'!$K79</f>
        <v>#REF!</v>
      </c>
      <c r="C80" t="e">
        <f>'[22]GABM_R03_RossAPI-data'!$K79</f>
        <v>#REF!</v>
      </c>
      <c r="D80" t="e">
        <f>'[23]GABM_R03_RandiAPI-data'!$K79</f>
        <v>#REF!</v>
      </c>
      <c r="E80" t="e">
        <f>'[24]GABM_R03_NavidAPI-data'!$K79</f>
        <v>#REF!</v>
      </c>
      <c r="F80">
        <f>'[25]GABM_R03_Terry-data'!$K79</f>
        <v>4</v>
      </c>
      <c r="G80">
        <f>'[26]GABM_R03_SarahAPI-data'!$K79</f>
        <v>2</v>
      </c>
      <c r="H80">
        <f>'[27]GABM_R03_savannah-data'!$K79</f>
        <v>2</v>
      </c>
      <c r="I80">
        <f>'[28]GABM_R03_MitchellAPI-data'!$K79</f>
        <v>2</v>
      </c>
      <c r="J80">
        <f>'[29]GABM_R03_SudipaAPI-data'!$K79</f>
        <v>1</v>
      </c>
      <c r="K80">
        <f>'[30]R03_GABM_run2-data'!$K79</f>
        <v>0</v>
      </c>
      <c r="L80" t="e">
        <f t="shared" si="2"/>
        <v>#REF!</v>
      </c>
      <c r="N80">
        <v>77</v>
      </c>
      <c r="O80">
        <v>0</v>
      </c>
      <c r="P80">
        <v>0</v>
      </c>
      <c r="Q80">
        <v>0</v>
      </c>
      <c r="R80">
        <v>0</v>
      </c>
      <c r="S80">
        <f>'[25]GABM_R03_Terry-data'!$K79</f>
        <v>4</v>
      </c>
      <c r="T80">
        <f>'[26]GABM_R03_SarahAPI-data'!$K79</f>
        <v>2</v>
      </c>
      <c r="U80">
        <f>'[27]GABM_R03_savannah-data'!$K79</f>
        <v>2</v>
      </c>
      <c r="V80">
        <f>'[28]GABM_R03_MitchellAPI-data'!$K79</f>
        <v>2</v>
      </c>
      <c r="W80">
        <f>'[29]GABM_R03_SudipaAPI-data'!$K79</f>
        <v>1</v>
      </c>
      <c r="X80">
        <f>'[30]R03_GABM_run2-data'!$K79</f>
        <v>0</v>
      </c>
      <c r="Y80">
        <f t="shared" si="3"/>
        <v>1.1000000000000001</v>
      </c>
    </row>
    <row r="81" spans="1:25" x14ac:dyDescent="0.35">
      <c r="A81">
        <v>78</v>
      </c>
      <c r="B81" t="e">
        <f>'[21]R03_GABM-data'!$K80</f>
        <v>#REF!</v>
      </c>
      <c r="C81" t="e">
        <f>'[22]GABM_R03_RossAPI-data'!$K80</f>
        <v>#REF!</v>
      </c>
      <c r="D81" t="e">
        <f>'[23]GABM_R03_RandiAPI-data'!$K80</f>
        <v>#REF!</v>
      </c>
      <c r="E81" t="e">
        <f>'[24]GABM_R03_NavidAPI-data'!$K80</f>
        <v>#REF!</v>
      </c>
      <c r="F81">
        <f>'[25]GABM_R03_Terry-data'!$K80</f>
        <v>2</v>
      </c>
      <c r="G81">
        <f>'[26]GABM_R03_SarahAPI-data'!$K80</f>
        <v>2</v>
      </c>
      <c r="H81">
        <f>'[27]GABM_R03_savannah-data'!$K80</f>
        <v>1</v>
      </c>
      <c r="I81">
        <f>'[28]GABM_R03_MitchellAPI-data'!$K80</f>
        <v>8</v>
      </c>
      <c r="J81">
        <f>'[29]GABM_R03_SudipaAPI-data'!$K80</f>
        <v>0</v>
      </c>
      <c r="K81">
        <f>'[30]R03_GABM_run2-data'!$K80</f>
        <v>2</v>
      </c>
      <c r="L81" t="e">
        <f t="shared" si="2"/>
        <v>#REF!</v>
      </c>
      <c r="N81">
        <v>78</v>
      </c>
      <c r="O81">
        <v>0</v>
      </c>
      <c r="P81">
        <v>0</v>
      </c>
      <c r="Q81">
        <v>0</v>
      </c>
      <c r="R81">
        <v>0</v>
      </c>
      <c r="S81">
        <f>'[25]GABM_R03_Terry-data'!$K80</f>
        <v>2</v>
      </c>
      <c r="T81">
        <f>'[26]GABM_R03_SarahAPI-data'!$K80</f>
        <v>2</v>
      </c>
      <c r="U81">
        <f>'[27]GABM_R03_savannah-data'!$K80</f>
        <v>1</v>
      </c>
      <c r="V81">
        <f>'[28]GABM_R03_MitchellAPI-data'!$K80</f>
        <v>8</v>
      </c>
      <c r="W81">
        <f>'[29]GABM_R03_SudipaAPI-data'!$K80</f>
        <v>0</v>
      </c>
      <c r="X81">
        <f>'[30]R03_GABM_run2-data'!$K80</f>
        <v>2</v>
      </c>
      <c r="Y81">
        <f t="shared" si="3"/>
        <v>1.5</v>
      </c>
    </row>
    <row r="82" spans="1:25" x14ac:dyDescent="0.35">
      <c r="A82">
        <v>79</v>
      </c>
      <c r="B82" t="e">
        <f>'[21]R03_GABM-data'!$K81</f>
        <v>#REF!</v>
      </c>
      <c r="C82" t="e">
        <f>'[22]GABM_R03_RossAPI-data'!$K81</f>
        <v>#REF!</v>
      </c>
      <c r="D82" t="e">
        <f>'[23]GABM_R03_RandiAPI-data'!$K81</f>
        <v>#REF!</v>
      </c>
      <c r="E82" t="e">
        <f>'[24]GABM_R03_NavidAPI-data'!$K81</f>
        <v>#REF!</v>
      </c>
      <c r="F82">
        <f>'[25]GABM_R03_Terry-data'!$K81</f>
        <v>4</v>
      </c>
      <c r="G82">
        <f>'[26]GABM_R03_SarahAPI-data'!$K81</f>
        <v>1</v>
      </c>
      <c r="H82">
        <f>'[27]GABM_R03_savannah-data'!$K81</f>
        <v>0</v>
      </c>
      <c r="I82">
        <f>'[28]GABM_R03_MitchellAPI-data'!$K81</f>
        <v>3</v>
      </c>
      <c r="J82">
        <f>'[29]GABM_R03_SudipaAPI-data'!$K81</f>
        <v>1</v>
      </c>
      <c r="K82">
        <f>'[30]R03_GABM_run2-data'!$K81</f>
        <v>1</v>
      </c>
      <c r="L82" t="e">
        <f t="shared" si="2"/>
        <v>#REF!</v>
      </c>
      <c r="N82">
        <v>79</v>
      </c>
      <c r="O82">
        <v>0</v>
      </c>
      <c r="P82">
        <v>0</v>
      </c>
      <c r="Q82">
        <v>0</v>
      </c>
      <c r="R82">
        <v>0</v>
      </c>
      <c r="S82">
        <f>'[25]GABM_R03_Terry-data'!$K81</f>
        <v>4</v>
      </c>
      <c r="T82">
        <f>'[26]GABM_R03_SarahAPI-data'!$K81</f>
        <v>1</v>
      </c>
      <c r="U82">
        <f>'[27]GABM_R03_savannah-data'!$K81</f>
        <v>0</v>
      </c>
      <c r="V82">
        <f>'[28]GABM_R03_MitchellAPI-data'!$K81</f>
        <v>3</v>
      </c>
      <c r="W82">
        <f>'[29]GABM_R03_SudipaAPI-data'!$K81</f>
        <v>1</v>
      </c>
      <c r="X82">
        <f>'[30]R03_GABM_run2-data'!$K81</f>
        <v>1</v>
      </c>
      <c r="Y82">
        <f t="shared" si="3"/>
        <v>1</v>
      </c>
    </row>
    <row r="83" spans="1:25" x14ac:dyDescent="0.35">
      <c r="A83">
        <v>80</v>
      </c>
      <c r="B83" t="e">
        <f>'[21]R03_GABM-data'!$K82</f>
        <v>#REF!</v>
      </c>
      <c r="C83" t="e">
        <f>'[22]GABM_R03_RossAPI-data'!$K82</f>
        <v>#REF!</v>
      </c>
      <c r="D83" t="e">
        <f>'[23]GABM_R03_RandiAPI-data'!$K82</f>
        <v>#REF!</v>
      </c>
      <c r="E83" t="e">
        <f>'[24]GABM_R03_NavidAPI-data'!$K82</f>
        <v>#REF!</v>
      </c>
      <c r="F83">
        <f>'[25]GABM_R03_Terry-data'!$K82</f>
        <v>3</v>
      </c>
      <c r="G83">
        <f>'[26]GABM_R03_SarahAPI-data'!$K82</f>
        <v>3</v>
      </c>
      <c r="H83">
        <f>'[27]GABM_R03_savannah-data'!$K82</f>
        <v>1</v>
      </c>
      <c r="I83">
        <f>'[28]GABM_R03_MitchellAPI-data'!$K82</f>
        <v>14</v>
      </c>
      <c r="J83">
        <f>'[29]GABM_R03_SudipaAPI-data'!$K82</f>
        <v>0</v>
      </c>
      <c r="K83">
        <f>'[30]R03_GABM_run2-data'!$K82</f>
        <v>2</v>
      </c>
      <c r="L83" t="e">
        <f t="shared" si="2"/>
        <v>#REF!</v>
      </c>
      <c r="N83">
        <v>80</v>
      </c>
      <c r="O83">
        <v>0</v>
      </c>
      <c r="P83">
        <v>0</v>
      </c>
      <c r="Q83">
        <v>0</v>
      </c>
      <c r="R83">
        <v>0</v>
      </c>
      <c r="S83">
        <f>'[25]GABM_R03_Terry-data'!$K82</f>
        <v>3</v>
      </c>
      <c r="T83">
        <f>'[26]GABM_R03_SarahAPI-data'!$K82</f>
        <v>3</v>
      </c>
      <c r="U83">
        <f>'[27]GABM_R03_savannah-data'!$K82</f>
        <v>1</v>
      </c>
      <c r="V83">
        <f>'[28]GABM_R03_MitchellAPI-data'!$K82</f>
        <v>14</v>
      </c>
      <c r="W83">
        <f>'[29]GABM_R03_SudipaAPI-data'!$K82</f>
        <v>0</v>
      </c>
      <c r="X83">
        <f>'[30]R03_GABM_run2-data'!$K82</f>
        <v>2</v>
      </c>
      <c r="Y83">
        <f t="shared" si="3"/>
        <v>2.2999999999999998</v>
      </c>
    </row>
    <row r="84" spans="1:25" x14ac:dyDescent="0.35">
      <c r="A84">
        <v>81</v>
      </c>
      <c r="B84" t="e">
        <f>'[21]R03_GABM-data'!$K83</f>
        <v>#REF!</v>
      </c>
      <c r="C84" t="e">
        <f>'[22]GABM_R03_RossAPI-data'!$K83</f>
        <v>#REF!</v>
      </c>
      <c r="D84" t="e">
        <f>'[23]GABM_R03_RandiAPI-data'!$K83</f>
        <v>#REF!</v>
      </c>
      <c r="E84" t="e">
        <f>'[24]GABM_R03_NavidAPI-data'!$K83</f>
        <v>#REF!</v>
      </c>
      <c r="F84">
        <f>'[25]GABM_R03_Terry-data'!$K83</f>
        <v>1</v>
      </c>
      <c r="G84">
        <f>'[26]GABM_R03_SarahAPI-data'!$K83</f>
        <v>3</v>
      </c>
      <c r="H84">
        <f>'[27]GABM_R03_savannah-data'!$K83</f>
        <v>0</v>
      </c>
      <c r="I84">
        <f>'[28]GABM_R03_MitchellAPI-data'!$K83</f>
        <v>6</v>
      </c>
      <c r="J84">
        <f>'[29]GABM_R03_SudipaAPI-data'!$K83</f>
        <v>0</v>
      </c>
      <c r="K84">
        <f>'[30]R03_GABM_run2-data'!$K83</f>
        <v>4</v>
      </c>
      <c r="L84" t="e">
        <f t="shared" si="2"/>
        <v>#REF!</v>
      </c>
      <c r="N84">
        <v>81</v>
      </c>
      <c r="O84">
        <v>0</v>
      </c>
      <c r="P84">
        <v>0</v>
      </c>
      <c r="Q84">
        <v>0</v>
      </c>
      <c r="R84">
        <v>0</v>
      </c>
      <c r="S84">
        <f>'[25]GABM_R03_Terry-data'!$K83</f>
        <v>1</v>
      </c>
      <c r="T84">
        <f>'[26]GABM_R03_SarahAPI-data'!$K83</f>
        <v>3</v>
      </c>
      <c r="U84">
        <f>'[27]GABM_R03_savannah-data'!$K83</f>
        <v>0</v>
      </c>
      <c r="V84">
        <f>'[28]GABM_R03_MitchellAPI-data'!$K83</f>
        <v>6</v>
      </c>
      <c r="W84">
        <f>'[29]GABM_R03_SudipaAPI-data'!$K83</f>
        <v>0</v>
      </c>
      <c r="X84">
        <f>'[30]R03_GABM_run2-data'!$K83</f>
        <v>4</v>
      </c>
      <c r="Y84">
        <f t="shared" si="3"/>
        <v>1.4</v>
      </c>
    </row>
    <row r="85" spans="1:25" x14ac:dyDescent="0.35">
      <c r="A85">
        <v>82</v>
      </c>
      <c r="B85" t="e">
        <f>'[21]R03_GABM-data'!$K84</f>
        <v>#REF!</v>
      </c>
      <c r="C85" t="e">
        <f>'[22]GABM_R03_RossAPI-data'!$K84</f>
        <v>#REF!</v>
      </c>
      <c r="D85" t="e">
        <f>'[23]GABM_R03_RandiAPI-data'!$K84</f>
        <v>#REF!</v>
      </c>
      <c r="E85" t="e">
        <f>'[24]GABM_R03_NavidAPI-data'!$K84</f>
        <v>#REF!</v>
      </c>
      <c r="F85">
        <f>'[25]GABM_R03_Terry-data'!$K84</f>
        <v>2</v>
      </c>
      <c r="G85">
        <f>'[26]GABM_R03_SarahAPI-data'!$K84</f>
        <v>1</v>
      </c>
      <c r="H85">
        <f>'[27]GABM_R03_savannah-data'!$K84</f>
        <v>0</v>
      </c>
      <c r="I85">
        <f>'[28]GABM_R03_MitchellAPI-data'!$K84</f>
        <v>1</v>
      </c>
      <c r="J85">
        <f>'[29]GABM_R03_SudipaAPI-data'!$K84</f>
        <v>1</v>
      </c>
      <c r="K85">
        <f>'[30]R03_GABM_run2-data'!$K84</f>
        <v>0</v>
      </c>
      <c r="L85" t="e">
        <f t="shared" si="2"/>
        <v>#REF!</v>
      </c>
      <c r="N85">
        <v>82</v>
      </c>
      <c r="O85">
        <v>0</v>
      </c>
      <c r="P85">
        <v>0</v>
      </c>
      <c r="Q85">
        <v>0</v>
      </c>
      <c r="R85">
        <v>0</v>
      </c>
      <c r="S85">
        <f>'[25]GABM_R03_Terry-data'!$K84</f>
        <v>2</v>
      </c>
      <c r="T85">
        <f>'[26]GABM_R03_SarahAPI-data'!$K84</f>
        <v>1</v>
      </c>
      <c r="U85">
        <f>'[27]GABM_R03_savannah-data'!$K84</f>
        <v>0</v>
      </c>
      <c r="V85">
        <f>'[28]GABM_R03_MitchellAPI-data'!$K84</f>
        <v>1</v>
      </c>
      <c r="W85">
        <f>'[29]GABM_R03_SudipaAPI-data'!$K84</f>
        <v>1</v>
      </c>
      <c r="X85">
        <f>'[30]R03_GABM_run2-data'!$K84</f>
        <v>0</v>
      </c>
      <c r="Y85">
        <f t="shared" si="3"/>
        <v>0.5</v>
      </c>
    </row>
    <row r="86" spans="1:25" x14ac:dyDescent="0.35">
      <c r="A86">
        <v>83</v>
      </c>
      <c r="B86" t="e">
        <f>'[21]R03_GABM-data'!$K85</f>
        <v>#REF!</v>
      </c>
      <c r="C86" t="e">
        <f>'[22]GABM_R03_RossAPI-data'!$K85</f>
        <v>#REF!</v>
      </c>
      <c r="D86" t="e">
        <f>'[23]GABM_R03_RandiAPI-data'!$K85</f>
        <v>#REF!</v>
      </c>
      <c r="E86" t="e">
        <f>'[24]GABM_R03_NavidAPI-data'!$K85</f>
        <v>#REF!</v>
      </c>
      <c r="F86">
        <f>'[25]GABM_R03_Terry-data'!$K85</f>
        <v>0</v>
      </c>
      <c r="G86">
        <f>'[26]GABM_R03_SarahAPI-data'!$K85</f>
        <v>2</v>
      </c>
      <c r="H86">
        <f>'[27]GABM_R03_savannah-data'!$K85</f>
        <v>2</v>
      </c>
      <c r="I86">
        <f>'[28]GABM_R03_MitchellAPI-data'!$K85</f>
        <v>4</v>
      </c>
      <c r="J86">
        <f>'[29]GABM_R03_SudipaAPI-data'!$K85</f>
        <v>1</v>
      </c>
      <c r="K86">
        <f>'[30]R03_GABM_run2-data'!$K85</f>
        <v>2</v>
      </c>
      <c r="L86" t="e">
        <f t="shared" si="2"/>
        <v>#REF!</v>
      </c>
      <c r="N86">
        <v>83</v>
      </c>
      <c r="O86">
        <v>0</v>
      </c>
      <c r="P86">
        <v>0</v>
      </c>
      <c r="Q86">
        <v>0</v>
      </c>
      <c r="R86">
        <v>0</v>
      </c>
      <c r="S86">
        <f>'[25]GABM_R03_Terry-data'!$K85</f>
        <v>0</v>
      </c>
      <c r="T86">
        <f>'[26]GABM_R03_SarahAPI-data'!$K85</f>
        <v>2</v>
      </c>
      <c r="U86">
        <f>'[27]GABM_R03_savannah-data'!$K85</f>
        <v>2</v>
      </c>
      <c r="V86">
        <f>'[28]GABM_R03_MitchellAPI-data'!$K85</f>
        <v>4</v>
      </c>
      <c r="W86">
        <f>'[29]GABM_R03_SudipaAPI-data'!$K85</f>
        <v>1</v>
      </c>
      <c r="X86">
        <f>'[30]R03_GABM_run2-data'!$K85</f>
        <v>2</v>
      </c>
      <c r="Y86">
        <f t="shared" si="3"/>
        <v>1.1000000000000001</v>
      </c>
    </row>
    <row r="87" spans="1:25" x14ac:dyDescent="0.35">
      <c r="A87">
        <v>84</v>
      </c>
      <c r="B87" t="e">
        <f>'[21]R03_GABM-data'!$K86</f>
        <v>#REF!</v>
      </c>
      <c r="C87" t="e">
        <f>'[22]GABM_R03_RossAPI-data'!$K86</f>
        <v>#REF!</v>
      </c>
      <c r="D87" t="e">
        <f>'[23]GABM_R03_RandiAPI-data'!$K86</f>
        <v>#REF!</v>
      </c>
      <c r="E87" t="e">
        <f>'[24]GABM_R03_NavidAPI-data'!$K86</f>
        <v>#REF!</v>
      </c>
      <c r="F87">
        <f>'[25]GABM_R03_Terry-data'!$K86</f>
        <v>0</v>
      </c>
      <c r="G87">
        <f>'[26]GABM_R03_SarahAPI-data'!$K86</f>
        <v>0</v>
      </c>
      <c r="H87">
        <f>'[27]GABM_R03_savannah-data'!$K86</f>
        <v>1</v>
      </c>
      <c r="I87">
        <f>'[28]GABM_R03_MitchellAPI-data'!$K86</f>
        <v>1</v>
      </c>
      <c r="J87">
        <f>'[29]GABM_R03_SudipaAPI-data'!$K86</f>
        <v>1</v>
      </c>
      <c r="K87">
        <f>'[30]R03_GABM_run2-data'!$K86</f>
        <v>1</v>
      </c>
      <c r="L87" t="e">
        <f t="shared" si="2"/>
        <v>#REF!</v>
      </c>
      <c r="N87">
        <v>84</v>
      </c>
      <c r="O87">
        <v>0</v>
      </c>
      <c r="P87">
        <v>0</v>
      </c>
      <c r="Q87">
        <v>0</v>
      </c>
      <c r="R87">
        <v>0</v>
      </c>
      <c r="S87">
        <f>'[25]GABM_R03_Terry-data'!$K86</f>
        <v>0</v>
      </c>
      <c r="T87">
        <f>'[26]GABM_R03_SarahAPI-data'!$K86</f>
        <v>0</v>
      </c>
      <c r="U87">
        <f>'[27]GABM_R03_savannah-data'!$K86</f>
        <v>1</v>
      </c>
      <c r="V87">
        <f>'[28]GABM_R03_MitchellAPI-data'!$K86</f>
        <v>1</v>
      </c>
      <c r="W87">
        <f>'[29]GABM_R03_SudipaAPI-data'!$K86</f>
        <v>1</v>
      </c>
      <c r="X87">
        <f>'[30]R03_GABM_run2-data'!$K86</f>
        <v>1</v>
      </c>
      <c r="Y87">
        <f t="shared" si="3"/>
        <v>0.4</v>
      </c>
    </row>
    <row r="88" spans="1:25" x14ac:dyDescent="0.35">
      <c r="A88">
        <v>85</v>
      </c>
      <c r="B88" t="e">
        <f>'[21]R03_GABM-data'!$K87</f>
        <v>#REF!</v>
      </c>
      <c r="C88" t="e">
        <f>'[22]GABM_R03_RossAPI-data'!$K87</f>
        <v>#REF!</v>
      </c>
      <c r="D88" t="e">
        <f>'[23]GABM_R03_RandiAPI-data'!$K87</f>
        <v>#REF!</v>
      </c>
      <c r="E88" t="e">
        <f>'[24]GABM_R03_NavidAPI-data'!$K87</f>
        <v>#REF!</v>
      </c>
      <c r="F88">
        <f>'[25]GABM_R03_Terry-data'!$K87</f>
        <v>0</v>
      </c>
      <c r="G88">
        <f>'[26]GABM_R03_SarahAPI-data'!$K87</f>
        <v>0</v>
      </c>
      <c r="H88">
        <f>'[27]GABM_R03_savannah-data'!$K87</f>
        <v>0</v>
      </c>
      <c r="I88">
        <f>'[28]GABM_R03_MitchellAPI-data'!$K87</f>
        <v>1</v>
      </c>
      <c r="J88">
        <f>'[29]GABM_R03_SudipaAPI-data'!$K87</f>
        <v>3</v>
      </c>
      <c r="K88">
        <f>'[30]R03_GABM_run2-data'!$K87</f>
        <v>1</v>
      </c>
      <c r="L88" t="e">
        <f t="shared" si="2"/>
        <v>#REF!</v>
      </c>
      <c r="N88">
        <v>85</v>
      </c>
      <c r="O88">
        <v>0</v>
      </c>
      <c r="P88">
        <v>0</v>
      </c>
      <c r="Q88">
        <v>0</v>
      </c>
      <c r="R88">
        <v>0</v>
      </c>
      <c r="S88">
        <f>'[25]GABM_R03_Terry-data'!$K87</f>
        <v>0</v>
      </c>
      <c r="T88">
        <f>'[26]GABM_R03_SarahAPI-data'!$K87</f>
        <v>0</v>
      </c>
      <c r="U88">
        <f>'[27]GABM_R03_savannah-data'!$K87</f>
        <v>0</v>
      </c>
      <c r="V88">
        <f>'[28]GABM_R03_MitchellAPI-data'!$K87</f>
        <v>1</v>
      </c>
      <c r="W88">
        <f>'[29]GABM_R03_SudipaAPI-data'!$K87</f>
        <v>3</v>
      </c>
      <c r="X88">
        <f>'[30]R03_GABM_run2-data'!$K87</f>
        <v>1</v>
      </c>
      <c r="Y88">
        <f t="shared" si="3"/>
        <v>0.5</v>
      </c>
    </row>
    <row r="89" spans="1:25" x14ac:dyDescent="0.35">
      <c r="A89">
        <v>86</v>
      </c>
      <c r="B89" t="e">
        <f>'[21]R03_GABM-data'!$K88</f>
        <v>#REF!</v>
      </c>
      <c r="C89" t="e">
        <f>'[22]GABM_R03_RossAPI-data'!$K88</f>
        <v>#REF!</v>
      </c>
      <c r="D89" t="e">
        <f>'[23]GABM_R03_RandiAPI-data'!$K88</f>
        <v>#REF!</v>
      </c>
      <c r="E89" t="e">
        <f>'[24]GABM_R03_NavidAPI-data'!$K88</f>
        <v>#REF!</v>
      </c>
      <c r="F89" t="e">
        <f>'[25]GABM_R03_Terry-data'!$K88</f>
        <v>#REF!</v>
      </c>
      <c r="G89">
        <f>'[26]GABM_R03_SarahAPI-data'!$K88</f>
        <v>0</v>
      </c>
      <c r="H89">
        <f>'[27]GABM_R03_savannah-data'!$K88</f>
        <v>1</v>
      </c>
      <c r="I89">
        <f>'[28]GABM_R03_MitchellAPI-data'!$K88</f>
        <v>0</v>
      </c>
      <c r="J89">
        <f>'[29]GABM_R03_SudipaAPI-data'!$K88</f>
        <v>3</v>
      </c>
      <c r="K89">
        <f>'[30]R03_GABM_run2-data'!$K88</f>
        <v>1</v>
      </c>
      <c r="L89" t="e">
        <f t="shared" si="2"/>
        <v>#REF!</v>
      </c>
      <c r="N89">
        <v>86</v>
      </c>
      <c r="O89">
        <v>0</v>
      </c>
      <c r="P89">
        <v>0</v>
      </c>
      <c r="Q89">
        <v>0</v>
      </c>
      <c r="R89">
        <v>0</v>
      </c>
      <c r="S89">
        <v>0</v>
      </c>
      <c r="T89">
        <f>'[26]GABM_R03_SarahAPI-data'!$K88</f>
        <v>0</v>
      </c>
      <c r="U89">
        <f>'[27]GABM_R03_savannah-data'!$K88</f>
        <v>1</v>
      </c>
      <c r="V89">
        <f>'[28]GABM_R03_MitchellAPI-data'!$K88</f>
        <v>0</v>
      </c>
      <c r="W89">
        <f>'[29]GABM_R03_SudipaAPI-data'!$K88</f>
        <v>3</v>
      </c>
      <c r="X89">
        <f>'[30]R03_GABM_run2-data'!$K88</f>
        <v>1</v>
      </c>
      <c r="Y89">
        <f t="shared" si="3"/>
        <v>0.5</v>
      </c>
    </row>
    <row r="90" spans="1:25" x14ac:dyDescent="0.35">
      <c r="A90">
        <v>87</v>
      </c>
      <c r="B90" t="e">
        <f>'[21]R03_GABM-data'!$K89</f>
        <v>#REF!</v>
      </c>
      <c r="C90" t="e">
        <f>'[22]GABM_R03_RossAPI-data'!$K89</f>
        <v>#REF!</v>
      </c>
      <c r="D90" t="e">
        <f>'[23]GABM_R03_RandiAPI-data'!$K89</f>
        <v>#REF!</v>
      </c>
      <c r="E90" t="e">
        <f>'[24]GABM_R03_NavidAPI-data'!$K89</f>
        <v>#REF!</v>
      </c>
      <c r="F90" t="e">
        <f>'[25]GABM_R03_Terry-data'!$K89</f>
        <v>#REF!</v>
      </c>
      <c r="G90">
        <f>'[26]GABM_R03_SarahAPI-data'!$K89</f>
        <v>1</v>
      </c>
      <c r="H90">
        <f>'[27]GABM_R03_savannah-data'!$K89</f>
        <v>0</v>
      </c>
      <c r="I90">
        <f>'[28]GABM_R03_MitchellAPI-data'!$K89</f>
        <v>1</v>
      </c>
      <c r="J90">
        <f>'[29]GABM_R03_SudipaAPI-data'!$K89</f>
        <v>1</v>
      </c>
      <c r="K90">
        <f>'[30]R03_GABM_run2-data'!$K89</f>
        <v>1</v>
      </c>
      <c r="L90" t="e">
        <f t="shared" si="2"/>
        <v>#REF!</v>
      </c>
      <c r="N90">
        <v>87</v>
      </c>
      <c r="O90">
        <v>0</v>
      </c>
      <c r="P90">
        <v>0</v>
      </c>
      <c r="Q90">
        <v>0</v>
      </c>
      <c r="R90">
        <v>0</v>
      </c>
      <c r="S90">
        <v>0</v>
      </c>
      <c r="T90">
        <f>'[26]GABM_R03_SarahAPI-data'!$K89</f>
        <v>1</v>
      </c>
      <c r="U90">
        <f>'[27]GABM_R03_savannah-data'!$K89</f>
        <v>0</v>
      </c>
      <c r="V90">
        <f>'[28]GABM_R03_MitchellAPI-data'!$K89</f>
        <v>1</v>
      </c>
      <c r="W90">
        <f>'[29]GABM_R03_SudipaAPI-data'!$K89</f>
        <v>1</v>
      </c>
      <c r="X90">
        <f>'[30]R03_GABM_run2-data'!$K89</f>
        <v>1</v>
      </c>
      <c r="Y90">
        <f t="shared" si="3"/>
        <v>0.4</v>
      </c>
    </row>
    <row r="91" spans="1:25" x14ac:dyDescent="0.35">
      <c r="A91">
        <v>88</v>
      </c>
      <c r="B91" t="e">
        <f>'[21]R03_GABM-data'!$K90</f>
        <v>#REF!</v>
      </c>
      <c r="C91" t="e">
        <f>'[22]GABM_R03_RossAPI-data'!$K90</f>
        <v>#REF!</v>
      </c>
      <c r="D91" t="e">
        <f>'[23]GABM_R03_RandiAPI-data'!$K90</f>
        <v>#REF!</v>
      </c>
      <c r="E91" t="e">
        <f>'[24]GABM_R03_NavidAPI-data'!$K90</f>
        <v>#REF!</v>
      </c>
      <c r="F91" t="e">
        <f>'[25]GABM_R03_Terry-data'!$K90</f>
        <v>#REF!</v>
      </c>
      <c r="G91">
        <f>'[26]GABM_R03_SarahAPI-data'!$K90</f>
        <v>1</v>
      </c>
      <c r="H91">
        <f>'[27]GABM_R03_savannah-data'!$K90</f>
        <v>0</v>
      </c>
      <c r="I91">
        <f>'[28]GABM_R03_MitchellAPI-data'!$K90</f>
        <v>1</v>
      </c>
      <c r="J91">
        <f>'[29]GABM_R03_SudipaAPI-data'!$K90</f>
        <v>1</v>
      </c>
      <c r="K91">
        <f>'[30]R03_GABM_run2-data'!$K90</f>
        <v>1</v>
      </c>
      <c r="L91" t="e">
        <f t="shared" si="2"/>
        <v>#REF!</v>
      </c>
      <c r="N91">
        <v>88</v>
      </c>
      <c r="O91">
        <v>0</v>
      </c>
      <c r="P91">
        <v>0</v>
      </c>
      <c r="Q91">
        <v>0</v>
      </c>
      <c r="R91">
        <v>0</v>
      </c>
      <c r="S91">
        <v>0</v>
      </c>
      <c r="T91">
        <f>'[26]GABM_R03_SarahAPI-data'!$K90</f>
        <v>1</v>
      </c>
      <c r="U91">
        <f>'[27]GABM_R03_savannah-data'!$K90</f>
        <v>0</v>
      </c>
      <c r="V91">
        <f>'[28]GABM_R03_MitchellAPI-data'!$K90</f>
        <v>1</v>
      </c>
      <c r="W91">
        <f>'[29]GABM_R03_SudipaAPI-data'!$K90</f>
        <v>1</v>
      </c>
      <c r="X91">
        <f>'[30]R03_GABM_run2-data'!$K90</f>
        <v>1</v>
      </c>
      <c r="Y91">
        <f t="shared" si="3"/>
        <v>0.4</v>
      </c>
    </row>
    <row r="92" spans="1:25" x14ac:dyDescent="0.35">
      <c r="A92">
        <v>89</v>
      </c>
      <c r="B92" t="e">
        <f>'[21]R03_GABM-data'!$K91</f>
        <v>#REF!</v>
      </c>
      <c r="C92" t="e">
        <f>'[22]GABM_R03_RossAPI-data'!$K91</f>
        <v>#REF!</v>
      </c>
      <c r="D92" t="e">
        <f>'[23]GABM_R03_RandiAPI-data'!$K91</f>
        <v>#REF!</v>
      </c>
      <c r="E92" t="e">
        <f>'[24]GABM_R03_NavidAPI-data'!$K91</f>
        <v>#REF!</v>
      </c>
      <c r="F92" t="e">
        <f>'[25]GABM_R03_Terry-data'!$K91</f>
        <v>#REF!</v>
      </c>
      <c r="G92">
        <f>'[26]GABM_R03_SarahAPI-data'!$K91</f>
        <v>3</v>
      </c>
      <c r="H92">
        <f>'[27]GABM_R03_savannah-data'!$K91</f>
        <v>0</v>
      </c>
      <c r="I92">
        <f>'[28]GABM_R03_MitchellAPI-data'!$K91</f>
        <v>0</v>
      </c>
      <c r="J92">
        <f>'[29]GABM_R03_SudipaAPI-data'!$K91</f>
        <v>0</v>
      </c>
      <c r="K92">
        <f>'[30]R03_GABM_run2-data'!$K91</f>
        <v>0</v>
      </c>
      <c r="L92" t="e">
        <f t="shared" si="2"/>
        <v>#REF!</v>
      </c>
      <c r="N92">
        <v>89</v>
      </c>
      <c r="O92">
        <v>0</v>
      </c>
      <c r="P92">
        <v>0</v>
      </c>
      <c r="Q92">
        <v>0</v>
      </c>
      <c r="R92">
        <v>0</v>
      </c>
      <c r="S92">
        <v>0</v>
      </c>
      <c r="T92">
        <f>'[26]GABM_R03_SarahAPI-data'!$K91</f>
        <v>3</v>
      </c>
      <c r="U92">
        <f>'[27]GABM_R03_savannah-data'!$K91</f>
        <v>0</v>
      </c>
      <c r="V92">
        <f>'[28]GABM_R03_MitchellAPI-data'!$K91</f>
        <v>0</v>
      </c>
      <c r="W92">
        <f>'[29]GABM_R03_SudipaAPI-data'!$K91</f>
        <v>0</v>
      </c>
      <c r="X92">
        <f>'[30]R03_GABM_run2-data'!$K91</f>
        <v>0</v>
      </c>
      <c r="Y92">
        <f t="shared" si="3"/>
        <v>0.3</v>
      </c>
    </row>
    <row r="93" spans="1:25" x14ac:dyDescent="0.35">
      <c r="A93">
        <v>90</v>
      </c>
      <c r="B93" t="e">
        <f>'[21]R03_GABM-data'!$K92</f>
        <v>#REF!</v>
      </c>
      <c r="C93" t="e">
        <f>'[22]GABM_R03_RossAPI-data'!$K92</f>
        <v>#REF!</v>
      </c>
      <c r="D93" t="e">
        <f>'[23]GABM_R03_RandiAPI-data'!$K92</f>
        <v>#REF!</v>
      </c>
      <c r="E93" t="e">
        <f>'[24]GABM_R03_NavidAPI-data'!$K92</f>
        <v>#REF!</v>
      </c>
      <c r="F93" t="e">
        <f>'[25]GABM_R03_Terry-data'!$K92</f>
        <v>#REF!</v>
      </c>
      <c r="G93">
        <f>'[26]GABM_R03_SarahAPI-data'!$K92</f>
        <v>2</v>
      </c>
      <c r="H93" t="e">
        <f>'[27]GABM_R03_savannah-data'!$K92</f>
        <v>#REF!</v>
      </c>
      <c r="I93">
        <f>'[28]GABM_R03_MitchellAPI-data'!$K92</f>
        <v>2</v>
      </c>
      <c r="J93">
        <f>'[29]GABM_R03_SudipaAPI-data'!$K92</f>
        <v>1</v>
      </c>
      <c r="K93">
        <f>'[30]R03_GABM_run2-data'!$K92</f>
        <v>0</v>
      </c>
      <c r="L93" t="e">
        <f t="shared" si="2"/>
        <v>#REF!</v>
      </c>
      <c r="N93">
        <v>90</v>
      </c>
      <c r="O93">
        <v>0</v>
      </c>
      <c r="P93">
        <v>0</v>
      </c>
      <c r="Q93">
        <v>0</v>
      </c>
      <c r="R93">
        <v>0</v>
      </c>
      <c r="S93">
        <v>0</v>
      </c>
      <c r="T93">
        <f>'[26]GABM_R03_SarahAPI-data'!$K92</f>
        <v>2</v>
      </c>
      <c r="U93">
        <v>0</v>
      </c>
      <c r="V93">
        <f>'[28]GABM_R03_MitchellAPI-data'!$K92</f>
        <v>2</v>
      </c>
      <c r="W93">
        <f>'[29]GABM_R03_SudipaAPI-data'!$K92</f>
        <v>1</v>
      </c>
      <c r="X93">
        <f>'[30]R03_GABM_run2-data'!$K92</f>
        <v>0</v>
      </c>
      <c r="Y93">
        <f t="shared" si="3"/>
        <v>0.5</v>
      </c>
    </row>
    <row r="94" spans="1:25" x14ac:dyDescent="0.35">
      <c r="A94">
        <v>91</v>
      </c>
      <c r="B94" t="e">
        <f>'[21]R03_GABM-data'!$K93</f>
        <v>#REF!</v>
      </c>
      <c r="C94" t="e">
        <f>'[22]GABM_R03_RossAPI-data'!$K93</f>
        <v>#REF!</v>
      </c>
      <c r="D94" t="e">
        <f>'[23]GABM_R03_RandiAPI-data'!$K93</f>
        <v>#REF!</v>
      </c>
      <c r="E94" t="e">
        <f>'[24]GABM_R03_NavidAPI-data'!$K93</f>
        <v>#REF!</v>
      </c>
      <c r="F94" t="e">
        <f>'[25]GABM_R03_Terry-data'!$K93</f>
        <v>#REF!</v>
      </c>
      <c r="G94">
        <f>'[26]GABM_R03_SarahAPI-data'!$K93</f>
        <v>3</v>
      </c>
      <c r="H94" t="e">
        <f>'[27]GABM_R03_savannah-data'!$K93</f>
        <v>#REF!</v>
      </c>
      <c r="I94">
        <f>'[28]GABM_R03_MitchellAPI-data'!$K93</f>
        <v>1</v>
      </c>
      <c r="J94">
        <f>'[29]GABM_R03_SudipaAPI-data'!$K93</f>
        <v>1</v>
      </c>
      <c r="K94">
        <f>'[30]R03_GABM_run2-data'!$K93</f>
        <v>0</v>
      </c>
      <c r="L94" t="e">
        <f t="shared" si="2"/>
        <v>#REF!</v>
      </c>
      <c r="N94">
        <v>91</v>
      </c>
      <c r="O94">
        <v>0</v>
      </c>
      <c r="P94">
        <v>0</v>
      </c>
      <c r="Q94">
        <v>0</v>
      </c>
      <c r="R94">
        <v>0</v>
      </c>
      <c r="S94">
        <v>0</v>
      </c>
      <c r="T94">
        <f>'[26]GABM_R03_SarahAPI-data'!$K93</f>
        <v>3</v>
      </c>
      <c r="U94">
        <v>0</v>
      </c>
      <c r="V94">
        <f>'[28]GABM_R03_MitchellAPI-data'!$K93</f>
        <v>1</v>
      </c>
      <c r="W94">
        <f>'[29]GABM_R03_SudipaAPI-data'!$K93</f>
        <v>1</v>
      </c>
      <c r="X94">
        <f>'[30]R03_GABM_run2-data'!$K93</f>
        <v>0</v>
      </c>
      <c r="Y94">
        <f t="shared" si="3"/>
        <v>0.5</v>
      </c>
    </row>
    <row r="95" spans="1:25" x14ac:dyDescent="0.35">
      <c r="A95">
        <v>92</v>
      </c>
      <c r="B95" t="e">
        <f>'[21]R03_GABM-data'!$K94</f>
        <v>#REF!</v>
      </c>
      <c r="C95" t="e">
        <f>'[22]GABM_R03_RossAPI-data'!$K94</f>
        <v>#REF!</v>
      </c>
      <c r="D95" t="e">
        <f>'[23]GABM_R03_RandiAPI-data'!$K94</f>
        <v>#REF!</v>
      </c>
      <c r="E95" t="e">
        <f>'[24]GABM_R03_NavidAPI-data'!$K94</f>
        <v>#REF!</v>
      </c>
      <c r="F95" t="e">
        <f>'[25]GABM_R03_Terry-data'!$K94</f>
        <v>#REF!</v>
      </c>
      <c r="G95">
        <f>'[26]GABM_R03_SarahAPI-data'!$K94</f>
        <v>2</v>
      </c>
      <c r="H95" t="e">
        <f>'[27]GABM_R03_savannah-data'!$K94</f>
        <v>#REF!</v>
      </c>
      <c r="I95">
        <f>'[28]GABM_R03_MitchellAPI-data'!$K94</f>
        <v>0</v>
      </c>
      <c r="J95">
        <f>'[29]GABM_R03_SudipaAPI-data'!$K94</f>
        <v>0</v>
      </c>
      <c r="K95">
        <f>'[30]R03_GABM_run2-data'!$K94</f>
        <v>0</v>
      </c>
      <c r="L95" t="e">
        <f t="shared" si="2"/>
        <v>#REF!</v>
      </c>
      <c r="N95">
        <v>92</v>
      </c>
      <c r="O95">
        <v>0</v>
      </c>
      <c r="P95">
        <v>0</v>
      </c>
      <c r="Q95">
        <v>0</v>
      </c>
      <c r="R95">
        <v>0</v>
      </c>
      <c r="S95">
        <v>0</v>
      </c>
      <c r="T95">
        <f>'[26]GABM_R03_SarahAPI-data'!$K94</f>
        <v>2</v>
      </c>
      <c r="U95">
        <v>0</v>
      </c>
      <c r="V95">
        <f>'[28]GABM_R03_MitchellAPI-data'!$K94</f>
        <v>0</v>
      </c>
      <c r="W95">
        <f>'[29]GABM_R03_SudipaAPI-data'!$K94</f>
        <v>0</v>
      </c>
      <c r="X95">
        <f>'[30]R03_GABM_run2-data'!$K94</f>
        <v>0</v>
      </c>
      <c r="Y95">
        <f t="shared" si="3"/>
        <v>0.2</v>
      </c>
    </row>
    <row r="96" spans="1:25" x14ac:dyDescent="0.35">
      <c r="A96">
        <v>93</v>
      </c>
      <c r="B96" t="e">
        <f>'[21]R03_GABM-data'!$K95</f>
        <v>#REF!</v>
      </c>
      <c r="C96" t="e">
        <f>'[22]GABM_R03_RossAPI-data'!$K95</f>
        <v>#REF!</v>
      </c>
      <c r="D96" t="e">
        <f>'[23]GABM_R03_RandiAPI-data'!$K95</f>
        <v>#REF!</v>
      </c>
      <c r="E96" t="e">
        <f>'[24]GABM_R03_NavidAPI-data'!$K95</f>
        <v>#REF!</v>
      </c>
      <c r="F96" t="e">
        <f>'[25]GABM_R03_Terry-data'!$K95</f>
        <v>#REF!</v>
      </c>
      <c r="G96">
        <f>'[26]GABM_R03_SarahAPI-data'!$K95</f>
        <v>0</v>
      </c>
      <c r="H96" t="e">
        <f>'[27]GABM_R03_savannah-data'!$K95</f>
        <v>#REF!</v>
      </c>
      <c r="I96">
        <f>'[28]GABM_R03_MitchellAPI-data'!$K95</f>
        <v>8</v>
      </c>
      <c r="J96">
        <f>'[29]GABM_R03_SudipaAPI-data'!$K95</f>
        <v>1</v>
      </c>
      <c r="K96">
        <f>'[30]R03_GABM_run2-data'!$K95</f>
        <v>1</v>
      </c>
      <c r="L96" t="e">
        <f t="shared" si="2"/>
        <v>#REF!</v>
      </c>
      <c r="N96">
        <v>93</v>
      </c>
      <c r="O96">
        <v>0</v>
      </c>
      <c r="P96">
        <v>0</v>
      </c>
      <c r="Q96">
        <v>0</v>
      </c>
      <c r="R96">
        <v>0</v>
      </c>
      <c r="S96">
        <v>0</v>
      </c>
      <c r="T96">
        <f>'[26]GABM_R03_SarahAPI-data'!$K95</f>
        <v>0</v>
      </c>
      <c r="U96">
        <v>0</v>
      </c>
      <c r="V96">
        <f>'[28]GABM_R03_MitchellAPI-data'!$K95</f>
        <v>8</v>
      </c>
      <c r="W96">
        <f>'[29]GABM_R03_SudipaAPI-data'!$K95</f>
        <v>1</v>
      </c>
      <c r="X96">
        <f>'[30]R03_GABM_run2-data'!$K95</f>
        <v>1</v>
      </c>
      <c r="Y96">
        <f t="shared" si="3"/>
        <v>1</v>
      </c>
    </row>
    <row r="97" spans="1:25" x14ac:dyDescent="0.35">
      <c r="A97">
        <v>94</v>
      </c>
      <c r="B97" t="e">
        <f>'[21]R03_GABM-data'!$K96</f>
        <v>#REF!</v>
      </c>
      <c r="C97" t="e">
        <f>'[22]GABM_R03_RossAPI-data'!$K96</f>
        <v>#REF!</v>
      </c>
      <c r="D97" t="e">
        <f>'[23]GABM_R03_RandiAPI-data'!$K96</f>
        <v>#REF!</v>
      </c>
      <c r="E97" t="e">
        <f>'[24]GABM_R03_NavidAPI-data'!$K96</f>
        <v>#REF!</v>
      </c>
      <c r="F97" t="e">
        <f>'[25]GABM_R03_Terry-data'!$K96</f>
        <v>#REF!</v>
      </c>
      <c r="G97">
        <f>'[26]GABM_R03_SarahAPI-data'!$K96</f>
        <v>0</v>
      </c>
      <c r="H97" t="e">
        <f>'[27]GABM_R03_savannah-data'!$K96</f>
        <v>#REF!</v>
      </c>
      <c r="I97">
        <f>'[28]GABM_R03_MitchellAPI-data'!$K96</f>
        <v>1</v>
      </c>
      <c r="J97">
        <f>'[29]GABM_R03_SudipaAPI-data'!$K96</f>
        <v>1</v>
      </c>
      <c r="K97">
        <f>'[30]R03_GABM_run2-data'!$K96</f>
        <v>0</v>
      </c>
      <c r="L97" t="e">
        <f t="shared" si="2"/>
        <v>#REF!</v>
      </c>
      <c r="N97">
        <v>94</v>
      </c>
      <c r="O97">
        <v>0</v>
      </c>
      <c r="P97">
        <v>0</v>
      </c>
      <c r="Q97">
        <v>0</v>
      </c>
      <c r="R97">
        <v>0</v>
      </c>
      <c r="S97">
        <v>0</v>
      </c>
      <c r="T97">
        <f>'[26]GABM_R03_SarahAPI-data'!$K96</f>
        <v>0</v>
      </c>
      <c r="U97">
        <v>0</v>
      </c>
      <c r="V97">
        <f>'[28]GABM_R03_MitchellAPI-data'!$K96</f>
        <v>1</v>
      </c>
      <c r="W97">
        <f>'[29]GABM_R03_SudipaAPI-data'!$K96</f>
        <v>1</v>
      </c>
      <c r="X97">
        <f>'[30]R03_GABM_run2-data'!$K96</f>
        <v>0</v>
      </c>
      <c r="Y97">
        <f t="shared" si="3"/>
        <v>0.2</v>
      </c>
    </row>
    <row r="98" spans="1:25" x14ac:dyDescent="0.35">
      <c r="A98">
        <v>95</v>
      </c>
      <c r="B98" t="e">
        <f>'[21]R03_GABM-data'!$K97</f>
        <v>#REF!</v>
      </c>
      <c r="C98" t="e">
        <f>'[22]GABM_R03_RossAPI-data'!$K97</f>
        <v>#REF!</v>
      </c>
      <c r="D98" t="e">
        <f>'[23]GABM_R03_RandiAPI-data'!$K97</f>
        <v>#REF!</v>
      </c>
      <c r="E98" t="e">
        <f>'[24]GABM_R03_NavidAPI-data'!$K97</f>
        <v>#REF!</v>
      </c>
      <c r="F98" t="e">
        <f>'[25]GABM_R03_Terry-data'!$K97</f>
        <v>#REF!</v>
      </c>
      <c r="G98">
        <f>'[26]GABM_R03_SarahAPI-data'!$K97</f>
        <v>0</v>
      </c>
      <c r="H98" t="e">
        <f>'[27]GABM_R03_savannah-data'!$K97</f>
        <v>#REF!</v>
      </c>
      <c r="I98">
        <f>'[28]GABM_R03_MitchellAPI-data'!$K97</f>
        <v>2</v>
      </c>
      <c r="J98">
        <f>'[29]GABM_R03_SudipaAPI-data'!$K97</f>
        <v>2</v>
      </c>
      <c r="K98">
        <f>'[30]R03_GABM_run2-data'!$K97</f>
        <v>0</v>
      </c>
      <c r="L98" t="e">
        <f t="shared" si="2"/>
        <v>#REF!</v>
      </c>
      <c r="N98">
        <v>95</v>
      </c>
      <c r="O98">
        <v>0</v>
      </c>
      <c r="P98">
        <v>0</v>
      </c>
      <c r="Q98">
        <v>0</v>
      </c>
      <c r="R98">
        <v>0</v>
      </c>
      <c r="S98">
        <v>0</v>
      </c>
      <c r="T98">
        <f>'[26]GABM_R03_SarahAPI-data'!$K97</f>
        <v>0</v>
      </c>
      <c r="U98">
        <v>0</v>
      </c>
      <c r="V98">
        <f>'[28]GABM_R03_MitchellAPI-data'!$K97</f>
        <v>2</v>
      </c>
      <c r="W98">
        <f>'[29]GABM_R03_SudipaAPI-data'!$K97</f>
        <v>2</v>
      </c>
      <c r="X98">
        <f>'[30]R03_GABM_run2-data'!$K97</f>
        <v>0</v>
      </c>
      <c r="Y98">
        <f t="shared" si="3"/>
        <v>0.4</v>
      </c>
    </row>
    <row r="99" spans="1:25" x14ac:dyDescent="0.35">
      <c r="A99">
        <v>96</v>
      </c>
      <c r="B99" t="e">
        <f>'[21]R03_GABM-data'!$K98</f>
        <v>#REF!</v>
      </c>
      <c r="C99" t="e">
        <f>'[22]GABM_R03_RossAPI-data'!$K98</f>
        <v>#REF!</v>
      </c>
      <c r="D99" t="e">
        <f>'[23]GABM_R03_RandiAPI-data'!$K98</f>
        <v>#REF!</v>
      </c>
      <c r="E99" t="e">
        <f>'[24]GABM_R03_NavidAPI-data'!$K98</f>
        <v>#REF!</v>
      </c>
      <c r="F99" t="e">
        <f>'[25]GABM_R03_Terry-data'!$K98</f>
        <v>#REF!</v>
      </c>
      <c r="G99">
        <f>'[26]GABM_R03_SarahAPI-data'!$K98</f>
        <v>0</v>
      </c>
      <c r="H99" t="e">
        <f>'[27]GABM_R03_savannah-data'!$K98</f>
        <v>#REF!</v>
      </c>
      <c r="I99">
        <f>'[28]GABM_R03_MitchellAPI-data'!$K98</f>
        <v>7</v>
      </c>
      <c r="J99">
        <f>'[29]GABM_R03_SudipaAPI-data'!$K98</f>
        <v>1</v>
      </c>
      <c r="K99">
        <f>'[30]R03_GABM_run2-data'!$K98</f>
        <v>0</v>
      </c>
      <c r="L99" t="e">
        <f t="shared" si="2"/>
        <v>#REF!</v>
      </c>
      <c r="N99">
        <v>96</v>
      </c>
      <c r="O99">
        <v>0</v>
      </c>
      <c r="P99">
        <v>0</v>
      </c>
      <c r="Q99">
        <v>0</v>
      </c>
      <c r="R99">
        <v>0</v>
      </c>
      <c r="S99">
        <v>0</v>
      </c>
      <c r="T99">
        <f>'[26]GABM_R03_SarahAPI-data'!$K98</f>
        <v>0</v>
      </c>
      <c r="U99">
        <v>0</v>
      </c>
      <c r="V99">
        <f>'[28]GABM_R03_MitchellAPI-data'!$K98</f>
        <v>7</v>
      </c>
      <c r="W99">
        <f>'[29]GABM_R03_SudipaAPI-data'!$K98</f>
        <v>1</v>
      </c>
      <c r="X99">
        <f>'[30]R03_GABM_run2-data'!$K98</f>
        <v>0</v>
      </c>
      <c r="Y99">
        <f t="shared" si="3"/>
        <v>0.8</v>
      </c>
    </row>
    <row r="100" spans="1:25" x14ac:dyDescent="0.35">
      <c r="A100">
        <v>97</v>
      </c>
      <c r="B100" t="e">
        <f>'[21]R03_GABM-data'!$K99</f>
        <v>#REF!</v>
      </c>
      <c r="C100" t="e">
        <f>'[22]GABM_R03_RossAPI-data'!$K99</f>
        <v>#REF!</v>
      </c>
      <c r="D100" t="e">
        <f>'[23]GABM_R03_RandiAPI-data'!$K99</f>
        <v>#REF!</v>
      </c>
      <c r="E100" t="e">
        <f>'[24]GABM_R03_NavidAPI-data'!$K99</f>
        <v>#REF!</v>
      </c>
      <c r="F100" t="e">
        <f>'[25]GABM_R03_Terry-data'!$K99</f>
        <v>#REF!</v>
      </c>
      <c r="G100">
        <f>'[26]GABM_R03_SarahAPI-data'!$K99</f>
        <v>1</v>
      </c>
      <c r="H100" t="e">
        <f>'[27]GABM_R03_savannah-data'!$K99</f>
        <v>#REF!</v>
      </c>
      <c r="I100">
        <f>'[28]GABM_R03_MitchellAPI-data'!$K99</f>
        <v>4</v>
      </c>
      <c r="J100">
        <f>'[29]GABM_R03_SudipaAPI-data'!$K99</f>
        <v>1</v>
      </c>
      <c r="K100" t="e">
        <f>'[30]R03_GABM_run2-data'!$K99</f>
        <v>#REF!</v>
      </c>
      <c r="L100" t="e">
        <f t="shared" si="2"/>
        <v>#REF!</v>
      </c>
      <c r="N100">
        <v>97</v>
      </c>
      <c r="O100">
        <v>0</v>
      </c>
      <c r="P100">
        <v>0</v>
      </c>
      <c r="Q100">
        <v>0</v>
      </c>
      <c r="R100">
        <v>0</v>
      </c>
      <c r="S100">
        <v>0</v>
      </c>
      <c r="T100">
        <f>'[26]GABM_R03_SarahAPI-data'!$K99</f>
        <v>1</v>
      </c>
      <c r="U100">
        <v>0</v>
      </c>
      <c r="V100">
        <f>'[28]GABM_R03_MitchellAPI-data'!$K99</f>
        <v>4</v>
      </c>
      <c r="W100">
        <f>'[29]GABM_R03_SudipaAPI-data'!$K99</f>
        <v>1</v>
      </c>
      <c r="X100">
        <v>0</v>
      </c>
      <c r="Y100">
        <f t="shared" si="3"/>
        <v>0.6</v>
      </c>
    </row>
    <row r="101" spans="1:25" x14ac:dyDescent="0.35">
      <c r="A101">
        <v>98</v>
      </c>
      <c r="B101" t="e">
        <f>'[21]R03_GABM-data'!$K100</f>
        <v>#REF!</v>
      </c>
      <c r="C101" t="e">
        <f>'[22]GABM_R03_RossAPI-data'!$K100</f>
        <v>#REF!</v>
      </c>
      <c r="D101" t="e">
        <f>'[23]GABM_R03_RandiAPI-data'!$K100</f>
        <v>#REF!</v>
      </c>
      <c r="E101" t="e">
        <f>'[24]GABM_R03_NavidAPI-data'!$K100</f>
        <v>#REF!</v>
      </c>
      <c r="F101" t="e">
        <f>'[25]GABM_R03_Terry-data'!$K100</f>
        <v>#REF!</v>
      </c>
      <c r="G101">
        <f>'[26]GABM_R03_SarahAPI-data'!$K100</f>
        <v>3</v>
      </c>
      <c r="H101" t="e">
        <f>'[27]GABM_R03_savannah-data'!$K100</f>
        <v>#REF!</v>
      </c>
      <c r="I101">
        <f>'[28]GABM_R03_MitchellAPI-data'!$K100</f>
        <v>2</v>
      </c>
      <c r="J101">
        <f>'[29]GABM_R03_SudipaAPI-data'!$K100</f>
        <v>0</v>
      </c>
      <c r="K101" t="e">
        <f>'[30]R03_GABM_run2-data'!$K100</f>
        <v>#REF!</v>
      </c>
      <c r="L101" t="e">
        <f t="shared" si="2"/>
        <v>#REF!</v>
      </c>
      <c r="N101">
        <v>98</v>
      </c>
      <c r="O101">
        <v>0</v>
      </c>
      <c r="P101">
        <v>0</v>
      </c>
      <c r="Q101">
        <v>0</v>
      </c>
      <c r="R101">
        <v>0</v>
      </c>
      <c r="S101">
        <v>0</v>
      </c>
      <c r="T101">
        <f>'[26]GABM_R03_SarahAPI-data'!$K100</f>
        <v>3</v>
      </c>
      <c r="U101">
        <v>0</v>
      </c>
      <c r="V101">
        <f>'[28]GABM_R03_MitchellAPI-data'!$K100</f>
        <v>2</v>
      </c>
      <c r="W101">
        <f>'[29]GABM_R03_SudipaAPI-data'!$K100</f>
        <v>0</v>
      </c>
      <c r="X101">
        <v>0</v>
      </c>
      <c r="Y101">
        <f t="shared" si="3"/>
        <v>0.5</v>
      </c>
    </row>
    <row r="102" spans="1:25" x14ac:dyDescent="0.35">
      <c r="A102">
        <v>99</v>
      </c>
      <c r="B102" t="e">
        <f>'[21]R03_GABM-data'!$K101</f>
        <v>#REF!</v>
      </c>
      <c r="C102" t="e">
        <f>'[22]GABM_R03_RossAPI-data'!$K101</f>
        <v>#REF!</v>
      </c>
      <c r="D102" t="e">
        <f>'[23]GABM_R03_RandiAPI-data'!$K101</f>
        <v>#REF!</v>
      </c>
      <c r="E102" t="e">
        <f>'[24]GABM_R03_NavidAPI-data'!$K101</f>
        <v>#REF!</v>
      </c>
      <c r="F102" t="e">
        <f>'[25]GABM_R03_Terry-data'!$K101</f>
        <v>#REF!</v>
      </c>
      <c r="G102">
        <f>'[26]GABM_R03_SarahAPI-data'!$K101</f>
        <v>2</v>
      </c>
      <c r="H102" t="e">
        <f>'[27]GABM_R03_savannah-data'!$K101</f>
        <v>#REF!</v>
      </c>
      <c r="I102">
        <f>'[28]GABM_R03_MitchellAPI-data'!$K101</f>
        <v>1</v>
      </c>
      <c r="J102">
        <f>'[29]GABM_R03_SudipaAPI-data'!$K101</f>
        <v>0</v>
      </c>
      <c r="K102" t="e">
        <f>'[30]R03_GABM_run2-data'!$K101</f>
        <v>#REF!</v>
      </c>
      <c r="L102" t="e">
        <f t="shared" si="2"/>
        <v>#REF!</v>
      </c>
      <c r="N102">
        <v>99</v>
      </c>
      <c r="O102">
        <v>0</v>
      </c>
      <c r="P102">
        <v>0</v>
      </c>
      <c r="Q102">
        <v>0</v>
      </c>
      <c r="R102">
        <v>0</v>
      </c>
      <c r="S102">
        <v>0</v>
      </c>
      <c r="T102">
        <f>'[26]GABM_R03_SarahAPI-data'!$K101</f>
        <v>2</v>
      </c>
      <c r="U102">
        <v>0</v>
      </c>
      <c r="V102">
        <f>'[28]GABM_R03_MitchellAPI-data'!$K101</f>
        <v>1</v>
      </c>
      <c r="W102">
        <f>'[29]GABM_R03_SudipaAPI-data'!$K101</f>
        <v>0</v>
      </c>
      <c r="X102">
        <v>0</v>
      </c>
      <c r="Y102">
        <f t="shared" si="3"/>
        <v>0.3</v>
      </c>
    </row>
    <row r="103" spans="1:25" x14ac:dyDescent="0.35">
      <c r="A103">
        <v>100</v>
      </c>
      <c r="B103" t="e">
        <f>'[21]R03_GABM-data'!$K102</f>
        <v>#REF!</v>
      </c>
      <c r="C103" t="e">
        <f>'[22]GABM_R03_RossAPI-data'!$K102</f>
        <v>#REF!</v>
      </c>
      <c r="D103" t="e">
        <f>'[23]GABM_R03_RandiAPI-data'!$K102</f>
        <v>#REF!</v>
      </c>
      <c r="E103" t="e">
        <f>'[24]GABM_R03_NavidAPI-data'!$K102</f>
        <v>#REF!</v>
      </c>
      <c r="F103" t="e">
        <f>'[25]GABM_R03_Terry-data'!$K102</f>
        <v>#REF!</v>
      </c>
      <c r="G103">
        <f>'[26]GABM_R03_SarahAPI-data'!$K102</f>
        <v>3</v>
      </c>
      <c r="H103" t="e">
        <f>'[27]GABM_R03_savannah-data'!$K102</f>
        <v>#REF!</v>
      </c>
      <c r="I103">
        <f>'[28]GABM_R03_MitchellAPI-data'!$K102</f>
        <v>4</v>
      </c>
      <c r="J103">
        <f>'[29]GABM_R03_SudipaAPI-data'!$K102</f>
        <v>0</v>
      </c>
      <c r="K103" t="e">
        <f>'[30]R03_GABM_run2-data'!$K102</f>
        <v>#REF!</v>
      </c>
      <c r="L103" t="e">
        <f t="shared" si="2"/>
        <v>#REF!</v>
      </c>
      <c r="N103">
        <v>100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f>'[26]GABM_R03_SarahAPI-data'!$K102</f>
        <v>3</v>
      </c>
      <c r="U103">
        <v>0</v>
      </c>
      <c r="V103">
        <f>'[28]GABM_R03_MitchellAPI-data'!$K102</f>
        <v>4</v>
      </c>
      <c r="W103">
        <f>'[29]GABM_R03_SudipaAPI-data'!$K102</f>
        <v>0</v>
      </c>
      <c r="X103">
        <v>0</v>
      </c>
      <c r="Y103">
        <f t="shared" si="3"/>
        <v>0.7</v>
      </c>
    </row>
    <row r="104" spans="1:25" x14ac:dyDescent="0.35">
      <c r="A104">
        <v>101</v>
      </c>
      <c r="B104" t="e">
        <f>'[21]R03_GABM-data'!$K103</f>
        <v>#REF!</v>
      </c>
      <c r="C104" t="e">
        <f>'[22]GABM_R03_RossAPI-data'!$K103</f>
        <v>#REF!</v>
      </c>
      <c r="D104" t="e">
        <f>'[23]GABM_R03_RandiAPI-data'!$K103</f>
        <v>#REF!</v>
      </c>
      <c r="E104" t="e">
        <f>'[24]GABM_R03_NavidAPI-data'!$K103</f>
        <v>#REF!</v>
      </c>
      <c r="F104" t="e">
        <f>'[25]GABM_R03_Terry-data'!$K103</f>
        <v>#REF!</v>
      </c>
      <c r="G104">
        <f>'[26]GABM_R03_SarahAPI-data'!$K103</f>
        <v>0</v>
      </c>
      <c r="H104" t="e">
        <f>'[27]GABM_R03_savannah-data'!$K103</f>
        <v>#REF!</v>
      </c>
      <c r="I104">
        <f>'[28]GABM_R03_MitchellAPI-data'!$K103</f>
        <v>1</v>
      </c>
      <c r="J104">
        <f>'[29]GABM_R03_SudipaAPI-data'!$K103</f>
        <v>0</v>
      </c>
      <c r="K104" t="e">
        <f>'[30]R03_GABM_run2-data'!$K103</f>
        <v>#REF!</v>
      </c>
      <c r="L104" t="e">
        <f t="shared" si="2"/>
        <v>#REF!</v>
      </c>
      <c r="N104">
        <v>101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f>'[26]GABM_R03_SarahAPI-data'!$K103</f>
        <v>0</v>
      </c>
      <c r="U104">
        <v>0</v>
      </c>
      <c r="V104">
        <f>'[28]GABM_R03_MitchellAPI-data'!$K103</f>
        <v>1</v>
      </c>
      <c r="W104">
        <f>'[29]GABM_R03_SudipaAPI-data'!$K103</f>
        <v>0</v>
      </c>
      <c r="X104">
        <v>0</v>
      </c>
      <c r="Y104">
        <f t="shared" si="3"/>
        <v>0.1</v>
      </c>
    </row>
    <row r="105" spans="1:25" x14ac:dyDescent="0.35">
      <c r="A105">
        <v>102</v>
      </c>
      <c r="B105" t="e">
        <f>'[21]R03_GABM-data'!$K104</f>
        <v>#REF!</v>
      </c>
      <c r="C105" t="e">
        <f>'[22]GABM_R03_RossAPI-data'!$K104</f>
        <v>#REF!</v>
      </c>
      <c r="D105" t="e">
        <f>'[23]GABM_R03_RandiAPI-data'!$K104</f>
        <v>#REF!</v>
      </c>
      <c r="E105" t="e">
        <f>'[24]GABM_R03_NavidAPI-data'!$K104</f>
        <v>#REF!</v>
      </c>
      <c r="F105" t="e">
        <f>'[25]GABM_R03_Terry-data'!$K104</f>
        <v>#REF!</v>
      </c>
      <c r="G105">
        <f>'[26]GABM_R03_SarahAPI-data'!$K104</f>
        <v>0</v>
      </c>
      <c r="H105" t="e">
        <f>'[27]GABM_R03_savannah-data'!$K104</f>
        <v>#REF!</v>
      </c>
      <c r="I105">
        <f>'[28]GABM_R03_MitchellAPI-data'!$K104</f>
        <v>2</v>
      </c>
      <c r="J105">
        <f>'[29]GABM_R03_SudipaAPI-data'!$K104</f>
        <v>2</v>
      </c>
      <c r="K105" t="e">
        <f>'[30]R03_GABM_run2-data'!$K104</f>
        <v>#REF!</v>
      </c>
      <c r="L105" t="e">
        <f t="shared" si="2"/>
        <v>#REF!</v>
      </c>
      <c r="N105">
        <v>102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f>'[26]GABM_R03_SarahAPI-data'!$K104</f>
        <v>0</v>
      </c>
      <c r="U105">
        <v>0</v>
      </c>
      <c r="V105">
        <f>'[28]GABM_R03_MitchellAPI-data'!$K104</f>
        <v>2</v>
      </c>
      <c r="W105">
        <f>'[29]GABM_R03_SudipaAPI-data'!$K104</f>
        <v>2</v>
      </c>
      <c r="X105">
        <v>0</v>
      </c>
      <c r="Y105">
        <f t="shared" si="3"/>
        <v>0.4</v>
      </c>
    </row>
    <row r="106" spans="1:25" x14ac:dyDescent="0.35">
      <c r="A106">
        <v>103</v>
      </c>
      <c r="B106" t="e">
        <f>'[21]R03_GABM-data'!$K105</f>
        <v>#REF!</v>
      </c>
      <c r="C106" t="e">
        <f>'[22]GABM_R03_RossAPI-data'!$K105</f>
        <v>#REF!</v>
      </c>
      <c r="D106" t="e">
        <f>'[23]GABM_R03_RandiAPI-data'!$K105</f>
        <v>#REF!</v>
      </c>
      <c r="E106" t="e">
        <f>'[24]GABM_R03_NavidAPI-data'!$K105</f>
        <v>#REF!</v>
      </c>
      <c r="F106" t="e">
        <f>'[25]GABM_R03_Terry-data'!$K105</f>
        <v>#REF!</v>
      </c>
      <c r="G106">
        <f>'[26]GABM_R03_SarahAPI-data'!$K105</f>
        <v>0</v>
      </c>
      <c r="H106" t="e">
        <f>'[27]GABM_R03_savannah-data'!$K105</f>
        <v>#REF!</v>
      </c>
      <c r="I106">
        <f>'[28]GABM_R03_MitchellAPI-data'!$K105</f>
        <v>1</v>
      </c>
      <c r="J106">
        <f>'[29]GABM_R03_SudipaAPI-data'!$K105</f>
        <v>1</v>
      </c>
      <c r="K106" t="e">
        <f>'[30]R03_GABM_run2-data'!$K105</f>
        <v>#REF!</v>
      </c>
      <c r="L106" t="e">
        <f t="shared" si="2"/>
        <v>#REF!</v>
      </c>
      <c r="N106">
        <v>103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f>'[26]GABM_R03_SarahAPI-data'!$K105</f>
        <v>0</v>
      </c>
      <c r="U106">
        <v>0</v>
      </c>
      <c r="V106">
        <f>'[28]GABM_R03_MitchellAPI-data'!$K105</f>
        <v>1</v>
      </c>
      <c r="W106">
        <f>'[29]GABM_R03_SudipaAPI-data'!$K105</f>
        <v>1</v>
      </c>
      <c r="X106">
        <v>0</v>
      </c>
      <c r="Y106">
        <f t="shared" si="3"/>
        <v>0.2</v>
      </c>
    </row>
    <row r="107" spans="1:25" x14ac:dyDescent="0.35">
      <c r="A107">
        <v>104</v>
      </c>
      <c r="B107" t="e">
        <f>'[21]R03_GABM-data'!$K106</f>
        <v>#REF!</v>
      </c>
      <c r="C107" t="e">
        <f>'[22]GABM_R03_RossAPI-data'!$K106</f>
        <v>#REF!</v>
      </c>
      <c r="D107" t="e">
        <f>'[23]GABM_R03_RandiAPI-data'!$K106</f>
        <v>#REF!</v>
      </c>
      <c r="E107" t="e">
        <f>'[24]GABM_R03_NavidAPI-data'!$K106</f>
        <v>#REF!</v>
      </c>
      <c r="F107" t="e">
        <f>'[25]GABM_R03_Terry-data'!$K106</f>
        <v>#REF!</v>
      </c>
      <c r="G107">
        <f>'[26]GABM_R03_SarahAPI-data'!$K106</f>
        <v>0</v>
      </c>
      <c r="H107" t="e">
        <f>'[27]GABM_R03_savannah-data'!$K106</f>
        <v>#REF!</v>
      </c>
      <c r="I107">
        <f>'[28]GABM_R03_MitchellAPI-data'!$K106</f>
        <v>0</v>
      </c>
      <c r="J107">
        <f>'[29]GABM_R03_SudipaAPI-data'!$K106</f>
        <v>0</v>
      </c>
      <c r="K107" t="e">
        <f>'[30]R03_GABM_run2-data'!$K106</f>
        <v>#REF!</v>
      </c>
      <c r="L107" t="e">
        <f t="shared" si="2"/>
        <v>#REF!</v>
      </c>
      <c r="N107">
        <v>104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f>'[26]GABM_R03_SarahAPI-data'!$K106</f>
        <v>0</v>
      </c>
      <c r="U107">
        <v>0</v>
      </c>
      <c r="V107">
        <f>'[28]GABM_R03_MitchellAPI-data'!$K106</f>
        <v>0</v>
      </c>
      <c r="W107">
        <f>'[29]GABM_R03_SudipaAPI-data'!$K106</f>
        <v>0</v>
      </c>
      <c r="X107">
        <v>0</v>
      </c>
      <c r="Y107">
        <f t="shared" si="3"/>
        <v>0</v>
      </c>
    </row>
    <row r="108" spans="1:25" x14ac:dyDescent="0.35">
      <c r="A108">
        <v>105</v>
      </c>
      <c r="B108" t="e">
        <f>'[21]R03_GABM-data'!$K107</f>
        <v>#REF!</v>
      </c>
      <c r="C108" t="e">
        <f>'[22]GABM_R03_RossAPI-data'!$K107</f>
        <v>#REF!</v>
      </c>
      <c r="D108" t="e">
        <f>'[23]GABM_R03_RandiAPI-data'!$K107</f>
        <v>#REF!</v>
      </c>
      <c r="E108" t="e">
        <f>'[24]GABM_R03_NavidAPI-data'!$K107</f>
        <v>#REF!</v>
      </c>
      <c r="F108" t="e">
        <f>'[25]GABM_R03_Terry-data'!$K107</f>
        <v>#REF!</v>
      </c>
      <c r="G108">
        <f>'[26]GABM_R03_SarahAPI-data'!$K107</f>
        <v>2</v>
      </c>
      <c r="H108" t="e">
        <f>'[27]GABM_R03_savannah-data'!$K107</f>
        <v>#REF!</v>
      </c>
      <c r="I108">
        <f>'[28]GABM_R03_MitchellAPI-data'!$K107</f>
        <v>0</v>
      </c>
      <c r="J108">
        <f>'[29]GABM_R03_SudipaAPI-data'!$K107</f>
        <v>0</v>
      </c>
      <c r="K108" t="e">
        <f>'[30]R03_GABM_run2-data'!$K107</f>
        <v>#REF!</v>
      </c>
      <c r="L108" t="e">
        <f t="shared" si="2"/>
        <v>#REF!</v>
      </c>
      <c r="N108">
        <v>105</v>
      </c>
      <c r="O108">
        <v>0</v>
      </c>
      <c r="P108">
        <v>0</v>
      </c>
      <c r="Q108">
        <v>0</v>
      </c>
      <c r="R108">
        <v>0</v>
      </c>
      <c r="S108">
        <v>0</v>
      </c>
      <c r="T108">
        <f>'[26]GABM_R03_SarahAPI-data'!$K107</f>
        <v>2</v>
      </c>
      <c r="U108">
        <v>0</v>
      </c>
      <c r="V108">
        <f>'[28]GABM_R03_MitchellAPI-data'!$K107</f>
        <v>0</v>
      </c>
      <c r="W108">
        <f>'[29]GABM_R03_SudipaAPI-data'!$K107</f>
        <v>0</v>
      </c>
      <c r="X108">
        <v>0</v>
      </c>
      <c r="Y108">
        <f t="shared" si="3"/>
        <v>0.2</v>
      </c>
    </row>
    <row r="109" spans="1:25" x14ac:dyDescent="0.35">
      <c r="A109">
        <v>106</v>
      </c>
      <c r="B109" t="e">
        <f>'[21]R03_GABM-data'!$K108</f>
        <v>#REF!</v>
      </c>
      <c r="C109" t="e">
        <f>'[22]GABM_R03_RossAPI-data'!$K108</f>
        <v>#REF!</v>
      </c>
      <c r="D109" t="e">
        <f>'[23]GABM_R03_RandiAPI-data'!$K108</f>
        <v>#REF!</v>
      </c>
      <c r="E109" t="e">
        <f>'[24]GABM_R03_NavidAPI-data'!$K108</f>
        <v>#REF!</v>
      </c>
      <c r="F109" t="e">
        <f>'[25]GABM_R03_Terry-data'!$K108</f>
        <v>#REF!</v>
      </c>
      <c r="G109">
        <f>'[26]GABM_R03_SarahAPI-data'!$K108</f>
        <v>1</v>
      </c>
      <c r="H109" t="e">
        <f>'[27]GABM_R03_savannah-data'!$K108</f>
        <v>#REF!</v>
      </c>
      <c r="I109">
        <f>'[28]GABM_R03_MitchellAPI-data'!$K108</f>
        <v>0</v>
      </c>
      <c r="J109">
        <f>'[29]GABM_R03_SudipaAPI-data'!$K108</f>
        <v>0</v>
      </c>
      <c r="K109" t="e">
        <f>'[30]R03_GABM_run2-data'!$K108</f>
        <v>#REF!</v>
      </c>
      <c r="L109" t="e">
        <f t="shared" si="2"/>
        <v>#REF!</v>
      </c>
      <c r="N109">
        <v>106</v>
      </c>
      <c r="O109">
        <v>0</v>
      </c>
      <c r="P109">
        <v>0</v>
      </c>
      <c r="Q109">
        <v>0</v>
      </c>
      <c r="R109">
        <v>0</v>
      </c>
      <c r="S109">
        <v>0</v>
      </c>
      <c r="T109">
        <f>'[26]GABM_R03_SarahAPI-data'!$K108</f>
        <v>1</v>
      </c>
      <c r="U109">
        <v>0</v>
      </c>
      <c r="V109">
        <f>'[28]GABM_R03_MitchellAPI-data'!$K108</f>
        <v>0</v>
      </c>
      <c r="W109">
        <f>'[29]GABM_R03_SudipaAPI-data'!$K108</f>
        <v>0</v>
      </c>
      <c r="X109">
        <v>0</v>
      </c>
      <c r="Y109">
        <f t="shared" si="3"/>
        <v>0.1</v>
      </c>
    </row>
    <row r="110" spans="1:25" x14ac:dyDescent="0.35">
      <c r="A110">
        <v>107</v>
      </c>
      <c r="B110" t="e">
        <f>'[21]R03_GABM-data'!$K109</f>
        <v>#REF!</v>
      </c>
      <c r="C110" t="e">
        <f>'[22]GABM_R03_RossAPI-data'!$K109</f>
        <v>#REF!</v>
      </c>
      <c r="D110" t="e">
        <f>'[23]GABM_R03_RandiAPI-data'!$K109</f>
        <v>#REF!</v>
      </c>
      <c r="E110" t="e">
        <f>'[24]GABM_R03_NavidAPI-data'!$K109</f>
        <v>#REF!</v>
      </c>
      <c r="F110" t="e">
        <f>'[25]GABM_R03_Terry-data'!$K109</f>
        <v>#REF!</v>
      </c>
      <c r="G110">
        <f>'[26]GABM_R03_SarahAPI-data'!$K109</f>
        <v>1</v>
      </c>
      <c r="H110" t="e">
        <f>'[27]GABM_R03_savannah-data'!$K109</f>
        <v>#REF!</v>
      </c>
      <c r="I110">
        <f>'[28]GABM_R03_MitchellAPI-data'!$K109</f>
        <v>0</v>
      </c>
      <c r="J110">
        <f>'[29]GABM_R03_SudipaAPI-data'!$K109</f>
        <v>0</v>
      </c>
      <c r="K110" t="e">
        <f>'[30]R03_GABM_run2-data'!$K109</f>
        <v>#REF!</v>
      </c>
      <c r="L110" t="e">
        <f t="shared" si="2"/>
        <v>#REF!</v>
      </c>
      <c r="N110">
        <v>107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f>'[26]GABM_R03_SarahAPI-data'!$K109</f>
        <v>1</v>
      </c>
      <c r="U110">
        <v>0</v>
      </c>
      <c r="V110">
        <f>'[28]GABM_R03_MitchellAPI-data'!$K109</f>
        <v>0</v>
      </c>
      <c r="W110">
        <f>'[29]GABM_R03_SudipaAPI-data'!$K109</f>
        <v>0</v>
      </c>
      <c r="X110">
        <v>0</v>
      </c>
      <c r="Y110">
        <f t="shared" si="3"/>
        <v>0.1</v>
      </c>
    </row>
    <row r="111" spans="1:25" x14ac:dyDescent="0.35">
      <c r="A111">
        <v>108</v>
      </c>
      <c r="B111" t="e">
        <f>'[21]R03_GABM-data'!$K110</f>
        <v>#REF!</v>
      </c>
      <c r="C111" t="e">
        <f>'[22]GABM_R03_RossAPI-data'!$K110</f>
        <v>#REF!</v>
      </c>
      <c r="D111" t="e">
        <f>'[23]GABM_R03_RandiAPI-data'!$K110</f>
        <v>#REF!</v>
      </c>
      <c r="E111" t="e">
        <f>'[24]GABM_R03_NavidAPI-data'!$K110</f>
        <v>#REF!</v>
      </c>
      <c r="F111" t="e">
        <f>'[25]GABM_R03_Terry-data'!$K110</f>
        <v>#REF!</v>
      </c>
      <c r="G111">
        <f>'[26]GABM_R03_SarahAPI-data'!$K110</f>
        <v>1</v>
      </c>
      <c r="H111" t="e">
        <f>'[27]GABM_R03_savannah-data'!$K110</f>
        <v>#REF!</v>
      </c>
      <c r="I111">
        <f>'[28]GABM_R03_MitchellAPI-data'!$K110</f>
        <v>2</v>
      </c>
      <c r="J111">
        <f>'[29]GABM_R03_SudipaAPI-data'!$K110</f>
        <v>2</v>
      </c>
      <c r="K111" t="e">
        <f>'[30]R03_GABM_run2-data'!$K110</f>
        <v>#REF!</v>
      </c>
      <c r="L111" t="e">
        <f t="shared" si="2"/>
        <v>#REF!</v>
      </c>
      <c r="N111">
        <v>108</v>
      </c>
      <c r="O111">
        <v>0</v>
      </c>
      <c r="P111">
        <v>0</v>
      </c>
      <c r="Q111">
        <v>0</v>
      </c>
      <c r="R111">
        <v>0</v>
      </c>
      <c r="S111">
        <v>0</v>
      </c>
      <c r="T111">
        <f>'[26]GABM_R03_SarahAPI-data'!$K110</f>
        <v>1</v>
      </c>
      <c r="U111">
        <v>0</v>
      </c>
      <c r="V111">
        <f>'[28]GABM_R03_MitchellAPI-data'!$K110</f>
        <v>2</v>
      </c>
      <c r="W111">
        <f>'[29]GABM_R03_SudipaAPI-data'!$K110</f>
        <v>2</v>
      </c>
      <c r="X111">
        <v>0</v>
      </c>
      <c r="Y111">
        <f t="shared" si="3"/>
        <v>0.5</v>
      </c>
    </row>
    <row r="112" spans="1:25" x14ac:dyDescent="0.35">
      <c r="A112">
        <v>109</v>
      </c>
      <c r="B112" t="e">
        <f>'[21]R03_GABM-data'!$K111</f>
        <v>#REF!</v>
      </c>
      <c r="C112" t="e">
        <f>'[22]GABM_R03_RossAPI-data'!$K111</f>
        <v>#REF!</v>
      </c>
      <c r="D112" t="e">
        <f>'[23]GABM_R03_RandiAPI-data'!$K111</f>
        <v>#REF!</v>
      </c>
      <c r="E112" t="e">
        <f>'[24]GABM_R03_NavidAPI-data'!$K111</f>
        <v>#REF!</v>
      </c>
      <c r="F112" t="e">
        <f>'[25]GABM_R03_Terry-data'!$K111</f>
        <v>#REF!</v>
      </c>
      <c r="G112">
        <f>'[26]GABM_R03_SarahAPI-data'!$K111</f>
        <v>1</v>
      </c>
      <c r="H112" t="e">
        <f>'[27]GABM_R03_savannah-data'!$K111</f>
        <v>#REF!</v>
      </c>
      <c r="I112">
        <f>'[28]GABM_R03_MitchellAPI-data'!$K111</f>
        <v>1</v>
      </c>
      <c r="J112">
        <f>'[29]GABM_R03_SudipaAPI-data'!$K111</f>
        <v>1</v>
      </c>
      <c r="K112" t="e">
        <f>'[30]R03_GABM_run2-data'!$K111</f>
        <v>#REF!</v>
      </c>
      <c r="L112" t="e">
        <f t="shared" si="2"/>
        <v>#REF!</v>
      </c>
      <c r="N112">
        <v>109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f>'[26]GABM_R03_SarahAPI-data'!$K111</f>
        <v>1</v>
      </c>
      <c r="U112">
        <v>0</v>
      </c>
      <c r="V112">
        <f>'[28]GABM_R03_MitchellAPI-data'!$K111</f>
        <v>1</v>
      </c>
      <c r="W112">
        <f>'[29]GABM_R03_SudipaAPI-data'!$K111</f>
        <v>1</v>
      </c>
      <c r="X112">
        <v>0</v>
      </c>
      <c r="Y112">
        <f t="shared" si="3"/>
        <v>0.3</v>
      </c>
    </row>
    <row r="113" spans="1:25" x14ac:dyDescent="0.35">
      <c r="A113">
        <v>110</v>
      </c>
      <c r="B113" t="e">
        <f>'[21]R03_GABM-data'!$K112</f>
        <v>#REF!</v>
      </c>
      <c r="C113" t="e">
        <f>'[22]GABM_R03_RossAPI-data'!$K112</f>
        <v>#REF!</v>
      </c>
      <c r="D113" t="e">
        <f>'[23]GABM_R03_RandiAPI-data'!$K112</f>
        <v>#REF!</v>
      </c>
      <c r="E113" t="e">
        <f>'[24]GABM_R03_NavidAPI-data'!$K112</f>
        <v>#REF!</v>
      </c>
      <c r="F113" t="e">
        <f>'[25]GABM_R03_Terry-data'!$K112</f>
        <v>#REF!</v>
      </c>
      <c r="G113">
        <f>'[26]GABM_R03_SarahAPI-data'!$K112</f>
        <v>1</v>
      </c>
      <c r="H113" t="e">
        <f>'[27]GABM_R03_savannah-data'!$K112</f>
        <v>#REF!</v>
      </c>
      <c r="I113">
        <f>'[28]GABM_R03_MitchellAPI-data'!$K112</f>
        <v>1</v>
      </c>
      <c r="J113">
        <f>'[29]GABM_R03_SudipaAPI-data'!$K112</f>
        <v>0</v>
      </c>
      <c r="K113" t="e">
        <f>'[30]R03_GABM_run2-data'!$K112</f>
        <v>#REF!</v>
      </c>
      <c r="L113" t="e">
        <f t="shared" si="2"/>
        <v>#REF!</v>
      </c>
      <c r="N113">
        <v>110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f>'[26]GABM_R03_SarahAPI-data'!$K112</f>
        <v>1</v>
      </c>
      <c r="U113">
        <v>0</v>
      </c>
      <c r="V113">
        <f>'[28]GABM_R03_MitchellAPI-data'!$K112</f>
        <v>1</v>
      </c>
      <c r="W113">
        <f>'[29]GABM_R03_SudipaAPI-data'!$K112</f>
        <v>0</v>
      </c>
      <c r="X113">
        <v>0</v>
      </c>
      <c r="Y113">
        <f t="shared" si="3"/>
        <v>0.2</v>
      </c>
    </row>
    <row r="114" spans="1:25" x14ac:dyDescent="0.35">
      <c r="A114">
        <v>111</v>
      </c>
      <c r="B114" t="e">
        <f>'[21]R03_GABM-data'!$K113</f>
        <v>#REF!</v>
      </c>
      <c r="C114" t="e">
        <f>'[22]GABM_R03_RossAPI-data'!$K113</f>
        <v>#REF!</v>
      </c>
      <c r="D114" t="e">
        <f>'[23]GABM_R03_RandiAPI-data'!$K113</f>
        <v>#REF!</v>
      </c>
      <c r="E114" t="e">
        <f>'[24]GABM_R03_NavidAPI-data'!$K113</f>
        <v>#REF!</v>
      </c>
      <c r="F114" t="e">
        <f>'[25]GABM_R03_Terry-data'!$K113</f>
        <v>#REF!</v>
      </c>
      <c r="G114">
        <f>'[26]GABM_R03_SarahAPI-data'!$K113</f>
        <v>1</v>
      </c>
      <c r="H114" t="e">
        <f>'[27]GABM_R03_savannah-data'!$K113</f>
        <v>#REF!</v>
      </c>
      <c r="I114">
        <f>'[28]GABM_R03_MitchellAPI-data'!$K113</f>
        <v>1</v>
      </c>
      <c r="J114">
        <f>'[29]GABM_R03_SudipaAPI-data'!$K113</f>
        <v>3</v>
      </c>
      <c r="K114" t="e">
        <f>'[30]R03_GABM_run2-data'!$K113</f>
        <v>#REF!</v>
      </c>
      <c r="L114" t="e">
        <f t="shared" si="2"/>
        <v>#REF!</v>
      </c>
      <c r="N114">
        <v>111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f>'[26]GABM_R03_SarahAPI-data'!$K113</f>
        <v>1</v>
      </c>
      <c r="U114">
        <v>0</v>
      </c>
      <c r="V114">
        <f>'[28]GABM_R03_MitchellAPI-data'!$K113</f>
        <v>1</v>
      </c>
      <c r="W114">
        <f>'[29]GABM_R03_SudipaAPI-data'!$K113</f>
        <v>3</v>
      </c>
      <c r="X114">
        <v>0</v>
      </c>
      <c r="Y114">
        <f t="shared" si="3"/>
        <v>0.5</v>
      </c>
    </row>
    <row r="115" spans="1:25" x14ac:dyDescent="0.35">
      <c r="A115">
        <v>112</v>
      </c>
      <c r="B115" t="e">
        <f>'[21]R03_GABM-data'!$K114</f>
        <v>#REF!</v>
      </c>
      <c r="C115" t="e">
        <f>'[22]GABM_R03_RossAPI-data'!$K114</f>
        <v>#REF!</v>
      </c>
      <c r="D115" t="e">
        <f>'[23]GABM_R03_RandiAPI-data'!$K114</f>
        <v>#REF!</v>
      </c>
      <c r="E115" t="e">
        <f>'[24]GABM_R03_NavidAPI-data'!$K114</f>
        <v>#REF!</v>
      </c>
      <c r="F115" t="e">
        <f>'[25]GABM_R03_Terry-data'!$K114</f>
        <v>#REF!</v>
      </c>
      <c r="G115">
        <f>'[26]GABM_R03_SarahAPI-data'!$K114</f>
        <v>4</v>
      </c>
      <c r="H115" t="e">
        <f>'[27]GABM_R03_savannah-data'!$K114</f>
        <v>#REF!</v>
      </c>
      <c r="I115">
        <f>'[28]GABM_R03_MitchellAPI-data'!$K114</f>
        <v>1</v>
      </c>
      <c r="J115">
        <f>'[29]GABM_R03_SudipaAPI-data'!$K114</f>
        <v>1</v>
      </c>
      <c r="K115" t="e">
        <f>'[30]R03_GABM_run2-data'!$K114</f>
        <v>#REF!</v>
      </c>
      <c r="L115" t="e">
        <f t="shared" si="2"/>
        <v>#REF!</v>
      </c>
      <c r="N115">
        <v>112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f>'[26]GABM_R03_SarahAPI-data'!$K114</f>
        <v>4</v>
      </c>
      <c r="U115">
        <v>0</v>
      </c>
      <c r="V115">
        <f>'[28]GABM_R03_MitchellAPI-data'!$K114</f>
        <v>1</v>
      </c>
      <c r="W115">
        <f>'[29]GABM_R03_SudipaAPI-data'!$K114</f>
        <v>1</v>
      </c>
      <c r="X115">
        <v>0</v>
      </c>
      <c r="Y115">
        <f t="shared" si="3"/>
        <v>0.6</v>
      </c>
    </row>
    <row r="116" spans="1:25" x14ac:dyDescent="0.35">
      <c r="A116">
        <v>113</v>
      </c>
      <c r="B116" t="e">
        <f>'[21]R03_GABM-data'!$K115</f>
        <v>#REF!</v>
      </c>
      <c r="C116" t="e">
        <f>'[22]GABM_R03_RossAPI-data'!$K115</f>
        <v>#REF!</v>
      </c>
      <c r="D116" t="e">
        <f>'[23]GABM_R03_RandiAPI-data'!$K115</f>
        <v>#REF!</v>
      </c>
      <c r="E116" t="e">
        <f>'[24]GABM_R03_NavidAPI-data'!$K115</f>
        <v>#REF!</v>
      </c>
      <c r="F116" t="e">
        <f>'[25]GABM_R03_Terry-data'!$K115</f>
        <v>#REF!</v>
      </c>
      <c r="G116">
        <f>'[26]GABM_R03_SarahAPI-data'!$K115</f>
        <v>3</v>
      </c>
      <c r="H116" t="e">
        <f>'[27]GABM_R03_savannah-data'!$K115</f>
        <v>#REF!</v>
      </c>
      <c r="I116">
        <f>'[28]GABM_R03_MitchellAPI-data'!$K115</f>
        <v>0</v>
      </c>
      <c r="J116">
        <f>'[29]GABM_R03_SudipaAPI-data'!$K115</f>
        <v>0</v>
      </c>
      <c r="K116" t="e">
        <f>'[30]R03_GABM_run2-data'!$K115</f>
        <v>#REF!</v>
      </c>
      <c r="L116" t="e">
        <f t="shared" si="2"/>
        <v>#REF!</v>
      </c>
      <c r="N116">
        <v>113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f>'[26]GABM_R03_SarahAPI-data'!$K115</f>
        <v>3</v>
      </c>
      <c r="U116">
        <v>0</v>
      </c>
      <c r="V116">
        <f>'[28]GABM_R03_MitchellAPI-data'!$K115</f>
        <v>0</v>
      </c>
      <c r="W116">
        <f>'[29]GABM_R03_SudipaAPI-data'!$K115</f>
        <v>0</v>
      </c>
      <c r="X116">
        <v>0</v>
      </c>
      <c r="Y116">
        <f t="shared" si="3"/>
        <v>0.3</v>
      </c>
    </row>
    <row r="117" spans="1:25" x14ac:dyDescent="0.35">
      <c r="A117">
        <v>114</v>
      </c>
      <c r="B117" t="e">
        <f>'[21]R03_GABM-data'!$K116</f>
        <v>#REF!</v>
      </c>
      <c r="C117" t="e">
        <f>'[22]GABM_R03_RossAPI-data'!$K116</f>
        <v>#REF!</v>
      </c>
      <c r="D117" t="e">
        <f>'[23]GABM_R03_RandiAPI-data'!$K116</f>
        <v>#REF!</v>
      </c>
      <c r="E117" t="e">
        <f>'[24]GABM_R03_NavidAPI-data'!$K116</f>
        <v>#REF!</v>
      </c>
      <c r="F117" t="e">
        <f>'[25]GABM_R03_Terry-data'!$K116</f>
        <v>#REF!</v>
      </c>
      <c r="G117">
        <f>'[26]GABM_R03_SarahAPI-data'!$K116</f>
        <v>2</v>
      </c>
      <c r="H117" t="e">
        <f>'[27]GABM_R03_savannah-data'!$K116</f>
        <v>#REF!</v>
      </c>
      <c r="I117">
        <f>'[28]GABM_R03_MitchellAPI-data'!$K116</f>
        <v>0</v>
      </c>
      <c r="J117">
        <f>'[29]GABM_R03_SudipaAPI-data'!$K116</f>
        <v>2</v>
      </c>
      <c r="K117" t="e">
        <f>'[30]R03_GABM_run2-data'!$K116</f>
        <v>#REF!</v>
      </c>
      <c r="L117" t="e">
        <f t="shared" si="2"/>
        <v>#REF!</v>
      </c>
      <c r="N117">
        <v>114</v>
      </c>
      <c r="O117">
        <v>0</v>
      </c>
      <c r="P117">
        <v>0</v>
      </c>
      <c r="Q117">
        <v>0</v>
      </c>
      <c r="R117">
        <v>0</v>
      </c>
      <c r="S117">
        <v>0</v>
      </c>
      <c r="T117">
        <f>'[26]GABM_R03_SarahAPI-data'!$K116</f>
        <v>2</v>
      </c>
      <c r="U117">
        <v>0</v>
      </c>
      <c r="V117">
        <f>'[28]GABM_R03_MitchellAPI-data'!$K116</f>
        <v>0</v>
      </c>
      <c r="W117">
        <f>'[29]GABM_R03_SudipaAPI-data'!$K116</f>
        <v>2</v>
      </c>
      <c r="X117">
        <v>0</v>
      </c>
      <c r="Y117">
        <f t="shared" si="3"/>
        <v>0.4</v>
      </c>
    </row>
    <row r="118" spans="1:25" x14ac:dyDescent="0.35">
      <c r="A118">
        <v>115</v>
      </c>
      <c r="B118" t="e">
        <f>'[21]R03_GABM-data'!$K117</f>
        <v>#REF!</v>
      </c>
      <c r="C118" t="e">
        <f>'[22]GABM_R03_RossAPI-data'!$K117</f>
        <v>#REF!</v>
      </c>
      <c r="D118" t="e">
        <f>'[23]GABM_R03_RandiAPI-data'!$K117</f>
        <v>#REF!</v>
      </c>
      <c r="E118" t="e">
        <f>'[24]GABM_R03_NavidAPI-data'!$K117</f>
        <v>#REF!</v>
      </c>
      <c r="F118" t="e">
        <f>'[25]GABM_R03_Terry-data'!$K117</f>
        <v>#REF!</v>
      </c>
      <c r="G118">
        <f>'[26]GABM_R03_SarahAPI-data'!$K117</f>
        <v>4</v>
      </c>
      <c r="H118" t="e">
        <f>'[27]GABM_R03_savannah-data'!$K117</f>
        <v>#REF!</v>
      </c>
      <c r="I118">
        <f>'[28]GABM_R03_MitchellAPI-data'!$K117</f>
        <v>0</v>
      </c>
      <c r="J118">
        <f>'[29]GABM_R03_SudipaAPI-data'!$K117</f>
        <v>2</v>
      </c>
      <c r="K118" t="e">
        <f>'[30]R03_GABM_run2-data'!$K117</f>
        <v>#REF!</v>
      </c>
      <c r="L118" t="e">
        <f t="shared" si="2"/>
        <v>#REF!</v>
      </c>
      <c r="N118">
        <v>115</v>
      </c>
      <c r="O118">
        <v>0</v>
      </c>
      <c r="P118">
        <v>0</v>
      </c>
      <c r="Q118">
        <v>0</v>
      </c>
      <c r="R118">
        <v>0</v>
      </c>
      <c r="S118">
        <v>0</v>
      </c>
      <c r="T118">
        <f>'[26]GABM_R03_SarahAPI-data'!$K117</f>
        <v>4</v>
      </c>
      <c r="U118">
        <v>0</v>
      </c>
      <c r="V118">
        <f>'[28]GABM_R03_MitchellAPI-data'!$K117</f>
        <v>0</v>
      </c>
      <c r="W118">
        <f>'[29]GABM_R03_SudipaAPI-data'!$K117</f>
        <v>2</v>
      </c>
      <c r="X118">
        <v>0</v>
      </c>
      <c r="Y118">
        <f t="shared" si="3"/>
        <v>0.6</v>
      </c>
    </row>
    <row r="119" spans="1:25" x14ac:dyDescent="0.35">
      <c r="A119">
        <v>116</v>
      </c>
      <c r="B119" t="e">
        <f>'[21]R03_GABM-data'!$K118</f>
        <v>#REF!</v>
      </c>
      <c r="C119" t="e">
        <f>'[22]GABM_R03_RossAPI-data'!$K118</f>
        <v>#REF!</v>
      </c>
      <c r="D119" t="e">
        <f>'[23]GABM_R03_RandiAPI-data'!$K118</f>
        <v>#REF!</v>
      </c>
      <c r="E119" t="e">
        <f>'[24]GABM_R03_NavidAPI-data'!$K118</f>
        <v>#REF!</v>
      </c>
      <c r="F119" t="e">
        <f>'[25]GABM_R03_Terry-data'!$K118</f>
        <v>#REF!</v>
      </c>
      <c r="G119">
        <f>'[26]GABM_R03_SarahAPI-data'!$K118</f>
        <v>5</v>
      </c>
      <c r="H119" t="e">
        <f>'[27]GABM_R03_savannah-data'!$K118</f>
        <v>#REF!</v>
      </c>
      <c r="I119" t="e">
        <f>'[28]GABM_R03_MitchellAPI-data'!$K118</f>
        <v>#REF!</v>
      </c>
      <c r="J119">
        <f>'[29]GABM_R03_SudipaAPI-data'!$K118</f>
        <v>1</v>
      </c>
      <c r="K119" t="e">
        <f>'[30]R03_GABM_run2-data'!$K118</f>
        <v>#REF!</v>
      </c>
      <c r="L119" t="e">
        <f t="shared" si="2"/>
        <v>#REF!</v>
      </c>
      <c r="N119">
        <v>116</v>
      </c>
      <c r="O119">
        <v>0</v>
      </c>
      <c r="P119">
        <v>0</v>
      </c>
      <c r="Q119">
        <v>0</v>
      </c>
      <c r="R119">
        <v>0</v>
      </c>
      <c r="S119">
        <v>0</v>
      </c>
      <c r="T119">
        <f>'[26]GABM_R03_SarahAPI-data'!$K118</f>
        <v>5</v>
      </c>
      <c r="U119">
        <v>0</v>
      </c>
      <c r="V119">
        <v>0</v>
      </c>
      <c r="W119">
        <f>'[29]GABM_R03_SudipaAPI-data'!$K118</f>
        <v>1</v>
      </c>
      <c r="X119">
        <v>0</v>
      </c>
      <c r="Y119">
        <f t="shared" si="3"/>
        <v>0.6</v>
      </c>
    </row>
    <row r="120" spans="1:25" x14ac:dyDescent="0.35">
      <c r="A120">
        <v>117</v>
      </c>
      <c r="B120" t="e">
        <f>'[21]R03_GABM-data'!$K119</f>
        <v>#REF!</v>
      </c>
      <c r="C120" t="e">
        <f>'[22]GABM_R03_RossAPI-data'!$K119</f>
        <v>#REF!</v>
      </c>
      <c r="D120" t="e">
        <f>'[23]GABM_R03_RandiAPI-data'!$K119</f>
        <v>#REF!</v>
      </c>
      <c r="E120" t="e">
        <f>'[24]GABM_R03_NavidAPI-data'!$K119</f>
        <v>#REF!</v>
      </c>
      <c r="F120" t="e">
        <f>'[25]GABM_R03_Terry-data'!$K119</f>
        <v>#REF!</v>
      </c>
      <c r="G120">
        <f>'[26]GABM_R03_SarahAPI-data'!$K119</f>
        <v>2</v>
      </c>
      <c r="H120" t="e">
        <f>'[27]GABM_R03_savannah-data'!$K119</f>
        <v>#REF!</v>
      </c>
      <c r="I120" t="e">
        <f>'[28]GABM_R03_MitchellAPI-data'!$K119</f>
        <v>#REF!</v>
      </c>
      <c r="J120">
        <f>'[29]GABM_R03_SudipaAPI-data'!$K119</f>
        <v>9</v>
      </c>
      <c r="K120" t="e">
        <f>'[30]R03_GABM_run2-data'!$K119</f>
        <v>#REF!</v>
      </c>
      <c r="L120" t="e">
        <f t="shared" si="2"/>
        <v>#REF!</v>
      </c>
      <c r="N120">
        <v>117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f>'[26]GABM_R03_SarahAPI-data'!$K119</f>
        <v>2</v>
      </c>
      <c r="U120">
        <v>0</v>
      </c>
      <c r="V120">
        <v>0</v>
      </c>
      <c r="W120">
        <f>'[29]GABM_R03_SudipaAPI-data'!$K119</f>
        <v>9</v>
      </c>
      <c r="X120">
        <v>0</v>
      </c>
      <c r="Y120">
        <f t="shared" si="3"/>
        <v>1.1000000000000001</v>
      </c>
    </row>
    <row r="121" spans="1:25" x14ac:dyDescent="0.35">
      <c r="A121">
        <v>118</v>
      </c>
      <c r="B121" t="e">
        <f>'[21]R03_GABM-data'!$K120</f>
        <v>#REF!</v>
      </c>
      <c r="C121" t="e">
        <f>'[22]GABM_R03_RossAPI-data'!$K120</f>
        <v>#REF!</v>
      </c>
      <c r="D121" t="e">
        <f>'[23]GABM_R03_RandiAPI-data'!$K120</f>
        <v>#REF!</v>
      </c>
      <c r="E121" t="e">
        <f>'[24]GABM_R03_NavidAPI-data'!$K120</f>
        <v>#REF!</v>
      </c>
      <c r="F121" t="e">
        <f>'[25]GABM_R03_Terry-data'!$K120</f>
        <v>#REF!</v>
      </c>
      <c r="G121">
        <f>'[26]GABM_R03_SarahAPI-data'!$K120</f>
        <v>4</v>
      </c>
      <c r="H121" t="e">
        <f>'[27]GABM_R03_savannah-data'!$K120</f>
        <v>#REF!</v>
      </c>
      <c r="I121" t="e">
        <f>'[28]GABM_R03_MitchellAPI-data'!$K120</f>
        <v>#REF!</v>
      </c>
      <c r="J121">
        <f>'[29]GABM_R03_SudipaAPI-data'!$K120</f>
        <v>2</v>
      </c>
      <c r="K121" t="e">
        <f>'[30]R03_GABM_run2-data'!$K120</f>
        <v>#REF!</v>
      </c>
      <c r="L121" t="e">
        <f t="shared" si="2"/>
        <v>#REF!</v>
      </c>
      <c r="N121">
        <v>118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f>'[26]GABM_R03_SarahAPI-data'!$K120</f>
        <v>4</v>
      </c>
      <c r="U121">
        <v>0</v>
      </c>
      <c r="V121">
        <v>0</v>
      </c>
      <c r="W121">
        <f>'[29]GABM_R03_SudipaAPI-data'!$K120</f>
        <v>2</v>
      </c>
      <c r="X121">
        <v>0</v>
      </c>
      <c r="Y121">
        <f t="shared" si="3"/>
        <v>0.6</v>
      </c>
    </row>
    <row r="122" spans="1:25" x14ac:dyDescent="0.35">
      <c r="A122">
        <v>119</v>
      </c>
      <c r="B122" t="e">
        <f>'[21]R03_GABM-data'!$K121</f>
        <v>#REF!</v>
      </c>
      <c r="C122" t="e">
        <f>'[22]GABM_R03_RossAPI-data'!$K121</f>
        <v>#REF!</v>
      </c>
      <c r="D122" t="e">
        <f>'[23]GABM_R03_RandiAPI-data'!$K121</f>
        <v>#REF!</v>
      </c>
      <c r="E122" t="e">
        <f>'[24]GABM_R03_NavidAPI-data'!$K121</f>
        <v>#REF!</v>
      </c>
      <c r="F122" t="e">
        <f>'[25]GABM_R03_Terry-data'!$K121</f>
        <v>#REF!</v>
      </c>
      <c r="G122">
        <f>'[26]GABM_R03_SarahAPI-data'!$K121</f>
        <v>2</v>
      </c>
      <c r="H122" t="e">
        <f>'[27]GABM_R03_savannah-data'!$K121</f>
        <v>#REF!</v>
      </c>
      <c r="I122" t="e">
        <f>'[28]GABM_R03_MitchellAPI-data'!$K121</f>
        <v>#REF!</v>
      </c>
      <c r="J122">
        <f>'[29]GABM_R03_SudipaAPI-data'!$K121</f>
        <v>2</v>
      </c>
      <c r="K122" t="e">
        <f>'[30]R03_GABM_run2-data'!$K121</f>
        <v>#REF!</v>
      </c>
      <c r="L122" t="e">
        <f t="shared" si="2"/>
        <v>#REF!</v>
      </c>
      <c r="N122">
        <v>119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f>'[26]GABM_R03_SarahAPI-data'!$K121</f>
        <v>2</v>
      </c>
      <c r="U122">
        <v>0</v>
      </c>
      <c r="V122">
        <v>0</v>
      </c>
      <c r="W122">
        <f>'[29]GABM_R03_SudipaAPI-data'!$K121</f>
        <v>2</v>
      </c>
      <c r="X122">
        <v>0</v>
      </c>
      <c r="Y122">
        <f t="shared" si="3"/>
        <v>0.4</v>
      </c>
    </row>
    <row r="123" spans="1:25" x14ac:dyDescent="0.35">
      <c r="A123">
        <v>120</v>
      </c>
      <c r="B123" t="e">
        <f>'[21]R03_GABM-data'!$K122</f>
        <v>#REF!</v>
      </c>
      <c r="C123" t="e">
        <f>'[22]GABM_R03_RossAPI-data'!$K122</f>
        <v>#REF!</v>
      </c>
      <c r="D123" t="e">
        <f>'[23]GABM_R03_RandiAPI-data'!$K122</f>
        <v>#REF!</v>
      </c>
      <c r="E123" t="e">
        <f>'[24]GABM_R03_NavidAPI-data'!$K122</f>
        <v>#REF!</v>
      </c>
      <c r="F123" t="e">
        <f>'[25]GABM_R03_Terry-data'!$K122</f>
        <v>#REF!</v>
      </c>
      <c r="G123">
        <f>'[26]GABM_R03_SarahAPI-data'!$K122</f>
        <v>1</v>
      </c>
      <c r="H123" t="e">
        <f>'[27]GABM_R03_savannah-data'!$K122</f>
        <v>#REF!</v>
      </c>
      <c r="I123" t="e">
        <f>'[28]GABM_R03_MitchellAPI-data'!$K122</f>
        <v>#REF!</v>
      </c>
      <c r="J123">
        <f>'[29]GABM_R03_SudipaAPI-data'!$K122</f>
        <v>2</v>
      </c>
      <c r="K123" t="e">
        <f>'[30]R03_GABM_run2-data'!$K122</f>
        <v>#REF!</v>
      </c>
      <c r="L123" t="e">
        <f t="shared" si="2"/>
        <v>#REF!</v>
      </c>
      <c r="N123">
        <v>120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f>'[26]GABM_R03_SarahAPI-data'!$K122</f>
        <v>1</v>
      </c>
      <c r="U123">
        <v>0</v>
      </c>
      <c r="V123">
        <v>0</v>
      </c>
      <c r="W123">
        <f>'[29]GABM_R03_SudipaAPI-data'!$K122</f>
        <v>2</v>
      </c>
      <c r="X123">
        <v>0</v>
      </c>
      <c r="Y123">
        <f t="shared" si="3"/>
        <v>0.3</v>
      </c>
    </row>
    <row r="124" spans="1:25" x14ac:dyDescent="0.35">
      <c r="A124">
        <v>121</v>
      </c>
      <c r="B124" t="e">
        <f>'[21]R03_GABM-data'!$K123</f>
        <v>#REF!</v>
      </c>
      <c r="C124" t="e">
        <f>'[22]GABM_R03_RossAPI-data'!$K123</f>
        <v>#REF!</v>
      </c>
      <c r="D124" t="e">
        <f>'[23]GABM_R03_RandiAPI-data'!$K123</f>
        <v>#REF!</v>
      </c>
      <c r="E124" t="e">
        <f>'[24]GABM_R03_NavidAPI-data'!$K123</f>
        <v>#REF!</v>
      </c>
      <c r="F124" t="e">
        <f>'[25]GABM_R03_Terry-data'!$K123</f>
        <v>#REF!</v>
      </c>
      <c r="G124">
        <f>'[26]GABM_R03_SarahAPI-data'!$K123</f>
        <v>0</v>
      </c>
      <c r="H124" t="e">
        <f>'[27]GABM_R03_savannah-data'!$K123</f>
        <v>#REF!</v>
      </c>
      <c r="I124" t="e">
        <f>'[28]GABM_R03_MitchellAPI-data'!$K123</f>
        <v>#REF!</v>
      </c>
      <c r="J124">
        <f>'[29]GABM_R03_SudipaAPI-data'!$K123</f>
        <v>1</v>
      </c>
      <c r="K124" t="e">
        <f>'[30]R03_GABM_run2-data'!$K123</f>
        <v>#REF!</v>
      </c>
      <c r="L124" t="e">
        <f t="shared" si="2"/>
        <v>#REF!</v>
      </c>
      <c r="N124">
        <v>121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f>'[26]GABM_R03_SarahAPI-data'!$K123</f>
        <v>0</v>
      </c>
      <c r="U124">
        <v>0</v>
      </c>
      <c r="V124">
        <v>0</v>
      </c>
      <c r="W124">
        <f>'[29]GABM_R03_SudipaAPI-data'!$K123</f>
        <v>1</v>
      </c>
      <c r="X124">
        <v>0</v>
      </c>
      <c r="Y124">
        <f t="shared" si="3"/>
        <v>0.1</v>
      </c>
    </row>
    <row r="125" spans="1:25" x14ac:dyDescent="0.35">
      <c r="A125">
        <v>122</v>
      </c>
      <c r="B125" t="e">
        <f>'[21]R03_GABM-data'!$K124</f>
        <v>#REF!</v>
      </c>
      <c r="C125" t="e">
        <f>'[22]GABM_R03_RossAPI-data'!$K124</f>
        <v>#REF!</v>
      </c>
      <c r="D125" t="e">
        <f>'[23]GABM_R03_RandiAPI-data'!$K124</f>
        <v>#REF!</v>
      </c>
      <c r="E125" t="e">
        <f>'[24]GABM_R03_NavidAPI-data'!$K124</f>
        <v>#REF!</v>
      </c>
      <c r="F125" t="e">
        <f>'[25]GABM_R03_Terry-data'!$K124</f>
        <v>#REF!</v>
      </c>
      <c r="G125">
        <f>'[26]GABM_R03_SarahAPI-data'!$K124</f>
        <v>0</v>
      </c>
      <c r="H125" t="e">
        <f>'[27]GABM_R03_savannah-data'!$K124</f>
        <v>#REF!</v>
      </c>
      <c r="I125" t="e">
        <f>'[28]GABM_R03_MitchellAPI-data'!$K124</f>
        <v>#REF!</v>
      </c>
      <c r="J125">
        <f>'[29]GABM_R03_SudipaAPI-data'!$K124</f>
        <v>3</v>
      </c>
      <c r="K125" t="e">
        <f>'[30]R03_GABM_run2-data'!$K124</f>
        <v>#REF!</v>
      </c>
      <c r="L125" t="e">
        <f t="shared" si="2"/>
        <v>#REF!</v>
      </c>
      <c r="N125">
        <v>122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f>'[26]GABM_R03_SarahAPI-data'!$K124</f>
        <v>0</v>
      </c>
      <c r="U125">
        <v>0</v>
      </c>
      <c r="V125">
        <v>0</v>
      </c>
      <c r="W125">
        <f>'[29]GABM_R03_SudipaAPI-data'!$K124</f>
        <v>3</v>
      </c>
      <c r="X125">
        <v>0</v>
      </c>
      <c r="Y125">
        <f t="shared" si="3"/>
        <v>0.3</v>
      </c>
    </row>
    <row r="126" spans="1:25" x14ac:dyDescent="0.35">
      <c r="A126">
        <v>123</v>
      </c>
      <c r="B126" t="e">
        <f>'[21]R03_GABM-data'!$K125</f>
        <v>#REF!</v>
      </c>
      <c r="C126" t="e">
        <f>'[22]GABM_R03_RossAPI-data'!$K125</f>
        <v>#REF!</v>
      </c>
      <c r="D126" t="e">
        <f>'[23]GABM_R03_RandiAPI-data'!$K125</f>
        <v>#REF!</v>
      </c>
      <c r="E126" t="e">
        <f>'[24]GABM_R03_NavidAPI-data'!$K125</f>
        <v>#REF!</v>
      </c>
      <c r="F126" t="e">
        <f>'[25]GABM_R03_Terry-data'!$K125</f>
        <v>#REF!</v>
      </c>
      <c r="G126">
        <f>'[26]GABM_R03_SarahAPI-data'!$K125</f>
        <v>0</v>
      </c>
      <c r="H126" t="e">
        <f>'[27]GABM_R03_savannah-data'!$K125</f>
        <v>#REF!</v>
      </c>
      <c r="I126" t="e">
        <f>'[28]GABM_R03_MitchellAPI-data'!$K125</f>
        <v>#REF!</v>
      </c>
      <c r="J126">
        <f>'[29]GABM_R03_SudipaAPI-data'!$K125</f>
        <v>2</v>
      </c>
      <c r="K126" t="e">
        <f>'[30]R03_GABM_run2-data'!$K125</f>
        <v>#REF!</v>
      </c>
      <c r="L126" t="e">
        <f t="shared" si="2"/>
        <v>#REF!</v>
      </c>
      <c r="N126">
        <v>123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f>'[26]GABM_R03_SarahAPI-data'!$K125</f>
        <v>0</v>
      </c>
      <c r="U126">
        <v>0</v>
      </c>
      <c r="V126">
        <v>0</v>
      </c>
      <c r="W126">
        <f>'[29]GABM_R03_SudipaAPI-data'!$K125</f>
        <v>2</v>
      </c>
      <c r="X126">
        <v>0</v>
      </c>
      <c r="Y126">
        <f t="shared" si="3"/>
        <v>0.2</v>
      </c>
    </row>
    <row r="127" spans="1:25" x14ac:dyDescent="0.35">
      <c r="A127">
        <v>124</v>
      </c>
      <c r="B127" t="e">
        <f>'[21]R03_GABM-data'!$K126</f>
        <v>#REF!</v>
      </c>
      <c r="C127" t="e">
        <f>'[22]GABM_R03_RossAPI-data'!$K126</f>
        <v>#REF!</v>
      </c>
      <c r="D127" t="e">
        <f>'[23]GABM_R03_RandiAPI-data'!$K126</f>
        <v>#REF!</v>
      </c>
      <c r="E127" t="e">
        <f>'[24]GABM_R03_NavidAPI-data'!$K126</f>
        <v>#REF!</v>
      </c>
      <c r="F127" t="e">
        <f>'[25]GABM_R03_Terry-data'!$K126</f>
        <v>#REF!</v>
      </c>
      <c r="G127" t="e">
        <f>'[26]GABM_R03_SarahAPI-data'!$K126</f>
        <v>#REF!</v>
      </c>
      <c r="H127" t="e">
        <f>'[27]GABM_R03_savannah-data'!$K126</f>
        <v>#REF!</v>
      </c>
      <c r="I127" t="e">
        <f>'[28]GABM_R03_MitchellAPI-data'!$K126</f>
        <v>#REF!</v>
      </c>
      <c r="J127">
        <f>'[29]GABM_R03_SudipaAPI-data'!$K126</f>
        <v>4</v>
      </c>
      <c r="K127" t="e">
        <f>'[30]R03_GABM_run2-data'!$K126</f>
        <v>#REF!</v>
      </c>
      <c r="L127" t="e">
        <f t="shared" si="2"/>
        <v>#REF!</v>
      </c>
      <c r="N127">
        <v>124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f>'[29]GABM_R03_SudipaAPI-data'!$K126</f>
        <v>4</v>
      </c>
      <c r="X127">
        <v>0</v>
      </c>
      <c r="Y127">
        <f t="shared" si="3"/>
        <v>0.4</v>
      </c>
    </row>
    <row r="128" spans="1:25" x14ac:dyDescent="0.35">
      <c r="A128">
        <v>125</v>
      </c>
      <c r="B128" t="e">
        <f>'[21]R03_GABM-data'!$K127</f>
        <v>#REF!</v>
      </c>
      <c r="C128" t="e">
        <f>'[22]GABM_R03_RossAPI-data'!$K127</f>
        <v>#REF!</v>
      </c>
      <c r="D128" t="e">
        <f>'[23]GABM_R03_RandiAPI-data'!$K127</f>
        <v>#REF!</v>
      </c>
      <c r="E128" t="e">
        <f>'[24]GABM_R03_NavidAPI-data'!$K127</f>
        <v>#REF!</v>
      </c>
      <c r="F128" t="e">
        <f>'[25]GABM_R03_Terry-data'!$K127</f>
        <v>#REF!</v>
      </c>
      <c r="G128" t="e">
        <f>'[26]GABM_R03_SarahAPI-data'!$K127</f>
        <v>#REF!</v>
      </c>
      <c r="H128" t="e">
        <f>'[27]GABM_R03_savannah-data'!$K127</f>
        <v>#REF!</v>
      </c>
      <c r="I128" t="e">
        <f>'[28]GABM_R03_MitchellAPI-data'!$K127</f>
        <v>#REF!</v>
      </c>
      <c r="J128">
        <f>'[29]GABM_R03_SudipaAPI-data'!$K127</f>
        <v>3</v>
      </c>
      <c r="K128" t="e">
        <f>'[30]R03_GABM_run2-data'!$K127</f>
        <v>#REF!</v>
      </c>
      <c r="L128" t="e">
        <f t="shared" si="2"/>
        <v>#REF!</v>
      </c>
      <c r="N128">
        <v>125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f>'[29]GABM_R03_SudipaAPI-data'!$K127</f>
        <v>3</v>
      </c>
      <c r="X128">
        <v>0</v>
      </c>
      <c r="Y128">
        <f t="shared" si="3"/>
        <v>0.3</v>
      </c>
    </row>
    <row r="129" spans="1:25" x14ac:dyDescent="0.35">
      <c r="A129">
        <v>126</v>
      </c>
      <c r="B129" t="e">
        <f>'[21]R03_GABM-data'!$K128</f>
        <v>#REF!</v>
      </c>
      <c r="C129" t="e">
        <f>'[22]GABM_R03_RossAPI-data'!$K128</f>
        <v>#REF!</v>
      </c>
      <c r="D129" t="e">
        <f>'[23]GABM_R03_RandiAPI-data'!$K128</f>
        <v>#REF!</v>
      </c>
      <c r="E129" t="e">
        <f>'[24]GABM_R03_NavidAPI-data'!$K128</f>
        <v>#REF!</v>
      </c>
      <c r="F129" t="e">
        <f>'[25]GABM_R03_Terry-data'!$K128</f>
        <v>#REF!</v>
      </c>
      <c r="G129" t="e">
        <f>'[26]GABM_R03_SarahAPI-data'!$K128</f>
        <v>#REF!</v>
      </c>
      <c r="H129" t="e">
        <f>'[27]GABM_R03_savannah-data'!$K128</f>
        <v>#REF!</v>
      </c>
      <c r="I129" t="e">
        <f>'[28]GABM_R03_MitchellAPI-data'!$K128</f>
        <v>#REF!</v>
      </c>
      <c r="J129">
        <f>'[29]GABM_R03_SudipaAPI-data'!$K128</f>
        <v>5</v>
      </c>
      <c r="K129" t="e">
        <f>'[30]R03_GABM_run2-data'!$K128</f>
        <v>#REF!</v>
      </c>
      <c r="L129" t="e">
        <f t="shared" si="2"/>
        <v>#REF!</v>
      </c>
      <c r="N129">
        <v>126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f>'[29]GABM_R03_SudipaAPI-data'!$K128</f>
        <v>5</v>
      </c>
      <c r="X129">
        <v>0</v>
      </c>
      <c r="Y129">
        <f t="shared" si="3"/>
        <v>0.5</v>
      </c>
    </row>
    <row r="130" spans="1:25" x14ac:dyDescent="0.35">
      <c r="A130">
        <v>127</v>
      </c>
      <c r="B130" t="e">
        <f>'[21]R03_GABM-data'!$K129</f>
        <v>#REF!</v>
      </c>
      <c r="C130" t="e">
        <f>'[22]GABM_R03_RossAPI-data'!$K129</f>
        <v>#REF!</v>
      </c>
      <c r="D130" t="e">
        <f>'[23]GABM_R03_RandiAPI-data'!$K129</f>
        <v>#REF!</v>
      </c>
      <c r="E130" t="e">
        <f>'[24]GABM_R03_NavidAPI-data'!$K129</f>
        <v>#REF!</v>
      </c>
      <c r="F130" t="e">
        <f>'[25]GABM_R03_Terry-data'!$K129</f>
        <v>#REF!</v>
      </c>
      <c r="G130" t="e">
        <f>'[26]GABM_R03_SarahAPI-data'!$K129</f>
        <v>#REF!</v>
      </c>
      <c r="H130" t="e">
        <f>'[27]GABM_R03_savannah-data'!$K129</f>
        <v>#REF!</v>
      </c>
      <c r="I130" t="e">
        <f>'[28]GABM_R03_MitchellAPI-data'!$K129</f>
        <v>#REF!</v>
      </c>
      <c r="J130">
        <f>'[29]GABM_R03_SudipaAPI-data'!$K129</f>
        <v>3</v>
      </c>
      <c r="K130" t="e">
        <f>'[30]R03_GABM_run2-data'!$K129</f>
        <v>#REF!</v>
      </c>
      <c r="L130" t="e">
        <f t="shared" si="2"/>
        <v>#REF!</v>
      </c>
      <c r="N130">
        <v>127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f>'[29]GABM_R03_SudipaAPI-data'!$K129</f>
        <v>3</v>
      </c>
      <c r="X130">
        <v>0</v>
      </c>
      <c r="Y130">
        <f t="shared" si="3"/>
        <v>0.3</v>
      </c>
    </row>
    <row r="131" spans="1:25" x14ac:dyDescent="0.35">
      <c r="A131">
        <v>128</v>
      </c>
      <c r="B131" t="e">
        <f>'[21]R03_GABM-data'!$K130</f>
        <v>#REF!</v>
      </c>
      <c r="C131" t="e">
        <f>'[22]GABM_R03_RossAPI-data'!$K130</f>
        <v>#REF!</v>
      </c>
      <c r="D131" t="e">
        <f>'[23]GABM_R03_RandiAPI-data'!$K130</f>
        <v>#REF!</v>
      </c>
      <c r="E131" t="e">
        <f>'[24]GABM_R03_NavidAPI-data'!$K130</f>
        <v>#REF!</v>
      </c>
      <c r="F131" t="e">
        <f>'[25]GABM_R03_Terry-data'!$K130</f>
        <v>#REF!</v>
      </c>
      <c r="G131" t="e">
        <f>'[26]GABM_R03_SarahAPI-data'!$K130</f>
        <v>#REF!</v>
      </c>
      <c r="H131" t="e">
        <f>'[27]GABM_R03_savannah-data'!$K130</f>
        <v>#REF!</v>
      </c>
      <c r="I131" t="e">
        <f>'[28]GABM_R03_MitchellAPI-data'!$K130</f>
        <v>#REF!</v>
      </c>
      <c r="J131">
        <f>'[29]GABM_R03_SudipaAPI-data'!$K130</f>
        <v>1</v>
      </c>
      <c r="K131" t="e">
        <f>'[30]R03_GABM_run2-data'!$K130</f>
        <v>#REF!</v>
      </c>
      <c r="L131" t="e">
        <f t="shared" si="2"/>
        <v>#REF!</v>
      </c>
      <c r="N131">
        <v>128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f>'[29]GABM_R03_SudipaAPI-data'!$K130</f>
        <v>1</v>
      </c>
      <c r="X131">
        <v>0</v>
      </c>
      <c r="Y131">
        <f t="shared" si="3"/>
        <v>0.1</v>
      </c>
    </row>
    <row r="132" spans="1:25" x14ac:dyDescent="0.35">
      <c r="A132">
        <v>129</v>
      </c>
      <c r="B132" t="e">
        <f>'[21]R03_GABM-data'!$K131</f>
        <v>#REF!</v>
      </c>
      <c r="C132" t="e">
        <f>'[22]GABM_R03_RossAPI-data'!$K131</f>
        <v>#REF!</v>
      </c>
      <c r="D132" t="e">
        <f>'[23]GABM_R03_RandiAPI-data'!$K131</f>
        <v>#REF!</v>
      </c>
      <c r="E132" t="e">
        <f>'[24]GABM_R03_NavidAPI-data'!$K131</f>
        <v>#REF!</v>
      </c>
      <c r="F132" t="e">
        <f>'[25]GABM_R03_Terry-data'!$K131</f>
        <v>#REF!</v>
      </c>
      <c r="G132" t="e">
        <f>'[26]GABM_R03_SarahAPI-data'!$K131</f>
        <v>#REF!</v>
      </c>
      <c r="H132" t="e">
        <f>'[27]GABM_R03_savannah-data'!$K131</f>
        <v>#REF!</v>
      </c>
      <c r="I132" t="e">
        <f>'[28]GABM_R03_MitchellAPI-data'!$K131</f>
        <v>#REF!</v>
      </c>
      <c r="J132">
        <f>'[29]GABM_R03_SudipaAPI-data'!$K131</f>
        <v>0</v>
      </c>
      <c r="K132" t="e">
        <f>'[30]R03_GABM_run2-data'!$K131</f>
        <v>#REF!</v>
      </c>
      <c r="L132" t="e">
        <f t="shared" ref="L132:L195" si="4">AVERAGE(B132:K132)</f>
        <v>#REF!</v>
      </c>
      <c r="N132">
        <v>129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f>'[29]GABM_R03_SudipaAPI-data'!$K131</f>
        <v>0</v>
      </c>
      <c r="X132">
        <v>0</v>
      </c>
      <c r="Y132">
        <f t="shared" ref="Y132:Y195" si="5">AVERAGE(O132:X132)</f>
        <v>0</v>
      </c>
    </row>
    <row r="133" spans="1:25" x14ac:dyDescent="0.35">
      <c r="A133">
        <v>130</v>
      </c>
      <c r="B133" t="e">
        <f>'[21]R03_GABM-data'!$K132</f>
        <v>#REF!</v>
      </c>
      <c r="C133" t="e">
        <f>'[22]GABM_R03_RossAPI-data'!$K132</f>
        <v>#REF!</v>
      </c>
      <c r="D133" t="e">
        <f>'[23]GABM_R03_RandiAPI-data'!$K132</f>
        <v>#REF!</v>
      </c>
      <c r="E133" t="e">
        <f>'[24]GABM_R03_NavidAPI-data'!$K132</f>
        <v>#REF!</v>
      </c>
      <c r="F133" t="e">
        <f>'[25]GABM_R03_Terry-data'!$K132</f>
        <v>#REF!</v>
      </c>
      <c r="G133" t="e">
        <f>'[26]GABM_R03_SarahAPI-data'!$K132</f>
        <v>#REF!</v>
      </c>
      <c r="H133" t="e">
        <f>'[27]GABM_R03_savannah-data'!$K132</f>
        <v>#REF!</v>
      </c>
      <c r="I133" t="e">
        <f>'[28]GABM_R03_MitchellAPI-data'!$K132</f>
        <v>#REF!</v>
      </c>
      <c r="J133">
        <f>'[29]GABM_R03_SudipaAPI-data'!$K132</f>
        <v>0</v>
      </c>
      <c r="K133" t="e">
        <f>'[30]R03_GABM_run2-data'!$K132</f>
        <v>#REF!</v>
      </c>
      <c r="L133" t="e">
        <f t="shared" si="4"/>
        <v>#REF!</v>
      </c>
      <c r="N133">
        <v>130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f>'[29]GABM_R03_SudipaAPI-data'!$K132</f>
        <v>0</v>
      </c>
      <c r="X133">
        <v>0</v>
      </c>
      <c r="Y133">
        <f t="shared" si="5"/>
        <v>0</v>
      </c>
    </row>
    <row r="134" spans="1:25" x14ac:dyDescent="0.35">
      <c r="A134">
        <v>131</v>
      </c>
      <c r="B134" t="e">
        <f>'[21]R03_GABM-data'!$K133</f>
        <v>#REF!</v>
      </c>
      <c r="C134" t="e">
        <f>'[22]GABM_R03_RossAPI-data'!$K133</f>
        <v>#REF!</v>
      </c>
      <c r="D134" t="e">
        <f>'[23]GABM_R03_RandiAPI-data'!$K133</f>
        <v>#REF!</v>
      </c>
      <c r="E134" t="e">
        <f>'[24]GABM_R03_NavidAPI-data'!$K133</f>
        <v>#REF!</v>
      </c>
      <c r="F134" t="e">
        <f>'[25]GABM_R03_Terry-data'!$K133</f>
        <v>#REF!</v>
      </c>
      <c r="G134" t="e">
        <f>'[26]GABM_R03_SarahAPI-data'!$K133</f>
        <v>#REF!</v>
      </c>
      <c r="H134" t="e">
        <f>'[27]GABM_R03_savannah-data'!$K133</f>
        <v>#REF!</v>
      </c>
      <c r="I134" t="e">
        <f>'[28]GABM_R03_MitchellAPI-data'!$K133</f>
        <v>#REF!</v>
      </c>
      <c r="J134">
        <f>'[29]GABM_R03_SudipaAPI-data'!$K133</f>
        <v>0</v>
      </c>
      <c r="K134" t="e">
        <f>'[30]R03_GABM_run2-data'!$K133</f>
        <v>#REF!</v>
      </c>
      <c r="L134" t="e">
        <f t="shared" si="4"/>
        <v>#REF!</v>
      </c>
      <c r="N134">
        <v>131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f>'[29]GABM_R03_SudipaAPI-data'!$K133</f>
        <v>0</v>
      </c>
      <c r="X134">
        <v>0</v>
      </c>
      <c r="Y134">
        <f t="shared" si="5"/>
        <v>0</v>
      </c>
    </row>
    <row r="135" spans="1:25" x14ac:dyDescent="0.35">
      <c r="A135">
        <v>132</v>
      </c>
      <c r="B135" t="e">
        <f>'[21]R03_GABM-data'!$K134</f>
        <v>#REF!</v>
      </c>
      <c r="C135" t="e">
        <f>'[22]GABM_R03_RossAPI-data'!$K134</f>
        <v>#REF!</v>
      </c>
      <c r="D135" t="e">
        <f>'[23]GABM_R03_RandiAPI-data'!$K134</f>
        <v>#REF!</v>
      </c>
      <c r="E135" t="e">
        <f>'[24]GABM_R03_NavidAPI-data'!$K134</f>
        <v>#REF!</v>
      </c>
      <c r="F135" t="e">
        <f>'[25]GABM_R03_Terry-data'!$K134</f>
        <v>#REF!</v>
      </c>
      <c r="G135" t="e">
        <f>'[26]GABM_R03_SarahAPI-data'!$K134</f>
        <v>#REF!</v>
      </c>
      <c r="H135" t="e">
        <f>'[27]GABM_R03_savannah-data'!$K134</f>
        <v>#REF!</v>
      </c>
      <c r="I135" t="e">
        <f>'[28]GABM_R03_MitchellAPI-data'!$K134</f>
        <v>#REF!</v>
      </c>
      <c r="J135">
        <f>'[29]GABM_R03_SudipaAPI-data'!$K134</f>
        <v>0</v>
      </c>
      <c r="K135" t="e">
        <f>'[30]R03_GABM_run2-data'!$K134</f>
        <v>#REF!</v>
      </c>
      <c r="L135" t="e">
        <f t="shared" si="4"/>
        <v>#REF!</v>
      </c>
      <c r="N135">
        <v>132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f>'[29]GABM_R03_SudipaAPI-data'!$K134</f>
        <v>0</v>
      </c>
      <c r="X135">
        <v>0</v>
      </c>
      <c r="Y135">
        <f t="shared" si="5"/>
        <v>0</v>
      </c>
    </row>
    <row r="136" spans="1:25" x14ac:dyDescent="0.35">
      <c r="A136">
        <v>133</v>
      </c>
      <c r="B136" t="e">
        <f>'[21]R03_GABM-data'!$K135</f>
        <v>#REF!</v>
      </c>
      <c r="C136" t="e">
        <f>'[22]GABM_R03_RossAPI-data'!$K135</f>
        <v>#REF!</v>
      </c>
      <c r="D136" t="e">
        <f>'[23]GABM_R03_RandiAPI-data'!$K135</f>
        <v>#REF!</v>
      </c>
      <c r="E136" t="e">
        <f>'[24]GABM_R03_NavidAPI-data'!$K135</f>
        <v>#REF!</v>
      </c>
      <c r="F136" t="e">
        <f>'[25]GABM_R03_Terry-data'!$K135</f>
        <v>#REF!</v>
      </c>
      <c r="G136" t="e">
        <f>'[26]GABM_R03_SarahAPI-data'!$K135</f>
        <v>#REF!</v>
      </c>
      <c r="H136" t="e">
        <f>'[27]GABM_R03_savannah-data'!$K135</f>
        <v>#REF!</v>
      </c>
      <c r="I136" t="e">
        <f>'[28]GABM_R03_MitchellAPI-data'!$K135</f>
        <v>#REF!</v>
      </c>
      <c r="J136">
        <f>'[29]GABM_R03_SudipaAPI-data'!$K135</f>
        <v>0</v>
      </c>
      <c r="K136" t="e">
        <f>'[30]R03_GABM_run2-data'!$K135</f>
        <v>#REF!</v>
      </c>
      <c r="L136" t="e">
        <f t="shared" si="4"/>
        <v>#REF!</v>
      </c>
      <c r="N136">
        <v>133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f>'[29]GABM_R03_SudipaAPI-data'!$K135</f>
        <v>0</v>
      </c>
      <c r="X136">
        <v>0</v>
      </c>
      <c r="Y136">
        <f t="shared" si="5"/>
        <v>0</v>
      </c>
    </row>
    <row r="137" spans="1:25" x14ac:dyDescent="0.35">
      <c r="A137">
        <v>134</v>
      </c>
      <c r="B137" t="e">
        <f>'[21]R03_GABM-data'!$K136</f>
        <v>#REF!</v>
      </c>
      <c r="C137" t="e">
        <f>'[22]GABM_R03_RossAPI-data'!$K136</f>
        <v>#REF!</v>
      </c>
      <c r="D137" t="e">
        <f>'[23]GABM_R03_RandiAPI-data'!$K136</f>
        <v>#REF!</v>
      </c>
      <c r="E137" t="e">
        <f>'[24]GABM_R03_NavidAPI-data'!$K136</f>
        <v>#REF!</v>
      </c>
      <c r="F137" t="e">
        <f>'[25]GABM_R03_Terry-data'!$K136</f>
        <v>#REF!</v>
      </c>
      <c r="G137" t="e">
        <f>'[26]GABM_R03_SarahAPI-data'!$K136</f>
        <v>#REF!</v>
      </c>
      <c r="H137" t="e">
        <f>'[27]GABM_R03_savannah-data'!$K136</f>
        <v>#REF!</v>
      </c>
      <c r="I137" t="e">
        <f>'[28]GABM_R03_MitchellAPI-data'!$K136</f>
        <v>#REF!</v>
      </c>
      <c r="J137">
        <f>'[29]GABM_R03_SudipaAPI-data'!$K136</f>
        <v>2</v>
      </c>
      <c r="K137" t="e">
        <f>'[30]R03_GABM_run2-data'!$K136</f>
        <v>#REF!</v>
      </c>
      <c r="L137" t="e">
        <f t="shared" si="4"/>
        <v>#REF!</v>
      </c>
      <c r="N137">
        <v>134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f>'[29]GABM_R03_SudipaAPI-data'!$K136</f>
        <v>2</v>
      </c>
      <c r="X137">
        <v>0</v>
      </c>
      <c r="Y137">
        <f t="shared" si="5"/>
        <v>0.2</v>
      </c>
    </row>
    <row r="138" spans="1:25" x14ac:dyDescent="0.35">
      <c r="A138">
        <v>135</v>
      </c>
      <c r="B138" t="e">
        <f>'[21]R03_GABM-data'!$K137</f>
        <v>#REF!</v>
      </c>
      <c r="C138" t="e">
        <f>'[22]GABM_R03_RossAPI-data'!$K137</f>
        <v>#REF!</v>
      </c>
      <c r="D138" t="e">
        <f>'[23]GABM_R03_RandiAPI-data'!$K137</f>
        <v>#REF!</v>
      </c>
      <c r="E138" t="e">
        <f>'[24]GABM_R03_NavidAPI-data'!$K137</f>
        <v>#REF!</v>
      </c>
      <c r="F138" t="e">
        <f>'[25]GABM_R03_Terry-data'!$K137</f>
        <v>#REF!</v>
      </c>
      <c r="G138" t="e">
        <f>'[26]GABM_R03_SarahAPI-data'!$K137</f>
        <v>#REF!</v>
      </c>
      <c r="H138" t="e">
        <f>'[27]GABM_R03_savannah-data'!$K137</f>
        <v>#REF!</v>
      </c>
      <c r="I138" t="e">
        <f>'[28]GABM_R03_MitchellAPI-data'!$K137</f>
        <v>#REF!</v>
      </c>
      <c r="J138">
        <f>'[29]GABM_R03_SudipaAPI-data'!$K137</f>
        <v>1</v>
      </c>
      <c r="K138" t="e">
        <f>'[30]R03_GABM_run2-data'!$K137</f>
        <v>#REF!</v>
      </c>
      <c r="L138" t="e">
        <f t="shared" si="4"/>
        <v>#REF!</v>
      </c>
      <c r="N138">
        <v>135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f>'[29]GABM_R03_SudipaAPI-data'!$K137</f>
        <v>1</v>
      </c>
      <c r="X138">
        <v>0</v>
      </c>
      <c r="Y138">
        <f t="shared" si="5"/>
        <v>0.1</v>
      </c>
    </row>
    <row r="139" spans="1:25" x14ac:dyDescent="0.35">
      <c r="A139">
        <v>136</v>
      </c>
      <c r="B139" t="e">
        <f>'[21]R03_GABM-data'!$K138</f>
        <v>#REF!</v>
      </c>
      <c r="C139" t="e">
        <f>'[22]GABM_R03_RossAPI-data'!$K138</f>
        <v>#REF!</v>
      </c>
      <c r="D139" t="e">
        <f>'[23]GABM_R03_RandiAPI-data'!$K138</f>
        <v>#REF!</v>
      </c>
      <c r="E139" t="e">
        <f>'[24]GABM_R03_NavidAPI-data'!$K138</f>
        <v>#REF!</v>
      </c>
      <c r="F139" t="e">
        <f>'[25]GABM_R03_Terry-data'!$K138</f>
        <v>#REF!</v>
      </c>
      <c r="G139" t="e">
        <f>'[26]GABM_R03_SarahAPI-data'!$K138</f>
        <v>#REF!</v>
      </c>
      <c r="H139" t="e">
        <f>'[27]GABM_R03_savannah-data'!$K138</f>
        <v>#REF!</v>
      </c>
      <c r="I139" t="e">
        <f>'[28]GABM_R03_MitchellAPI-data'!$K138</f>
        <v>#REF!</v>
      </c>
      <c r="J139">
        <f>'[29]GABM_R03_SudipaAPI-data'!$K138</f>
        <v>2</v>
      </c>
      <c r="K139" t="e">
        <f>'[30]R03_GABM_run2-data'!$K138</f>
        <v>#REF!</v>
      </c>
      <c r="L139" t="e">
        <f t="shared" si="4"/>
        <v>#REF!</v>
      </c>
      <c r="N139">
        <v>136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f>'[29]GABM_R03_SudipaAPI-data'!$K138</f>
        <v>2</v>
      </c>
      <c r="X139">
        <v>0</v>
      </c>
      <c r="Y139">
        <f t="shared" si="5"/>
        <v>0.2</v>
      </c>
    </row>
    <row r="140" spans="1:25" x14ac:dyDescent="0.35">
      <c r="A140">
        <v>137</v>
      </c>
      <c r="B140" t="e">
        <f>'[21]R03_GABM-data'!$K139</f>
        <v>#REF!</v>
      </c>
      <c r="C140" t="e">
        <f>'[22]GABM_R03_RossAPI-data'!$K139</f>
        <v>#REF!</v>
      </c>
      <c r="D140" t="e">
        <f>'[23]GABM_R03_RandiAPI-data'!$K139</f>
        <v>#REF!</v>
      </c>
      <c r="E140" t="e">
        <f>'[24]GABM_R03_NavidAPI-data'!$K139</f>
        <v>#REF!</v>
      </c>
      <c r="F140" t="e">
        <f>'[25]GABM_R03_Terry-data'!$K139</f>
        <v>#REF!</v>
      </c>
      <c r="G140" t="e">
        <f>'[26]GABM_R03_SarahAPI-data'!$K139</f>
        <v>#REF!</v>
      </c>
      <c r="H140" t="e">
        <f>'[27]GABM_R03_savannah-data'!$K139</f>
        <v>#REF!</v>
      </c>
      <c r="I140" t="e">
        <f>'[28]GABM_R03_MitchellAPI-data'!$K139</f>
        <v>#REF!</v>
      </c>
      <c r="J140">
        <f>'[29]GABM_R03_SudipaAPI-data'!$K139</f>
        <v>3</v>
      </c>
      <c r="K140" t="e">
        <f>'[30]R03_GABM_run2-data'!$K139</f>
        <v>#REF!</v>
      </c>
      <c r="L140" t="e">
        <f t="shared" si="4"/>
        <v>#REF!</v>
      </c>
      <c r="N140">
        <v>137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f>'[29]GABM_R03_SudipaAPI-data'!$K139</f>
        <v>3</v>
      </c>
      <c r="X140">
        <v>0</v>
      </c>
      <c r="Y140">
        <f t="shared" si="5"/>
        <v>0.3</v>
      </c>
    </row>
    <row r="141" spans="1:25" x14ac:dyDescent="0.35">
      <c r="A141">
        <v>138</v>
      </c>
      <c r="B141" t="e">
        <f>'[21]R03_GABM-data'!$K140</f>
        <v>#REF!</v>
      </c>
      <c r="C141" t="e">
        <f>'[22]GABM_R03_RossAPI-data'!$K140</f>
        <v>#REF!</v>
      </c>
      <c r="D141" t="e">
        <f>'[23]GABM_R03_RandiAPI-data'!$K140</f>
        <v>#REF!</v>
      </c>
      <c r="E141" t="e">
        <f>'[24]GABM_R03_NavidAPI-data'!$K140</f>
        <v>#REF!</v>
      </c>
      <c r="F141" t="e">
        <f>'[25]GABM_R03_Terry-data'!$K140</f>
        <v>#REF!</v>
      </c>
      <c r="G141" t="e">
        <f>'[26]GABM_R03_SarahAPI-data'!$K140</f>
        <v>#REF!</v>
      </c>
      <c r="H141" t="e">
        <f>'[27]GABM_R03_savannah-data'!$K140</f>
        <v>#REF!</v>
      </c>
      <c r="I141" t="e">
        <f>'[28]GABM_R03_MitchellAPI-data'!$K140</f>
        <v>#REF!</v>
      </c>
      <c r="J141">
        <f>'[29]GABM_R03_SudipaAPI-data'!$K140</f>
        <v>0</v>
      </c>
      <c r="K141" t="e">
        <f>'[30]R03_GABM_run2-data'!$K140</f>
        <v>#REF!</v>
      </c>
      <c r="L141" t="e">
        <f t="shared" si="4"/>
        <v>#REF!</v>
      </c>
      <c r="N141">
        <v>138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f>'[29]GABM_R03_SudipaAPI-data'!$K140</f>
        <v>0</v>
      </c>
      <c r="X141">
        <v>0</v>
      </c>
      <c r="Y141">
        <f t="shared" si="5"/>
        <v>0</v>
      </c>
    </row>
    <row r="142" spans="1:25" x14ac:dyDescent="0.35">
      <c r="A142">
        <v>139</v>
      </c>
      <c r="B142" t="e">
        <f>'[21]R03_GABM-data'!$K141</f>
        <v>#REF!</v>
      </c>
      <c r="C142" t="e">
        <f>'[22]GABM_R03_RossAPI-data'!$K141</f>
        <v>#REF!</v>
      </c>
      <c r="D142" t="e">
        <f>'[23]GABM_R03_RandiAPI-data'!$K141</f>
        <v>#REF!</v>
      </c>
      <c r="E142" t="e">
        <f>'[24]GABM_R03_NavidAPI-data'!$K141</f>
        <v>#REF!</v>
      </c>
      <c r="F142" t="e">
        <f>'[25]GABM_R03_Terry-data'!$K141</f>
        <v>#REF!</v>
      </c>
      <c r="G142" t="e">
        <f>'[26]GABM_R03_SarahAPI-data'!$K141</f>
        <v>#REF!</v>
      </c>
      <c r="H142" t="e">
        <f>'[27]GABM_R03_savannah-data'!$K141</f>
        <v>#REF!</v>
      </c>
      <c r="I142" t="e">
        <f>'[28]GABM_R03_MitchellAPI-data'!$K141</f>
        <v>#REF!</v>
      </c>
      <c r="J142">
        <f>'[29]GABM_R03_SudipaAPI-data'!$K141</f>
        <v>0</v>
      </c>
      <c r="K142" t="e">
        <f>'[30]R03_GABM_run2-data'!$K141</f>
        <v>#REF!</v>
      </c>
      <c r="L142" t="e">
        <f t="shared" si="4"/>
        <v>#REF!</v>
      </c>
      <c r="N142">
        <v>139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f>'[29]GABM_R03_SudipaAPI-data'!$K141</f>
        <v>0</v>
      </c>
      <c r="X142">
        <v>0</v>
      </c>
      <c r="Y142">
        <f t="shared" si="5"/>
        <v>0</v>
      </c>
    </row>
    <row r="143" spans="1:25" x14ac:dyDescent="0.35">
      <c r="A143">
        <v>140</v>
      </c>
      <c r="B143" t="e">
        <f>'[21]R03_GABM-data'!$K142</f>
        <v>#REF!</v>
      </c>
      <c r="C143" t="e">
        <f>'[22]GABM_R03_RossAPI-data'!$K142</f>
        <v>#REF!</v>
      </c>
      <c r="D143" t="e">
        <f>'[23]GABM_R03_RandiAPI-data'!$K142</f>
        <v>#REF!</v>
      </c>
      <c r="E143" t="e">
        <f>'[24]GABM_R03_NavidAPI-data'!$K142</f>
        <v>#REF!</v>
      </c>
      <c r="F143" t="e">
        <f>'[25]GABM_R03_Terry-data'!$K142</f>
        <v>#REF!</v>
      </c>
      <c r="G143" t="e">
        <f>'[26]GABM_R03_SarahAPI-data'!$K142</f>
        <v>#REF!</v>
      </c>
      <c r="H143" t="e">
        <f>'[27]GABM_R03_savannah-data'!$K142</f>
        <v>#REF!</v>
      </c>
      <c r="I143" t="e">
        <f>'[28]GABM_R03_MitchellAPI-data'!$K142</f>
        <v>#REF!</v>
      </c>
      <c r="J143">
        <f>'[29]GABM_R03_SudipaAPI-data'!$K142</f>
        <v>0</v>
      </c>
      <c r="K143" t="e">
        <f>'[30]R03_GABM_run2-data'!$K142</f>
        <v>#REF!</v>
      </c>
      <c r="L143" t="e">
        <f t="shared" si="4"/>
        <v>#REF!</v>
      </c>
      <c r="N143">
        <v>140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f>'[29]GABM_R03_SudipaAPI-data'!$K142</f>
        <v>0</v>
      </c>
      <c r="X143">
        <v>0</v>
      </c>
      <c r="Y143">
        <f t="shared" si="5"/>
        <v>0</v>
      </c>
    </row>
    <row r="144" spans="1:25" x14ac:dyDescent="0.35">
      <c r="A144">
        <v>141</v>
      </c>
      <c r="B144" t="e">
        <f>'[21]R03_GABM-data'!$K143</f>
        <v>#REF!</v>
      </c>
      <c r="C144" t="e">
        <f>'[22]GABM_R03_RossAPI-data'!$K143</f>
        <v>#REF!</v>
      </c>
      <c r="D144" t="e">
        <f>'[23]GABM_R03_RandiAPI-data'!$K143</f>
        <v>#REF!</v>
      </c>
      <c r="E144" t="e">
        <f>'[24]GABM_R03_NavidAPI-data'!$K143</f>
        <v>#REF!</v>
      </c>
      <c r="F144" t="e">
        <f>'[25]GABM_R03_Terry-data'!$K143</f>
        <v>#REF!</v>
      </c>
      <c r="G144" t="e">
        <f>'[26]GABM_R03_SarahAPI-data'!$K143</f>
        <v>#REF!</v>
      </c>
      <c r="H144" t="e">
        <f>'[27]GABM_R03_savannah-data'!$K143</f>
        <v>#REF!</v>
      </c>
      <c r="I144" t="e">
        <f>'[28]GABM_R03_MitchellAPI-data'!$K143</f>
        <v>#REF!</v>
      </c>
      <c r="J144">
        <f>'[29]GABM_R03_SudipaAPI-data'!$K143</f>
        <v>0</v>
      </c>
      <c r="K144" t="e">
        <f>'[30]R03_GABM_run2-data'!$K143</f>
        <v>#REF!</v>
      </c>
      <c r="L144" t="e">
        <f t="shared" si="4"/>
        <v>#REF!</v>
      </c>
      <c r="N144">
        <v>141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f>'[29]GABM_R03_SudipaAPI-data'!$K143</f>
        <v>0</v>
      </c>
      <c r="X144">
        <v>0</v>
      </c>
      <c r="Y144">
        <f t="shared" si="5"/>
        <v>0</v>
      </c>
    </row>
    <row r="145" spans="1:25" x14ac:dyDescent="0.35">
      <c r="A145">
        <v>142</v>
      </c>
      <c r="B145" t="e">
        <f>'[21]R03_GABM-data'!$K144</f>
        <v>#REF!</v>
      </c>
      <c r="C145" t="e">
        <f>'[22]GABM_R03_RossAPI-data'!$K144</f>
        <v>#REF!</v>
      </c>
      <c r="D145" t="e">
        <f>'[23]GABM_R03_RandiAPI-data'!$K144</f>
        <v>#REF!</v>
      </c>
      <c r="E145" t="e">
        <f>'[24]GABM_R03_NavidAPI-data'!$K144</f>
        <v>#REF!</v>
      </c>
      <c r="F145" t="e">
        <f>'[25]GABM_R03_Terry-data'!$K144</f>
        <v>#REF!</v>
      </c>
      <c r="G145" t="e">
        <f>'[26]GABM_R03_SarahAPI-data'!$K144</f>
        <v>#REF!</v>
      </c>
      <c r="H145" t="e">
        <f>'[27]GABM_R03_savannah-data'!$K144</f>
        <v>#REF!</v>
      </c>
      <c r="I145" t="e">
        <f>'[28]GABM_R03_MitchellAPI-data'!$K144</f>
        <v>#REF!</v>
      </c>
      <c r="J145">
        <f>'[29]GABM_R03_SudipaAPI-data'!$K144</f>
        <v>0</v>
      </c>
      <c r="K145" t="e">
        <f>'[30]R03_GABM_run2-data'!$K144</f>
        <v>#REF!</v>
      </c>
      <c r="L145" t="e">
        <f t="shared" si="4"/>
        <v>#REF!</v>
      </c>
      <c r="N145">
        <v>142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f>'[29]GABM_R03_SudipaAPI-data'!$K144</f>
        <v>0</v>
      </c>
      <c r="X145">
        <v>0</v>
      </c>
      <c r="Y145">
        <f t="shared" si="5"/>
        <v>0</v>
      </c>
    </row>
    <row r="146" spans="1:25" x14ac:dyDescent="0.35">
      <c r="A146">
        <v>143</v>
      </c>
      <c r="B146" t="e">
        <f>'[21]R03_GABM-data'!$K145</f>
        <v>#REF!</v>
      </c>
      <c r="C146" t="e">
        <f>'[22]GABM_R03_RossAPI-data'!$K145</f>
        <v>#REF!</v>
      </c>
      <c r="D146" t="e">
        <f>'[23]GABM_R03_RandiAPI-data'!$K145</f>
        <v>#REF!</v>
      </c>
      <c r="E146" t="e">
        <f>'[24]GABM_R03_NavidAPI-data'!$K145</f>
        <v>#REF!</v>
      </c>
      <c r="F146" t="e">
        <f>'[25]GABM_R03_Terry-data'!$K145</f>
        <v>#REF!</v>
      </c>
      <c r="G146" t="e">
        <f>'[26]GABM_R03_SarahAPI-data'!$K145</f>
        <v>#REF!</v>
      </c>
      <c r="H146" t="e">
        <f>'[27]GABM_R03_savannah-data'!$K145</f>
        <v>#REF!</v>
      </c>
      <c r="I146" t="e">
        <f>'[28]GABM_R03_MitchellAPI-data'!$K145</f>
        <v>#REF!</v>
      </c>
      <c r="J146">
        <f>'[29]GABM_R03_SudipaAPI-data'!$K145</f>
        <v>2</v>
      </c>
      <c r="K146" t="e">
        <f>'[30]R03_GABM_run2-data'!$K145</f>
        <v>#REF!</v>
      </c>
      <c r="L146" t="e">
        <f t="shared" si="4"/>
        <v>#REF!</v>
      </c>
      <c r="N146">
        <v>143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f>'[29]GABM_R03_SudipaAPI-data'!$K145</f>
        <v>2</v>
      </c>
      <c r="X146">
        <v>0</v>
      </c>
      <c r="Y146">
        <f t="shared" si="5"/>
        <v>0.2</v>
      </c>
    </row>
    <row r="147" spans="1:25" x14ac:dyDescent="0.35">
      <c r="A147">
        <v>144</v>
      </c>
      <c r="B147" t="e">
        <f>'[21]R03_GABM-data'!$K146</f>
        <v>#REF!</v>
      </c>
      <c r="C147" t="e">
        <f>'[22]GABM_R03_RossAPI-data'!$K146</f>
        <v>#REF!</v>
      </c>
      <c r="D147" t="e">
        <f>'[23]GABM_R03_RandiAPI-data'!$K146</f>
        <v>#REF!</v>
      </c>
      <c r="E147" t="e">
        <f>'[24]GABM_R03_NavidAPI-data'!$K146</f>
        <v>#REF!</v>
      </c>
      <c r="F147" t="e">
        <f>'[25]GABM_R03_Terry-data'!$K146</f>
        <v>#REF!</v>
      </c>
      <c r="G147" t="e">
        <f>'[26]GABM_R03_SarahAPI-data'!$K146</f>
        <v>#REF!</v>
      </c>
      <c r="H147" t="e">
        <f>'[27]GABM_R03_savannah-data'!$K146</f>
        <v>#REF!</v>
      </c>
      <c r="I147" t="e">
        <f>'[28]GABM_R03_MitchellAPI-data'!$K146</f>
        <v>#REF!</v>
      </c>
      <c r="J147">
        <f>'[29]GABM_R03_SudipaAPI-data'!$K146</f>
        <v>1</v>
      </c>
      <c r="K147" t="e">
        <f>'[30]R03_GABM_run2-data'!$K146</f>
        <v>#REF!</v>
      </c>
      <c r="L147" t="e">
        <f t="shared" si="4"/>
        <v>#REF!</v>
      </c>
      <c r="N147">
        <v>144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f>'[29]GABM_R03_SudipaAPI-data'!$K146</f>
        <v>1</v>
      </c>
      <c r="X147">
        <v>0</v>
      </c>
      <c r="Y147">
        <f t="shared" si="5"/>
        <v>0.1</v>
      </c>
    </row>
    <row r="148" spans="1:25" x14ac:dyDescent="0.35">
      <c r="A148">
        <v>145</v>
      </c>
      <c r="B148" t="e">
        <f>'[21]R03_GABM-data'!$K147</f>
        <v>#REF!</v>
      </c>
      <c r="C148" t="e">
        <f>'[22]GABM_R03_RossAPI-data'!$K147</f>
        <v>#REF!</v>
      </c>
      <c r="D148" t="e">
        <f>'[23]GABM_R03_RandiAPI-data'!$K147</f>
        <v>#REF!</v>
      </c>
      <c r="E148" t="e">
        <f>'[24]GABM_R03_NavidAPI-data'!$K147</f>
        <v>#REF!</v>
      </c>
      <c r="F148" t="e">
        <f>'[25]GABM_R03_Terry-data'!$K147</f>
        <v>#REF!</v>
      </c>
      <c r="G148" t="e">
        <f>'[26]GABM_R03_SarahAPI-data'!$K147</f>
        <v>#REF!</v>
      </c>
      <c r="H148" t="e">
        <f>'[27]GABM_R03_savannah-data'!$K147</f>
        <v>#REF!</v>
      </c>
      <c r="I148" t="e">
        <f>'[28]GABM_R03_MitchellAPI-data'!$K147</f>
        <v>#REF!</v>
      </c>
      <c r="J148">
        <f>'[29]GABM_R03_SudipaAPI-data'!$K147</f>
        <v>3</v>
      </c>
      <c r="K148" t="e">
        <f>'[30]R03_GABM_run2-data'!$K147</f>
        <v>#REF!</v>
      </c>
      <c r="L148" t="e">
        <f t="shared" si="4"/>
        <v>#REF!</v>
      </c>
      <c r="N148">
        <v>145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f>'[29]GABM_R03_SudipaAPI-data'!$K147</f>
        <v>3</v>
      </c>
      <c r="X148">
        <v>0</v>
      </c>
      <c r="Y148">
        <f t="shared" si="5"/>
        <v>0.3</v>
      </c>
    </row>
    <row r="149" spans="1:25" x14ac:dyDescent="0.35">
      <c r="A149">
        <v>146</v>
      </c>
      <c r="B149" t="e">
        <f>'[21]R03_GABM-data'!$K148</f>
        <v>#REF!</v>
      </c>
      <c r="C149" t="e">
        <f>'[22]GABM_R03_RossAPI-data'!$K148</f>
        <v>#REF!</v>
      </c>
      <c r="D149" t="e">
        <f>'[23]GABM_R03_RandiAPI-data'!$K148</f>
        <v>#REF!</v>
      </c>
      <c r="E149" t="e">
        <f>'[24]GABM_R03_NavidAPI-data'!$K148</f>
        <v>#REF!</v>
      </c>
      <c r="F149" t="e">
        <f>'[25]GABM_R03_Terry-data'!$K148</f>
        <v>#REF!</v>
      </c>
      <c r="G149" t="e">
        <f>'[26]GABM_R03_SarahAPI-data'!$K148</f>
        <v>#REF!</v>
      </c>
      <c r="H149" t="e">
        <f>'[27]GABM_R03_savannah-data'!$K148</f>
        <v>#REF!</v>
      </c>
      <c r="I149" t="e">
        <f>'[28]GABM_R03_MitchellAPI-data'!$K148</f>
        <v>#REF!</v>
      </c>
      <c r="J149">
        <f>'[29]GABM_R03_SudipaAPI-data'!$K148</f>
        <v>5</v>
      </c>
      <c r="K149" t="e">
        <f>'[30]R03_GABM_run2-data'!$K148</f>
        <v>#REF!</v>
      </c>
      <c r="L149" t="e">
        <f t="shared" si="4"/>
        <v>#REF!</v>
      </c>
      <c r="N149">
        <v>146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f>'[29]GABM_R03_SudipaAPI-data'!$K148</f>
        <v>5</v>
      </c>
      <c r="X149">
        <v>0</v>
      </c>
      <c r="Y149">
        <f t="shared" si="5"/>
        <v>0.5</v>
      </c>
    </row>
    <row r="150" spans="1:25" x14ac:dyDescent="0.35">
      <c r="A150">
        <v>147</v>
      </c>
      <c r="B150" t="e">
        <f>'[21]R03_GABM-data'!$K149</f>
        <v>#REF!</v>
      </c>
      <c r="C150" t="e">
        <f>'[22]GABM_R03_RossAPI-data'!$K149</f>
        <v>#REF!</v>
      </c>
      <c r="D150" t="e">
        <f>'[23]GABM_R03_RandiAPI-data'!$K149</f>
        <v>#REF!</v>
      </c>
      <c r="E150" t="e">
        <f>'[24]GABM_R03_NavidAPI-data'!$K149</f>
        <v>#REF!</v>
      </c>
      <c r="F150" t="e">
        <f>'[25]GABM_R03_Terry-data'!$K149</f>
        <v>#REF!</v>
      </c>
      <c r="G150" t="e">
        <f>'[26]GABM_R03_SarahAPI-data'!$K149</f>
        <v>#REF!</v>
      </c>
      <c r="H150" t="e">
        <f>'[27]GABM_R03_savannah-data'!$K149</f>
        <v>#REF!</v>
      </c>
      <c r="I150" t="e">
        <f>'[28]GABM_R03_MitchellAPI-data'!$K149</f>
        <v>#REF!</v>
      </c>
      <c r="J150">
        <f>'[29]GABM_R03_SudipaAPI-data'!$K149</f>
        <v>4</v>
      </c>
      <c r="K150" t="e">
        <f>'[30]R03_GABM_run2-data'!$K149</f>
        <v>#REF!</v>
      </c>
      <c r="L150" t="e">
        <f t="shared" si="4"/>
        <v>#REF!</v>
      </c>
      <c r="N150">
        <v>147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f>'[29]GABM_R03_SudipaAPI-data'!$K149</f>
        <v>4</v>
      </c>
      <c r="X150">
        <v>0</v>
      </c>
      <c r="Y150">
        <f t="shared" si="5"/>
        <v>0.4</v>
      </c>
    </row>
    <row r="151" spans="1:25" x14ac:dyDescent="0.35">
      <c r="A151">
        <v>148</v>
      </c>
      <c r="B151" t="e">
        <f>'[21]R03_GABM-data'!$K150</f>
        <v>#REF!</v>
      </c>
      <c r="C151" t="e">
        <f>'[22]GABM_R03_RossAPI-data'!$K150</f>
        <v>#REF!</v>
      </c>
      <c r="D151" t="e">
        <f>'[23]GABM_R03_RandiAPI-data'!$K150</f>
        <v>#REF!</v>
      </c>
      <c r="E151" t="e">
        <f>'[24]GABM_R03_NavidAPI-data'!$K150</f>
        <v>#REF!</v>
      </c>
      <c r="F151" t="e">
        <f>'[25]GABM_R03_Terry-data'!$K150</f>
        <v>#REF!</v>
      </c>
      <c r="G151" t="e">
        <f>'[26]GABM_R03_SarahAPI-data'!$K150</f>
        <v>#REF!</v>
      </c>
      <c r="H151" t="e">
        <f>'[27]GABM_R03_savannah-data'!$K150</f>
        <v>#REF!</v>
      </c>
      <c r="I151" t="e">
        <f>'[28]GABM_R03_MitchellAPI-data'!$K150</f>
        <v>#REF!</v>
      </c>
      <c r="J151">
        <f>'[29]GABM_R03_SudipaAPI-data'!$K150</f>
        <v>4</v>
      </c>
      <c r="K151" t="e">
        <f>'[30]R03_GABM_run2-data'!$K150</f>
        <v>#REF!</v>
      </c>
      <c r="L151" t="e">
        <f t="shared" si="4"/>
        <v>#REF!</v>
      </c>
      <c r="N151">
        <v>148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f>'[29]GABM_R03_SudipaAPI-data'!$K150</f>
        <v>4</v>
      </c>
      <c r="X151">
        <v>0</v>
      </c>
      <c r="Y151">
        <f t="shared" si="5"/>
        <v>0.4</v>
      </c>
    </row>
    <row r="152" spans="1:25" x14ac:dyDescent="0.35">
      <c r="A152">
        <v>149</v>
      </c>
      <c r="B152" t="e">
        <f>'[21]R03_GABM-data'!$K151</f>
        <v>#REF!</v>
      </c>
      <c r="C152" t="e">
        <f>'[22]GABM_R03_RossAPI-data'!$K151</f>
        <v>#REF!</v>
      </c>
      <c r="D152" t="e">
        <f>'[23]GABM_R03_RandiAPI-data'!$K151</f>
        <v>#REF!</v>
      </c>
      <c r="E152" t="e">
        <f>'[24]GABM_R03_NavidAPI-data'!$K151</f>
        <v>#REF!</v>
      </c>
      <c r="F152" t="e">
        <f>'[25]GABM_R03_Terry-data'!$K151</f>
        <v>#REF!</v>
      </c>
      <c r="G152" t="e">
        <f>'[26]GABM_R03_SarahAPI-data'!$K151</f>
        <v>#REF!</v>
      </c>
      <c r="H152" t="e">
        <f>'[27]GABM_R03_savannah-data'!$K151</f>
        <v>#REF!</v>
      </c>
      <c r="I152" t="e">
        <f>'[28]GABM_R03_MitchellAPI-data'!$K151</f>
        <v>#REF!</v>
      </c>
      <c r="J152">
        <f>'[29]GABM_R03_SudipaAPI-data'!$K151</f>
        <v>5</v>
      </c>
      <c r="K152" t="e">
        <f>'[30]R03_GABM_run2-data'!$K151</f>
        <v>#REF!</v>
      </c>
      <c r="L152" t="e">
        <f t="shared" si="4"/>
        <v>#REF!</v>
      </c>
      <c r="N152">
        <v>149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f>'[29]GABM_R03_SudipaAPI-data'!$K151</f>
        <v>5</v>
      </c>
      <c r="X152">
        <v>0</v>
      </c>
      <c r="Y152">
        <f t="shared" si="5"/>
        <v>0.5</v>
      </c>
    </row>
    <row r="153" spans="1:25" x14ac:dyDescent="0.35">
      <c r="A153">
        <v>150</v>
      </c>
      <c r="B153" t="e">
        <f>'[21]R03_GABM-data'!$K152</f>
        <v>#REF!</v>
      </c>
      <c r="C153" t="e">
        <f>'[22]GABM_R03_RossAPI-data'!$K152</f>
        <v>#REF!</v>
      </c>
      <c r="D153" t="e">
        <f>'[23]GABM_R03_RandiAPI-data'!$K152</f>
        <v>#REF!</v>
      </c>
      <c r="E153" t="e">
        <f>'[24]GABM_R03_NavidAPI-data'!$K152</f>
        <v>#REF!</v>
      </c>
      <c r="F153" t="e">
        <f>'[25]GABM_R03_Terry-data'!$K152</f>
        <v>#REF!</v>
      </c>
      <c r="G153" t="e">
        <f>'[26]GABM_R03_SarahAPI-data'!$K152</f>
        <v>#REF!</v>
      </c>
      <c r="H153" t="e">
        <f>'[27]GABM_R03_savannah-data'!$K152</f>
        <v>#REF!</v>
      </c>
      <c r="I153" t="e">
        <f>'[28]GABM_R03_MitchellAPI-data'!$K152</f>
        <v>#REF!</v>
      </c>
      <c r="J153">
        <f>'[29]GABM_R03_SudipaAPI-data'!$K152</f>
        <v>3</v>
      </c>
      <c r="K153" t="e">
        <f>'[30]R03_GABM_run2-data'!$K152</f>
        <v>#REF!</v>
      </c>
      <c r="L153" t="e">
        <f t="shared" si="4"/>
        <v>#REF!</v>
      </c>
      <c r="N153">
        <v>150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f>'[29]GABM_R03_SudipaAPI-data'!$K152</f>
        <v>3</v>
      </c>
      <c r="X153">
        <v>0</v>
      </c>
      <c r="Y153">
        <f t="shared" si="5"/>
        <v>0.3</v>
      </c>
    </row>
    <row r="154" spans="1:25" x14ac:dyDescent="0.35">
      <c r="A154">
        <v>151</v>
      </c>
      <c r="B154" t="e">
        <f>'[21]R03_GABM-data'!$K153</f>
        <v>#REF!</v>
      </c>
      <c r="C154" t="e">
        <f>'[22]GABM_R03_RossAPI-data'!$K153</f>
        <v>#REF!</v>
      </c>
      <c r="D154" t="e">
        <f>'[23]GABM_R03_RandiAPI-data'!$K153</f>
        <v>#REF!</v>
      </c>
      <c r="E154" t="e">
        <f>'[24]GABM_R03_NavidAPI-data'!$K153</f>
        <v>#REF!</v>
      </c>
      <c r="F154" t="e">
        <f>'[25]GABM_R03_Terry-data'!$K153</f>
        <v>#REF!</v>
      </c>
      <c r="G154" t="e">
        <f>'[26]GABM_R03_SarahAPI-data'!$K153</f>
        <v>#REF!</v>
      </c>
      <c r="H154" t="e">
        <f>'[27]GABM_R03_savannah-data'!$K153</f>
        <v>#REF!</v>
      </c>
      <c r="I154" t="e">
        <f>'[28]GABM_R03_MitchellAPI-data'!$K153</f>
        <v>#REF!</v>
      </c>
      <c r="J154">
        <f>'[29]GABM_R03_SudipaAPI-data'!$K153</f>
        <v>4</v>
      </c>
      <c r="K154" t="e">
        <f>'[30]R03_GABM_run2-data'!$K153</f>
        <v>#REF!</v>
      </c>
      <c r="L154" t="e">
        <f t="shared" si="4"/>
        <v>#REF!</v>
      </c>
      <c r="N154">
        <v>151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f>'[29]GABM_R03_SudipaAPI-data'!$K153</f>
        <v>4</v>
      </c>
      <c r="X154">
        <v>0</v>
      </c>
      <c r="Y154">
        <f t="shared" si="5"/>
        <v>0.4</v>
      </c>
    </row>
    <row r="155" spans="1:25" x14ac:dyDescent="0.35">
      <c r="A155">
        <v>152</v>
      </c>
      <c r="B155" t="e">
        <f>'[21]R03_GABM-data'!$K154</f>
        <v>#REF!</v>
      </c>
      <c r="C155" t="e">
        <f>'[22]GABM_R03_RossAPI-data'!$K154</f>
        <v>#REF!</v>
      </c>
      <c r="D155" t="e">
        <f>'[23]GABM_R03_RandiAPI-data'!$K154</f>
        <v>#REF!</v>
      </c>
      <c r="E155" t="e">
        <f>'[24]GABM_R03_NavidAPI-data'!$K154</f>
        <v>#REF!</v>
      </c>
      <c r="F155" t="e">
        <f>'[25]GABM_R03_Terry-data'!$K154</f>
        <v>#REF!</v>
      </c>
      <c r="G155" t="e">
        <f>'[26]GABM_R03_SarahAPI-data'!$K154</f>
        <v>#REF!</v>
      </c>
      <c r="H155" t="e">
        <f>'[27]GABM_R03_savannah-data'!$K154</f>
        <v>#REF!</v>
      </c>
      <c r="I155" t="e">
        <f>'[28]GABM_R03_MitchellAPI-data'!$K154</f>
        <v>#REF!</v>
      </c>
      <c r="J155">
        <f>'[29]GABM_R03_SudipaAPI-data'!$K154</f>
        <v>0</v>
      </c>
      <c r="K155" t="e">
        <f>'[30]R03_GABM_run2-data'!$K154</f>
        <v>#REF!</v>
      </c>
      <c r="L155" t="e">
        <f t="shared" si="4"/>
        <v>#REF!</v>
      </c>
      <c r="N155">
        <v>152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f>'[29]GABM_R03_SudipaAPI-data'!$K154</f>
        <v>0</v>
      </c>
      <c r="X155">
        <v>0</v>
      </c>
      <c r="Y155">
        <f t="shared" si="5"/>
        <v>0</v>
      </c>
    </row>
    <row r="156" spans="1:25" x14ac:dyDescent="0.35">
      <c r="A156">
        <v>153</v>
      </c>
      <c r="B156" t="e">
        <f>'[21]R03_GABM-data'!$K155</f>
        <v>#REF!</v>
      </c>
      <c r="C156" t="e">
        <f>'[22]GABM_R03_RossAPI-data'!$K155</f>
        <v>#REF!</v>
      </c>
      <c r="D156" t="e">
        <f>'[23]GABM_R03_RandiAPI-data'!$K155</f>
        <v>#REF!</v>
      </c>
      <c r="E156" t="e">
        <f>'[24]GABM_R03_NavidAPI-data'!$K155</f>
        <v>#REF!</v>
      </c>
      <c r="F156" t="e">
        <f>'[25]GABM_R03_Terry-data'!$K155</f>
        <v>#REF!</v>
      </c>
      <c r="G156" t="e">
        <f>'[26]GABM_R03_SarahAPI-data'!$K155</f>
        <v>#REF!</v>
      </c>
      <c r="H156" t="e">
        <f>'[27]GABM_R03_savannah-data'!$K155</f>
        <v>#REF!</v>
      </c>
      <c r="I156" t="e">
        <f>'[28]GABM_R03_MitchellAPI-data'!$K155</f>
        <v>#REF!</v>
      </c>
      <c r="J156">
        <f>'[29]GABM_R03_SudipaAPI-data'!$K155</f>
        <v>2</v>
      </c>
      <c r="K156" t="e">
        <f>'[30]R03_GABM_run2-data'!$K155</f>
        <v>#REF!</v>
      </c>
      <c r="L156" t="e">
        <f t="shared" si="4"/>
        <v>#REF!</v>
      </c>
      <c r="N156">
        <v>153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f>'[29]GABM_R03_SudipaAPI-data'!$K155</f>
        <v>2</v>
      </c>
      <c r="X156">
        <v>0</v>
      </c>
      <c r="Y156">
        <f t="shared" si="5"/>
        <v>0.2</v>
      </c>
    </row>
    <row r="157" spans="1:25" x14ac:dyDescent="0.35">
      <c r="A157">
        <v>154</v>
      </c>
      <c r="B157" t="e">
        <f>'[21]R03_GABM-data'!$K156</f>
        <v>#REF!</v>
      </c>
      <c r="C157" t="e">
        <f>'[22]GABM_R03_RossAPI-data'!$K156</f>
        <v>#REF!</v>
      </c>
      <c r="D157" t="e">
        <f>'[23]GABM_R03_RandiAPI-data'!$K156</f>
        <v>#REF!</v>
      </c>
      <c r="E157" t="e">
        <f>'[24]GABM_R03_NavidAPI-data'!$K156</f>
        <v>#REF!</v>
      </c>
      <c r="F157" t="e">
        <f>'[25]GABM_R03_Terry-data'!$K156</f>
        <v>#REF!</v>
      </c>
      <c r="G157" t="e">
        <f>'[26]GABM_R03_SarahAPI-data'!$K156</f>
        <v>#REF!</v>
      </c>
      <c r="H157" t="e">
        <f>'[27]GABM_R03_savannah-data'!$K156</f>
        <v>#REF!</v>
      </c>
      <c r="I157" t="e">
        <f>'[28]GABM_R03_MitchellAPI-data'!$K156</f>
        <v>#REF!</v>
      </c>
      <c r="J157">
        <f>'[29]GABM_R03_SudipaAPI-data'!$K156</f>
        <v>0</v>
      </c>
      <c r="K157" t="e">
        <f>'[30]R03_GABM_run2-data'!$K156</f>
        <v>#REF!</v>
      </c>
      <c r="L157" t="e">
        <f t="shared" si="4"/>
        <v>#REF!</v>
      </c>
      <c r="N157">
        <v>154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f>'[29]GABM_R03_SudipaAPI-data'!$K156</f>
        <v>0</v>
      </c>
      <c r="X157">
        <v>0</v>
      </c>
      <c r="Y157">
        <f t="shared" si="5"/>
        <v>0</v>
      </c>
    </row>
    <row r="158" spans="1:25" x14ac:dyDescent="0.35">
      <c r="A158">
        <v>155</v>
      </c>
      <c r="B158" t="e">
        <f>'[21]R03_GABM-data'!$K157</f>
        <v>#REF!</v>
      </c>
      <c r="C158" t="e">
        <f>'[22]GABM_R03_RossAPI-data'!$K157</f>
        <v>#REF!</v>
      </c>
      <c r="D158" t="e">
        <f>'[23]GABM_R03_RandiAPI-data'!$K157</f>
        <v>#REF!</v>
      </c>
      <c r="E158" t="e">
        <f>'[24]GABM_R03_NavidAPI-data'!$K157</f>
        <v>#REF!</v>
      </c>
      <c r="F158" t="e">
        <f>'[25]GABM_R03_Terry-data'!$K157</f>
        <v>#REF!</v>
      </c>
      <c r="G158" t="e">
        <f>'[26]GABM_R03_SarahAPI-data'!$K157</f>
        <v>#REF!</v>
      </c>
      <c r="H158" t="e">
        <f>'[27]GABM_R03_savannah-data'!$K157</f>
        <v>#REF!</v>
      </c>
      <c r="I158" t="e">
        <f>'[28]GABM_R03_MitchellAPI-data'!$K157</f>
        <v>#REF!</v>
      </c>
      <c r="J158">
        <f>'[29]GABM_R03_SudipaAPI-data'!$K157</f>
        <v>1</v>
      </c>
      <c r="K158" t="e">
        <f>'[30]R03_GABM_run2-data'!$K157</f>
        <v>#REF!</v>
      </c>
      <c r="L158" t="e">
        <f t="shared" si="4"/>
        <v>#REF!</v>
      </c>
      <c r="N158">
        <v>155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f>'[29]GABM_R03_SudipaAPI-data'!$K157</f>
        <v>1</v>
      </c>
      <c r="X158">
        <v>0</v>
      </c>
      <c r="Y158">
        <f t="shared" si="5"/>
        <v>0.1</v>
      </c>
    </row>
    <row r="159" spans="1:25" x14ac:dyDescent="0.35">
      <c r="A159">
        <v>156</v>
      </c>
      <c r="B159" t="e">
        <f>'[21]R03_GABM-data'!$K158</f>
        <v>#REF!</v>
      </c>
      <c r="C159" t="e">
        <f>'[22]GABM_R03_RossAPI-data'!$K158</f>
        <v>#REF!</v>
      </c>
      <c r="D159" t="e">
        <f>'[23]GABM_R03_RandiAPI-data'!$K158</f>
        <v>#REF!</v>
      </c>
      <c r="E159" t="e">
        <f>'[24]GABM_R03_NavidAPI-data'!$K158</f>
        <v>#REF!</v>
      </c>
      <c r="F159" t="e">
        <f>'[25]GABM_R03_Terry-data'!$K158</f>
        <v>#REF!</v>
      </c>
      <c r="G159" t="e">
        <f>'[26]GABM_R03_SarahAPI-data'!$K158</f>
        <v>#REF!</v>
      </c>
      <c r="H159" t="e">
        <f>'[27]GABM_R03_savannah-data'!$K158</f>
        <v>#REF!</v>
      </c>
      <c r="I159" t="e">
        <f>'[28]GABM_R03_MitchellAPI-data'!$K158</f>
        <v>#REF!</v>
      </c>
      <c r="J159">
        <f>'[29]GABM_R03_SudipaAPI-data'!$K158</f>
        <v>1</v>
      </c>
      <c r="K159" t="e">
        <f>'[30]R03_GABM_run2-data'!$K158</f>
        <v>#REF!</v>
      </c>
      <c r="L159" t="e">
        <f t="shared" si="4"/>
        <v>#REF!</v>
      </c>
      <c r="N159">
        <v>156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f>'[29]GABM_R03_SudipaAPI-data'!$K158</f>
        <v>1</v>
      </c>
      <c r="X159">
        <v>0</v>
      </c>
      <c r="Y159">
        <f t="shared" si="5"/>
        <v>0.1</v>
      </c>
    </row>
    <row r="160" spans="1:25" x14ac:dyDescent="0.35">
      <c r="A160">
        <v>157</v>
      </c>
      <c r="B160" t="e">
        <f>'[21]R03_GABM-data'!$K159</f>
        <v>#REF!</v>
      </c>
      <c r="C160" t="e">
        <f>'[22]GABM_R03_RossAPI-data'!$K159</f>
        <v>#REF!</v>
      </c>
      <c r="D160" t="e">
        <f>'[23]GABM_R03_RandiAPI-data'!$K159</f>
        <v>#REF!</v>
      </c>
      <c r="E160" t="e">
        <f>'[24]GABM_R03_NavidAPI-data'!$K159</f>
        <v>#REF!</v>
      </c>
      <c r="F160" t="e">
        <f>'[25]GABM_R03_Terry-data'!$K159</f>
        <v>#REF!</v>
      </c>
      <c r="G160" t="e">
        <f>'[26]GABM_R03_SarahAPI-data'!$K159</f>
        <v>#REF!</v>
      </c>
      <c r="H160" t="e">
        <f>'[27]GABM_R03_savannah-data'!$K159</f>
        <v>#REF!</v>
      </c>
      <c r="I160" t="e">
        <f>'[28]GABM_R03_MitchellAPI-data'!$K159</f>
        <v>#REF!</v>
      </c>
      <c r="J160">
        <f>'[29]GABM_R03_SudipaAPI-data'!$K159</f>
        <v>1</v>
      </c>
      <c r="K160" t="e">
        <f>'[30]R03_GABM_run2-data'!$K159</f>
        <v>#REF!</v>
      </c>
      <c r="L160" t="e">
        <f t="shared" si="4"/>
        <v>#REF!</v>
      </c>
      <c r="N160">
        <v>157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f>'[29]GABM_R03_SudipaAPI-data'!$K159</f>
        <v>1</v>
      </c>
      <c r="X160">
        <v>0</v>
      </c>
      <c r="Y160">
        <f t="shared" si="5"/>
        <v>0.1</v>
      </c>
    </row>
    <row r="161" spans="1:25" x14ac:dyDescent="0.35">
      <c r="A161">
        <v>158</v>
      </c>
      <c r="B161" t="e">
        <f>'[21]R03_GABM-data'!$K160</f>
        <v>#REF!</v>
      </c>
      <c r="C161" t="e">
        <f>'[22]GABM_R03_RossAPI-data'!$K160</f>
        <v>#REF!</v>
      </c>
      <c r="D161" t="e">
        <f>'[23]GABM_R03_RandiAPI-data'!$K160</f>
        <v>#REF!</v>
      </c>
      <c r="E161" t="e">
        <f>'[24]GABM_R03_NavidAPI-data'!$K160</f>
        <v>#REF!</v>
      </c>
      <c r="F161" t="e">
        <f>'[25]GABM_R03_Terry-data'!$K160</f>
        <v>#REF!</v>
      </c>
      <c r="G161" t="e">
        <f>'[26]GABM_R03_SarahAPI-data'!$K160</f>
        <v>#REF!</v>
      </c>
      <c r="H161" t="e">
        <f>'[27]GABM_R03_savannah-data'!$K160</f>
        <v>#REF!</v>
      </c>
      <c r="I161" t="e">
        <f>'[28]GABM_R03_MitchellAPI-data'!$K160</f>
        <v>#REF!</v>
      </c>
      <c r="J161">
        <f>'[29]GABM_R03_SudipaAPI-data'!$K160</f>
        <v>0</v>
      </c>
      <c r="K161" t="e">
        <f>'[30]R03_GABM_run2-data'!$K160</f>
        <v>#REF!</v>
      </c>
      <c r="L161" t="e">
        <f t="shared" si="4"/>
        <v>#REF!</v>
      </c>
      <c r="N161">
        <v>158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f>'[29]GABM_R03_SudipaAPI-data'!$K160</f>
        <v>0</v>
      </c>
      <c r="X161">
        <v>0</v>
      </c>
      <c r="Y161">
        <f t="shared" si="5"/>
        <v>0</v>
      </c>
    </row>
    <row r="162" spans="1:25" x14ac:dyDescent="0.35">
      <c r="A162">
        <v>159</v>
      </c>
      <c r="B162" t="e">
        <f>'[21]R03_GABM-data'!$K161</f>
        <v>#REF!</v>
      </c>
      <c r="C162" t="e">
        <f>'[22]GABM_R03_RossAPI-data'!$K161</f>
        <v>#REF!</v>
      </c>
      <c r="D162" t="e">
        <f>'[23]GABM_R03_RandiAPI-data'!$K161</f>
        <v>#REF!</v>
      </c>
      <c r="E162" t="e">
        <f>'[24]GABM_R03_NavidAPI-data'!$K161</f>
        <v>#REF!</v>
      </c>
      <c r="F162" t="e">
        <f>'[25]GABM_R03_Terry-data'!$K161</f>
        <v>#REF!</v>
      </c>
      <c r="G162" t="e">
        <f>'[26]GABM_R03_SarahAPI-data'!$K161</f>
        <v>#REF!</v>
      </c>
      <c r="H162" t="e">
        <f>'[27]GABM_R03_savannah-data'!$K161</f>
        <v>#REF!</v>
      </c>
      <c r="I162" t="e">
        <f>'[28]GABM_R03_MitchellAPI-data'!$K161</f>
        <v>#REF!</v>
      </c>
      <c r="J162">
        <f>'[29]GABM_R03_SudipaAPI-data'!$K161</f>
        <v>0</v>
      </c>
      <c r="K162" t="e">
        <f>'[30]R03_GABM_run2-data'!$K161</f>
        <v>#REF!</v>
      </c>
      <c r="L162" t="e">
        <f t="shared" si="4"/>
        <v>#REF!</v>
      </c>
      <c r="N162">
        <v>159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f>'[29]GABM_R03_SudipaAPI-data'!$K161</f>
        <v>0</v>
      </c>
      <c r="X162">
        <v>0</v>
      </c>
      <c r="Y162">
        <f t="shared" si="5"/>
        <v>0</v>
      </c>
    </row>
    <row r="163" spans="1:25" x14ac:dyDescent="0.35">
      <c r="A163">
        <v>160</v>
      </c>
      <c r="B163" t="e">
        <f>'[21]R03_GABM-data'!$K162</f>
        <v>#REF!</v>
      </c>
      <c r="C163" t="e">
        <f>'[22]GABM_R03_RossAPI-data'!$K162</f>
        <v>#REF!</v>
      </c>
      <c r="D163" t="e">
        <f>'[23]GABM_R03_RandiAPI-data'!$K162</f>
        <v>#REF!</v>
      </c>
      <c r="E163" t="e">
        <f>'[24]GABM_R03_NavidAPI-data'!$K162</f>
        <v>#REF!</v>
      </c>
      <c r="F163" t="e">
        <f>'[25]GABM_R03_Terry-data'!$K162</f>
        <v>#REF!</v>
      </c>
      <c r="G163" t="e">
        <f>'[26]GABM_R03_SarahAPI-data'!$K162</f>
        <v>#REF!</v>
      </c>
      <c r="H163" t="e">
        <f>'[27]GABM_R03_savannah-data'!$K162</f>
        <v>#REF!</v>
      </c>
      <c r="I163" t="e">
        <f>'[28]GABM_R03_MitchellAPI-data'!$K162</f>
        <v>#REF!</v>
      </c>
      <c r="J163">
        <f>'[29]GABM_R03_SudipaAPI-data'!$K162</f>
        <v>0</v>
      </c>
      <c r="K163" t="e">
        <f>'[30]R03_GABM_run2-data'!$K162</f>
        <v>#REF!</v>
      </c>
      <c r="L163" t="e">
        <f t="shared" si="4"/>
        <v>#REF!</v>
      </c>
      <c r="N163">
        <v>160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f>'[29]GABM_R03_SudipaAPI-data'!$K162</f>
        <v>0</v>
      </c>
      <c r="X163">
        <v>0</v>
      </c>
      <c r="Y163">
        <f t="shared" si="5"/>
        <v>0</v>
      </c>
    </row>
    <row r="164" spans="1:25" x14ac:dyDescent="0.35">
      <c r="A164">
        <v>161</v>
      </c>
      <c r="B164" t="e">
        <f>'[21]R03_GABM-data'!$K163</f>
        <v>#REF!</v>
      </c>
      <c r="C164" t="e">
        <f>'[22]GABM_R03_RossAPI-data'!$K163</f>
        <v>#REF!</v>
      </c>
      <c r="D164" t="e">
        <f>'[23]GABM_R03_RandiAPI-data'!$K163</f>
        <v>#REF!</v>
      </c>
      <c r="E164" t="e">
        <f>'[24]GABM_R03_NavidAPI-data'!$K163</f>
        <v>#REF!</v>
      </c>
      <c r="F164" t="e">
        <f>'[25]GABM_R03_Terry-data'!$K163</f>
        <v>#REF!</v>
      </c>
      <c r="G164" t="e">
        <f>'[26]GABM_R03_SarahAPI-data'!$K163</f>
        <v>#REF!</v>
      </c>
      <c r="H164" t="e">
        <f>'[27]GABM_R03_savannah-data'!$K163</f>
        <v>#REF!</v>
      </c>
      <c r="I164" t="e">
        <f>'[28]GABM_R03_MitchellAPI-data'!$K163</f>
        <v>#REF!</v>
      </c>
      <c r="J164">
        <f>'[29]GABM_R03_SudipaAPI-data'!$K163</f>
        <v>0</v>
      </c>
      <c r="K164" t="e">
        <f>'[30]R03_GABM_run2-data'!$K163</f>
        <v>#REF!</v>
      </c>
      <c r="L164" t="e">
        <f t="shared" si="4"/>
        <v>#REF!</v>
      </c>
      <c r="N164">
        <v>161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f>'[29]GABM_R03_SudipaAPI-data'!$K163</f>
        <v>0</v>
      </c>
      <c r="X164">
        <v>0</v>
      </c>
      <c r="Y164">
        <f t="shared" si="5"/>
        <v>0</v>
      </c>
    </row>
    <row r="165" spans="1:25" x14ac:dyDescent="0.35">
      <c r="A165">
        <v>162</v>
      </c>
      <c r="B165" t="e">
        <f>'[21]R03_GABM-data'!$K164</f>
        <v>#REF!</v>
      </c>
      <c r="C165" t="e">
        <f>'[22]GABM_R03_RossAPI-data'!$K164</f>
        <v>#REF!</v>
      </c>
      <c r="D165" t="e">
        <f>'[23]GABM_R03_RandiAPI-data'!$K164</f>
        <v>#REF!</v>
      </c>
      <c r="E165" t="e">
        <f>'[24]GABM_R03_NavidAPI-data'!$K164</f>
        <v>#REF!</v>
      </c>
      <c r="F165" t="e">
        <f>'[25]GABM_R03_Terry-data'!$K164</f>
        <v>#REF!</v>
      </c>
      <c r="G165" t="e">
        <f>'[26]GABM_R03_SarahAPI-data'!$K164</f>
        <v>#REF!</v>
      </c>
      <c r="H165" t="e">
        <f>'[27]GABM_R03_savannah-data'!$K164</f>
        <v>#REF!</v>
      </c>
      <c r="I165" t="e">
        <f>'[28]GABM_R03_MitchellAPI-data'!$K164</f>
        <v>#REF!</v>
      </c>
      <c r="J165">
        <f>'[29]GABM_R03_SudipaAPI-data'!$K164</f>
        <v>0</v>
      </c>
      <c r="K165" t="e">
        <f>'[30]R03_GABM_run2-data'!$K164</f>
        <v>#REF!</v>
      </c>
      <c r="L165" t="e">
        <f t="shared" si="4"/>
        <v>#REF!</v>
      </c>
      <c r="N165">
        <v>162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f>'[29]GABM_R03_SudipaAPI-data'!$K164</f>
        <v>0</v>
      </c>
      <c r="X165">
        <v>0</v>
      </c>
      <c r="Y165">
        <f t="shared" si="5"/>
        <v>0</v>
      </c>
    </row>
    <row r="166" spans="1:25" x14ac:dyDescent="0.35">
      <c r="A166">
        <v>163</v>
      </c>
      <c r="B166" t="e">
        <f>'[21]R03_GABM-data'!$K165</f>
        <v>#REF!</v>
      </c>
      <c r="C166" t="e">
        <f>'[22]GABM_R03_RossAPI-data'!$K165</f>
        <v>#REF!</v>
      </c>
      <c r="D166" t="e">
        <f>'[23]GABM_R03_RandiAPI-data'!$K165</f>
        <v>#REF!</v>
      </c>
      <c r="E166" t="e">
        <f>'[24]GABM_R03_NavidAPI-data'!$K165</f>
        <v>#REF!</v>
      </c>
      <c r="F166" t="e">
        <f>'[25]GABM_R03_Terry-data'!$K165</f>
        <v>#REF!</v>
      </c>
      <c r="G166" t="e">
        <f>'[26]GABM_R03_SarahAPI-data'!$K165</f>
        <v>#REF!</v>
      </c>
      <c r="H166" t="e">
        <f>'[27]GABM_R03_savannah-data'!$K165</f>
        <v>#REF!</v>
      </c>
      <c r="I166" t="e">
        <f>'[28]GABM_R03_MitchellAPI-data'!$K165</f>
        <v>#REF!</v>
      </c>
      <c r="J166">
        <f>'[29]GABM_R03_SudipaAPI-data'!$K165</f>
        <v>1</v>
      </c>
      <c r="K166" t="e">
        <f>'[30]R03_GABM_run2-data'!$K165</f>
        <v>#REF!</v>
      </c>
      <c r="L166" t="e">
        <f t="shared" si="4"/>
        <v>#REF!</v>
      </c>
      <c r="N166">
        <v>163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f>'[29]GABM_R03_SudipaAPI-data'!$K165</f>
        <v>1</v>
      </c>
      <c r="X166">
        <v>0</v>
      </c>
      <c r="Y166">
        <f t="shared" si="5"/>
        <v>0.1</v>
      </c>
    </row>
    <row r="167" spans="1:25" x14ac:dyDescent="0.35">
      <c r="A167">
        <v>164</v>
      </c>
      <c r="B167" t="e">
        <f>'[21]R03_GABM-data'!$K166</f>
        <v>#REF!</v>
      </c>
      <c r="C167" t="e">
        <f>'[22]GABM_R03_RossAPI-data'!$K166</f>
        <v>#REF!</v>
      </c>
      <c r="D167" t="e">
        <f>'[23]GABM_R03_RandiAPI-data'!$K166</f>
        <v>#REF!</v>
      </c>
      <c r="E167" t="e">
        <f>'[24]GABM_R03_NavidAPI-data'!$K166</f>
        <v>#REF!</v>
      </c>
      <c r="F167" t="e">
        <f>'[25]GABM_R03_Terry-data'!$K166</f>
        <v>#REF!</v>
      </c>
      <c r="G167" t="e">
        <f>'[26]GABM_R03_SarahAPI-data'!$K166</f>
        <v>#REF!</v>
      </c>
      <c r="H167" t="e">
        <f>'[27]GABM_R03_savannah-data'!$K166</f>
        <v>#REF!</v>
      </c>
      <c r="I167" t="e">
        <f>'[28]GABM_R03_MitchellAPI-data'!$K166</f>
        <v>#REF!</v>
      </c>
      <c r="J167">
        <f>'[29]GABM_R03_SudipaAPI-data'!$K166</f>
        <v>0</v>
      </c>
      <c r="K167" t="e">
        <f>'[30]R03_GABM_run2-data'!$K166</f>
        <v>#REF!</v>
      </c>
      <c r="L167" t="e">
        <f t="shared" si="4"/>
        <v>#REF!</v>
      </c>
      <c r="N167">
        <v>164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f>'[29]GABM_R03_SudipaAPI-data'!$K166</f>
        <v>0</v>
      </c>
      <c r="X167">
        <v>0</v>
      </c>
      <c r="Y167">
        <f t="shared" si="5"/>
        <v>0</v>
      </c>
    </row>
    <row r="168" spans="1:25" x14ac:dyDescent="0.35">
      <c r="A168">
        <v>165</v>
      </c>
      <c r="B168" t="e">
        <f>'[21]R03_GABM-data'!$K167</f>
        <v>#REF!</v>
      </c>
      <c r="C168" t="e">
        <f>'[22]GABM_R03_RossAPI-data'!$K167</f>
        <v>#REF!</v>
      </c>
      <c r="D168" t="e">
        <f>'[23]GABM_R03_RandiAPI-data'!$K167</f>
        <v>#REF!</v>
      </c>
      <c r="E168" t="e">
        <f>'[24]GABM_R03_NavidAPI-data'!$K167</f>
        <v>#REF!</v>
      </c>
      <c r="F168" t="e">
        <f>'[25]GABM_R03_Terry-data'!$K167</f>
        <v>#REF!</v>
      </c>
      <c r="G168" t="e">
        <f>'[26]GABM_R03_SarahAPI-data'!$K167</f>
        <v>#REF!</v>
      </c>
      <c r="H168" t="e">
        <f>'[27]GABM_R03_savannah-data'!$K167</f>
        <v>#REF!</v>
      </c>
      <c r="I168" t="e">
        <f>'[28]GABM_R03_MitchellAPI-data'!$K167</f>
        <v>#REF!</v>
      </c>
      <c r="J168">
        <f>'[29]GABM_R03_SudipaAPI-data'!$K167</f>
        <v>2</v>
      </c>
      <c r="K168" t="e">
        <f>'[30]R03_GABM_run2-data'!$K167</f>
        <v>#REF!</v>
      </c>
      <c r="L168" t="e">
        <f t="shared" si="4"/>
        <v>#REF!</v>
      </c>
      <c r="N168">
        <v>165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f>'[29]GABM_R03_SudipaAPI-data'!$K167</f>
        <v>2</v>
      </c>
      <c r="X168">
        <v>0</v>
      </c>
      <c r="Y168">
        <f t="shared" si="5"/>
        <v>0.2</v>
      </c>
    </row>
    <row r="169" spans="1:25" x14ac:dyDescent="0.35">
      <c r="A169">
        <v>166</v>
      </c>
      <c r="B169" t="e">
        <f>'[21]R03_GABM-data'!$K168</f>
        <v>#REF!</v>
      </c>
      <c r="C169" t="e">
        <f>'[22]GABM_R03_RossAPI-data'!$K168</f>
        <v>#REF!</v>
      </c>
      <c r="D169" t="e">
        <f>'[23]GABM_R03_RandiAPI-data'!$K168</f>
        <v>#REF!</v>
      </c>
      <c r="E169" t="e">
        <f>'[24]GABM_R03_NavidAPI-data'!$K168</f>
        <v>#REF!</v>
      </c>
      <c r="F169" t="e">
        <f>'[25]GABM_R03_Terry-data'!$K168</f>
        <v>#REF!</v>
      </c>
      <c r="G169" t="e">
        <f>'[26]GABM_R03_SarahAPI-data'!$K168</f>
        <v>#REF!</v>
      </c>
      <c r="H169" t="e">
        <f>'[27]GABM_R03_savannah-data'!$K168</f>
        <v>#REF!</v>
      </c>
      <c r="I169" t="e">
        <f>'[28]GABM_R03_MitchellAPI-data'!$K168</f>
        <v>#REF!</v>
      </c>
      <c r="J169">
        <f>'[29]GABM_R03_SudipaAPI-data'!$K168</f>
        <v>3</v>
      </c>
      <c r="K169" t="e">
        <f>'[30]R03_GABM_run2-data'!$K168</f>
        <v>#REF!</v>
      </c>
      <c r="L169" t="e">
        <f t="shared" si="4"/>
        <v>#REF!</v>
      </c>
      <c r="N169">
        <v>166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f>'[29]GABM_R03_SudipaAPI-data'!$K168</f>
        <v>3</v>
      </c>
      <c r="X169">
        <v>0</v>
      </c>
      <c r="Y169">
        <f t="shared" si="5"/>
        <v>0.3</v>
      </c>
    </row>
    <row r="170" spans="1:25" x14ac:dyDescent="0.35">
      <c r="A170">
        <v>167</v>
      </c>
      <c r="B170" t="e">
        <f>'[21]R03_GABM-data'!$K169</f>
        <v>#REF!</v>
      </c>
      <c r="C170" t="e">
        <f>'[22]GABM_R03_RossAPI-data'!$K169</f>
        <v>#REF!</v>
      </c>
      <c r="D170" t="e">
        <f>'[23]GABM_R03_RandiAPI-data'!$K169</f>
        <v>#REF!</v>
      </c>
      <c r="E170" t="e">
        <f>'[24]GABM_R03_NavidAPI-data'!$K169</f>
        <v>#REF!</v>
      </c>
      <c r="F170" t="e">
        <f>'[25]GABM_R03_Terry-data'!$K169</f>
        <v>#REF!</v>
      </c>
      <c r="G170" t="e">
        <f>'[26]GABM_R03_SarahAPI-data'!$K169</f>
        <v>#REF!</v>
      </c>
      <c r="H170" t="e">
        <f>'[27]GABM_R03_savannah-data'!$K169</f>
        <v>#REF!</v>
      </c>
      <c r="I170" t="e">
        <f>'[28]GABM_R03_MitchellAPI-data'!$K169</f>
        <v>#REF!</v>
      </c>
      <c r="J170">
        <f>'[29]GABM_R03_SudipaAPI-data'!$K169</f>
        <v>3</v>
      </c>
      <c r="K170" t="e">
        <f>'[30]R03_GABM_run2-data'!$K169</f>
        <v>#REF!</v>
      </c>
      <c r="L170" t="e">
        <f t="shared" si="4"/>
        <v>#REF!</v>
      </c>
      <c r="N170">
        <v>167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f>'[29]GABM_R03_SudipaAPI-data'!$K169</f>
        <v>3</v>
      </c>
      <c r="X170">
        <v>0</v>
      </c>
      <c r="Y170">
        <f t="shared" si="5"/>
        <v>0.3</v>
      </c>
    </row>
    <row r="171" spans="1:25" x14ac:dyDescent="0.35">
      <c r="A171">
        <v>168</v>
      </c>
      <c r="B171" t="e">
        <f>'[21]R03_GABM-data'!$K170</f>
        <v>#REF!</v>
      </c>
      <c r="C171" t="e">
        <f>'[22]GABM_R03_RossAPI-data'!$K170</f>
        <v>#REF!</v>
      </c>
      <c r="D171" t="e">
        <f>'[23]GABM_R03_RandiAPI-data'!$K170</f>
        <v>#REF!</v>
      </c>
      <c r="E171" t="e">
        <f>'[24]GABM_R03_NavidAPI-data'!$K170</f>
        <v>#REF!</v>
      </c>
      <c r="F171" t="e">
        <f>'[25]GABM_R03_Terry-data'!$K170</f>
        <v>#REF!</v>
      </c>
      <c r="G171" t="e">
        <f>'[26]GABM_R03_SarahAPI-data'!$K170</f>
        <v>#REF!</v>
      </c>
      <c r="H171" t="e">
        <f>'[27]GABM_R03_savannah-data'!$K170</f>
        <v>#REF!</v>
      </c>
      <c r="I171" t="e">
        <f>'[28]GABM_R03_MitchellAPI-data'!$K170</f>
        <v>#REF!</v>
      </c>
      <c r="J171">
        <f>'[29]GABM_R03_SudipaAPI-data'!$K170</f>
        <v>6</v>
      </c>
      <c r="K171" t="e">
        <f>'[30]R03_GABM_run2-data'!$K170</f>
        <v>#REF!</v>
      </c>
      <c r="L171" t="e">
        <f t="shared" si="4"/>
        <v>#REF!</v>
      </c>
      <c r="N171">
        <v>168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f>'[29]GABM_R03_SudipaAPI-data'!$K170</f>
        <v>6</v>
      </c>
      <c r="X171">
        <v>0</v>
      </c>
      <c r="Y171">
        <f t="shared" si="5"/>
        <v>0.6</v>
      </c>
    </row>
    <row r="172" spans="1:25" x14ac:dyDescent="0.35">
      <c r="A172">
        <v>169</v>
      </c>
      <c r="B172" t="e">
        <f>'[21]R03_GABM-data'!$K171</f>
        <v>#REF!</v>
      </c>
      <c r="C172" t="e">
        <f>'[22]GABM_R03_RossAPI-data'!$K171</f>
        <v>#REF!</v>
      </c>
      <c r="D172" t="e">
        <f>'[23]GABM_R03_RandiAPI-data'!$K171</f>
        <v>#REF!</v>
      </c>
      <c r="E172" t="e">
        <f>'[24]GABM_R03_NavidAPI-data'!$K171</f>
        <v>#REF!</v>
      </c>
      <c r="F172" t="e">
        <f>'[25]GABM_R03_Terry-data'!$K171</f>
        <v>#REF!</v>
      </c>
      <c r="G172" t="e">
        <f>'[26]GABM_R03_SarahAPI-data'!$K171</f>
        <v>#REF!</v>
      </c>
      <c r="H172" t="e">
        <f>'[27]GABM_R03_savannah-data'!$K171</f>
        <v>#REF!</v>
      </c>
      <c r="I172" t="e">
        <f>'[28]GABM_R03_MitchellAPI-data'!$K171</f>
        <v>#REF!</v>
      </c>
      <c r="J172">
        <f>'[29]GABM_R03_SudipaAPI-data'!$K171</f>
        <v>6</v>
      </c>
      <c r="K172" t="e">
        <f>'[30]R03_GABM_run2-data'!$K171</f>
        <v>#REF!</v>
      </c>
      <c r="L172" t="e">
        <f t="shared" si="4"/>
        <v>#REF!</v>
      </c>
      <c r="N172">
        <v>169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f>'[29]GABM_R03_SudipaAPI-data'!$K171</f>
        <v>6</v>
      </c>
      <c r="X172">
        <v>0</v>
      </c>
      <c r="Y172">
        <f t="shared" si="5"/>
        <v>0.6</v>
      </c>
    </row>
    <row r="173" spans="1:25" x14ac:dyDescent="0.35">
      <c r="A173">
        <v>170</v>
      </c>
      <c r="B173" t="e">
        <f>'[21]R03_GABM-data'!$K172</f>
        <v>#REF!</v>
      </c>
      <c r="C173" t="e">
        <f>'[22]GABM_R03_RossAPI-data'!$K172</f>
        <v>#REF!</v>
      </c>
      <c r="D173" t="e">
        <f>'[23]GABM_R03_RandiAPI-data'!$K172</f>
        <v>#REF!</v>
      </c>
      <c r="E173" t="e">
        <f>'[24]GABM_R03_NavidAPI-data'!$K172</f>
        <v>#REF!</v>
      </c>
      <c r="F173" t="e">
        <f>'[25]GABM_R03_Terry-data'!$K172</f>
        <v>#REF!</v>
      </c>
      <c r="G173" t="e">
        <f>'[26]GABM_R03_SarahAPI-data'!$K172</f>
        <v>#REF!</v>
      </c>
      <c r="H173" t="e">
        <f>'[27]GABM_R03_savannah-data'!$K172</f>
        <v>#REF!</v>
      </c>
      <c r="I173" t="e">
        <f>'[28]GABM_R03_MitchellAPI-data'!$K172</f>
        <v>#REF!</v>
      </c>
      <c r="J173">
        <f>'[29]GABM_R03_SudipaAPI-data'!$K172</f>
        <v>4</v>
      </c>
      <c r="K173" t="e">
        <f>'[30]R03_GABM_run2-data'!$K172</f>
        <v>#REF!</v>
      </c>
      <c r="L173" t="e">
        <f t="shared" si="4"/>
        <v>#REF!</v>
      </c>
      <c r="N173">
        <v>170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f>'[29]GABM_R03_SudipaAPI-data'!$K172</f>
        <v>4</v>
      </c>
      <c r="X173">
        <v>0</v>
      </c>
      <c r="Y173">
        <f t="shared" si="5"/>
        <v>0.4</v>
      </c>
    </row>
    <row r="174" spans="1:25" x14ac:dyDescent="0.35">
      <c r="A174">
        <v>171</v>
      </c>
      <c r="B174" t="e">
        <f>'[21]R03_GABM-data'!$K173</f>
        <v>#REF!</v>
      </c>
      <c r="C174" t="e">
        <f>'[22]GABM_R03_RossAPI-data'!$K173</f>
        <v>#REF!</v>
      </c>
      <c r="D174" t="e">
        <f>'[23]GABM_R03_RandiAPI-data'!$K173</f>
        <v>#REF!</v>
      </c>
      <c r="E174" t="e">
        <f>'[24]GABM_R03_NavidAPI-data'!$K173</f>
        <v>#REF!</v>
      </c>
      <c r="F174" t="e">
        <f>'[25]GABM_R03_Terry-data'!$K173</f>
        <v>#REF!</v>
      </c>
      <c r="G174" t="e">
        <f>'[26]GABM_R03_SarahAPI-data'!$K173</f>
        <v>#REF!</v>
      </c>
      <c r="H174" t="e">
        <f>'[27]GABM_R03_savannah-data'!$K173</f>
        <v>#REF!</v>
      </c>
      <c r="I174" t="e">
        <f>'[28]GABM_R03_MitchellAPI-data'!$K173</f>
        <v>#REF!</v>
      </c>
      <c r="J174">
        <f>'[29]GABM_R03_SudipaAPI-data'!$K173</f>
        <v>6</v>
      </c>
      <c r="K174" t="e">
        <f>'[30]R03_GABM_run2-data'!$K173</f>
        <v>#REF!</v>
      </c>
      <c r="L174" t="e">
        <f t="shared" si="4"/>
        <v>#REF!</v>
      </c>
      <c r="N174">
        <v>171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f>'[29]GABM_R03_SudipaAPI-data'!$K173</f>
        <v>6</v>
      </c>
      <c r="X174">
        <v>0</v>
      </c>
      <c r="Y174">
        <f t="shared" si="5"/>
        <v>0.6</v>
      </c>
    </row>
    <row r="175" spans="1:25" x14ac:dyDescent="0.35">
      <c r="A175">
        <v>172</v>
      </c>
      <c r="B175" t="e">
        <f>'[21]R03_GABM-data'!$K174</f>
        <v>#REF!</v>
      </c>
      <c r="C175" t="e">
        <f>'[22]GABM_R03_RossAPI-data'!$K174</f>
        <v>#REF!</v>
      </c>
      <c r="D175" t="e">
        <f>'[23]GABM_R03_RandiAPI-data'!$K174</f>
        <v>#REF!</v>
      </c>
      <c r="E175" t="e">
        <f>'[24]GABM_R03_NavidAPI-data'!$K174</f>
        <v>#REF!</v>
      </c>
      <c r="F175" t="e">
        <f>'[25]GABM_R03_Terry-data'!$K174</f>
        <v>#REF!</v>
      </c>
      <c r="G175" t="e">
        <f>'[26]GABM_R03_SarahAPI-data'!$K174</f>
        <v>#REF!</v>
      </c>
      <c r="H175" t="e">
        <f>'[27]GABM_R03_savannah-data'!$K174</f>
        <v>#REF!</v>
      </c>
      <c r="I175" t="e">
        <f>'[28]GABM_R03_MitchellAPI-data'!$K174</f>
        <v>#REF!</v>
      </c>
      <c r="J175">
        <f>'[29]GABM_R03_SudipaAPI-data'!$K174</f>
        <v>2</v>
      </c>
      <c r="K175" t="e">
        <f>'[30]R03_GABM_run2-data'!$K174</f>
        <v>#REF!</v>
      </c>
      <c r="L175" t="e">
        <f t="shared" si="4"/>
        <v>#REF!</v>
      </c>
      <c r="N175">
        <v>172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f>'[29]GABM_R03_SudipaAPI-data'!$K174</f>
        <v>2</v>
      </c>
      <c r="X175">
        <v>0</v>
      </c>
      <c r="Y175">
        <f t="shared" si="5"/>
        <v>0.2</v>
      </c>
    </row>
    <row r="176" spans="1:25" x14ac:dyDescent="0.35">
      <c r="A176">
        <v>173</v>
      </c>
      <c r="B176" t="e">
        <f>'[21]R03_GABM-data'!$K175</f>
        <v>#REF!</v>
      </c>
      <c r="C176" t="e">
        <f>'[22]GABM_R03_RossAPI-data'!$K175</f>
        <v>#REF!</v>
      </c>
      <c r="D176" t="e">
        <f>'[23]GABM_R03_RandiAPI-data'!$K175</f>
        <v>#REF!</v>
      </c>
      <c r="E176" t="e">
        <f>'[24]GABM_R03_NavidAPI-data'!$K175</f>
        <v>#REF!</v>
      </c>
      <c r="F176" t="e">
        <f>'[25]GABM_R03_Terry-data'!$K175</f>
        <v>#REF!</v>
      </c>
      <c r="G176" t="e">
        <f>'[26]GABM_R03_SarahAPI-data'!$K175</f>
        <v>#REF!</v>
      </c>
      <c r="H176" t="e">
        <f>'[27]GABM_R03_savannah-data'!$K175</f>
        <v>#REF!</v>
      </c>
      <c r="I176" t="e">
        <f>'[28]GABM_R03_MitchellAPI-data'!$K175</f>
        <v>#REF!</v>
      </c>
      <c r="J176">
        <f>'[29]GABM_R03_SudipaAPI-data'!$K175</f>
        <v>0</v>
      </c>
      <c r="K176" t="e">
        <f>'[30]R03_GABM_run2-data'!$K175</f>
        <v>#REF!</v>
      </c>
      <c r="L176" t="e">
        <f t="shared" si="4"/>
        <v>#REF!</v>
      </c>
      <c r="N176">
        <v>173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f>'[29]GABM_R03_SudipaAPI-data'!$K175</f>
        <v>0</v>
      </c>
      <c r="X176">
        <v>0</v>
      </c>
      <c r="Y176">
        <f t="shared" si="5"/>
        <v>0</v>
      </c>
    </row>
    <row r="177" spans="1:25" x14ac:dyDescent="0.35">
      <c r="A177">
        <v>174</v>
      </c>
      <c r="B177" t="e">
        <f>'[21]R03_GABM-data'!$K176</f>
        <v>#REF!</v>
      </c>
      <c r="C177" t="e">
        <f>'[22]GABM_R03_RossAPI-data'!$K176</f>
        <v>#REF!</v>
      </c>
      <c r="D177" t="e">
        <f>'[23]GABM_R03_RandiAPI-data'!$K176</f>
        <v>#REF!</v>
      </c>
      <c r="E177" t="e">
        <f>'[24]GABM_R03_NavidAPI-data'!$K176</f>
        <v>#REF!</v>
      </c>
      <c r="F177" t="e">
        <f>'[25]GABM_R03_Terry-data'!$K176</f>
        <v>#REF!</v>
      </c>
      <c r="G177" t="e">
        <f>'[26]GABM_R03_SarahAPI-data'!$K176</f>
        <v>#REF!</v>
      </c>
      <c r="H177" t="e">
        <f>'[27]GABM_R03_savannah-data'!$K176</f>
        <v>#REF!</v>
      </c>
      <c r="I177" t="e">
        <f>'[28]GABM_R03_MitchellAPI-data'!$K176</f>
        <v>#REF!</v>
      </c>
      <c r="J177">
        <f>'[29]GABM_R03_SudipaAPI-data'!$K176</f>
        <v>0</v>
      </c>
      <c r="K177" t="e">
        <f>'[30]R03_GABM_run2-data'!$K176</f>
        <v>#REF!</v>
      </c>
      <c r="L177" t="e">
        <f t="shared" si="4"/>
        <v>#REF!</v>
      </c>
      <c r="N177">
        <v>174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f>'[29]GABM_R03_SudipaAPI-data'!$K176</f>
        <v>0</v>
      </c>
      <c r="X177">
        <v>0</v>
      </c>
      <c r="Y177">
        <f t="shared" si="5"/>
        <v>0</v>
      </c>
    </row>
    <row r="178" spans="1:25" x14ac:dyDescent="0.35">
      <c r="A178">
        <v>175</v>
      </c>
      <c r="B178" t="e">
        <f>'[21]R03_GABM-data'!$K177</f>
        <v>#REF!</v>
      </c>
      <c r="C178" t="e">
        <f>'[22]GABM_R03_RossAPI-data'!$K177</f>
        <v>#REF!</v>
      </c>
      <c r="D178" t="e">
        <f>'[23]GABM_R03_RandiAPI-data'!$K177</f>
        <v>#REF!</v>
      </c>
      <c r="E178" t="e">
        <f>'[24]GABM_R03_NavidAPI-data'!$K177</f>
        <v>#REF!</v>
      </c>
      <c r="F178" t="e">
        <f>'[25]GABM_R03_Terry-data'!$K177</f>
        <v>#REF!</v>
      </c>
      <c r="G178" t="e">
        <f>'[26]GABM_R03_SarahAPI-data'!$K177</f>
        <v>#REF!</v>
      </c>
      <c r="H178" t="e">
        <f>'[27]GABM_R03_savannah-data'!$K177</f>
        <v>#REF!</v>
      </c>
      <c r="I178" t="e">
        <f>'[28]GABM_R03_MitchellAPI-data'!$K177</f>
        <v>#REF!</v>
      </c>
      <c r="J178">
        <f>'[29]GABM_R03_SudipaAPI-data'!$K177</f>
        <v>0</v>
      </c>
      <c r="K178" t="e">
        <f>'[30]R03_GABM_run2-data'!$K177</f>
        <v>#REF!</v>
      </c>
      <c r="L178" t="e">
        <f t="shared" si="4"/>
        <v>#REF!</v>
      </c>
      <c r="N178">
        <v>175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f>'[29]GABM_R03_SudipaAPI-data'!$K177</f>
        <v>0</v>
      </c>
      <c r="X178">
        <v>0</v>
      </c>
      <c r="Y178">
        <f t="shared" si="5"/>
        <v>0</v>
      </c>
    </row>
    <row r="179" spans="1:25" x14ac:dyDescent="0.35">
      <c r="A179">
        <v>176</v>
      </c>
      <c r="B179" t="e">
        <f>'[21]R03_GABM-data'!$K178</f>
        <v>#REF!</v>
      </c>
      <c r="C179" t="e">
        <f>'[22]GABM_R03_RossAPI-data'!$K178</f>
        <v>#REF!</v>
      </c>
      <c r="D179" t="e">
        <f>'[23]GABM_R03_RandiAPI-data'!$K178</f>
        <v>#REF!</v>
      </c>
      <c r="E179" t="e">
        <f>'[24]GABM_R03_NavidAPI-data'!$K178</f>
        <v>#REF!</v>
      </c>
      <c r="F179" t="e">
        <f>'[25]GABM_R03_Terry-data'!$K178</f>
        <v>#REF!</v>
      </c>
      <c r="G179" t="e">
        <f>'[26]GABM_R03_SarahAPI-data'!$K178</f>
        <v>#REF!</v>
      </c>
      <c r="H179" t="e">
        <f>'[27]GABM_R03_savannah-data'!$K178</f>
        <v>#REF!</v>
      </c>
      <c r="I179" t="e">
        <f>'[28]GABM_R03_MitchellAPI-data'!$K178</f>
        <v>#REF!</v>
      </c>
      <c r="J179">
        <f>'[29]GABM_R03_SudipaAPI-data'!$K178</f>
        <v>0</v>
      </c>
      <c r="K179" t="e">
        <f>'[30]R03_GABM_run2-data'!$K178</f>
        <v>#REF!</v>
      </c>
      <c r="L179" t="e">
        <f t="shared" si="4"/>
        <v>#REF!</v>
      </c>
      <c r="N179">
        <v>176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f>'[29]GABM_R03_SudipaAPI-data'!$K178</f>
        <v>0</v>
      </c>
      <c r="X179">
        <v>0</v>
      </c>
      <c r="Y179">
        <f t="shared" si="5"/>
        <v>0</v>
      </c>
    </row>
    <row r="180" spans="1:25" x14ac:dyDescent="0.35">
      <c r="A180">
        <v>177</v>
      </c>
      <c r="B180" t="e">
        <f>'[21]R03_GABM-data'!$K179</f>
        <v>#REF!</v>
      </c>
      <c r="C180" t="e">
        <f>'[22]GABM_R03_RossAPI-data'!$K179</f>
        <v>#REF!</v>
      </c>
      <c r="D180" t="e">
        <f>'[23]GABM_R03_RandiAPI-data'!$K179</f>
        <v>#REF!</v>
      </c>
      <c r="E180" t="e">
        <f>'[24]GABM_R03_NavidAPI-data'!$K179</f>
        <v>#REF!</v>
      </c>
      <c r="F180" t="e">
        <f>'[25]GABM_R03_Terry-data'!$K179</f>
        <v>#REF!</v>
      </c>
      <c r="G180" t="e">
        <f>'[26]GABM_R03_SarahAPI-data'!$K179</f>
        <v>#REF!</v>
      </c>
      <c r="H180" t="e">
        <f>'[27]GABM_R03_savannah-data'!$K179</f>
        <v>#REF!</v>
      </c>
      <c r="I180" t="e">
        <f>'[28]GABM_R03_MitchellAPI-data'!$K179</f>
        <v>#REF!</v>
      </c>
      <c r="J180">
        <f>'[29]GABM_R03_SudipaAPI-data'!$K179</f>
        <v>1</v>
      </c>
      <c r="K180" t="e">
        <f>'[30]R03_GABM_run2-data'!$K179</f>
        <v>#REF!</v>
      </c>
      <c r="L180" t="e">
        <f t="shared" si="4"/>
        <v>#REF!</v>
      </c>
      <c r="N180">
        <v>177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f>'[29]GABM_R03_SudipaAPI-data'!$K179</f>
        <v>1</v>
      </c>
      <c r="X180">
        <v>0</v>
      </c>
      <c r="Y180">
        <f t="shared" si="5"/>
        <v>0.1</v>
      </c>
    </row>
    <row r="181" spans="1:25" x14ac:dyDescent="0.35">
      <c r="A181">
        <v>178</v>
      </c>
      <c r="B181" t="e">
        <f>'[21]R03_GABM-data'!$K180</f>
        <v>#REF!</v>
      </c>
      <c r="C181" t="e">
        <f>'[22]GABM_R03_RossAPI-data'!$K180</f>
        <v>#REF!</v>
      </c>
      <c r="D181" t="e">
        <f>'[23]GABM_R03_RandiAPI-data'!$K180</f>
        <v>#REF!</v>
      </c>
      <c r="E181" t="e">
        <f>'[24]GABM_R03_NavidAPI-data'!$K180</f>
        <v>#REF!</v>
      </c>
      <c r="F181" t="e">
        <f>'[25]GABM_R03_Terry-data'!$K180</f>
        <v>#REF!</v>
      </c>
      <c r="G181" t="e">
        <f>'[26]GABM_R03_SarahAPI-data'!$K180</f>
        <v>#REF!</v>
      </c>
      <c r="H181" t="e">
        <f>'[27]GABM_R03_savannah-data'!$K180</f>
        <v>#REF!</v>
      </c>
      <c r="I181" t="e">
        <f>'[28]GABM_R03_MitchellAPI-data'!$K180</f>
        <v>#REF!</v>
      </c>
      <c r="J181">
        <f>'[29]GABM_R03_SudipaAPI-data'!$K180</f>
        <v>1</v>
      </c>
      <c r="K181" t="e">
        <f>'[30]R03_GABM_run2-data'!$K180</f>
        <v>#REF!</v>
      </c>
      <c r="L181" t="e">
        <f t="shared" si="4"/>
        <v>#REF!</v>
      </c>
      <c r="N181">
        <v>178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f>'[29]GABM_R03_SudipaAPI-data'!$K180</f>
        <v>1</v>
      </c>
      <c r="X181">
        <v>0</v>
      </c>
      <c r="Y181">
        <f t="shared" si="5"/>
        <v>0.1</v>
      </c>
    </row>
    <row r="182" spans="1:25" x14ac:dyDescent="0.35">
      <c r="A182">
        <v>179</v>
      </c>
      <c r="B182" t="e">
        <f>'[21]R03_GABM-data'!$K181</f>
        <v>#REF!</v>
      </c>
      <c r="C182" t="e">
        <f>'[22]GABM_R03_RossAPI-data'!$K181</f>
        <v>#REF!</v>
      </c>
      <c r="D182" t="e">
        <f>'[23]GABM_R03_RandiAPI-data'!$K181</f>
        <v>#REF!</v>
      </c>
      <c r="E182" t="e">
        <f>'[24]GABM_R03_NavidAPI-data'!$K181</f>
        <v>#REF!</v>
      </c>
      <c r="F182" t="e">
        <f>'[25]GABM_R03_Terry-data'!$K181</f>
        <v>#REF!</v>
      </c>
      <c r="G182" t="e">
        <f>'[26]GABM_R03_SarahAPI-data'!$K181</f>
        <v>#REF!</v>
      </c>
      <c r="H182" t="e">
        <f>'[27]GABM_R03_savannah-data'!$K181</f>
        <v>#REF!</v>
      </c>
      <c r="I182" t="e">
        <f>'[28]GABM_R03_MitchellAPI-data'!$K181</f>
        <v>#REF!</v>
      </c>
      <c r="J182">
        <f>'[29]GABM_R03_SudipaAPI-data'!$K181</f>
        <v>1</v>
      </c>
      <c r="K182" t="e">
        <f>'[30]R03_GABM_run2-data'!$K181</f>
        <v>#REF!</v>
      </c>
      <c r="L182" t="e">
        <f t="shared" si="4"/>
        <v>#REF!</v>
      </c>
      <c r="N182">
        <v>179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f>'[29]GABM_R03_SudipaAPI-data'!$K181</f>
        <v>1</v>
      </c>
      <c r="X182">
        <v>0</v>
      </c>
      <c r="Y182">
        <f t="shared" si="5"/>
        <v>0.1</v>
      </c>
    </row>
    <row r="183" spans="1:25" x14ac:dyDescent="0.35">
      <c r="A183">
        <v>180</v>
      </c>
      <c r="B183" t="e">
        <f>'[21]R03_GABM-data'!$K182</f>
        <v>#REF!</v>
      </c>
      <c r="C183" t="e">
        <f>'[22]GABM_R03_RossAPI-data'!$K182</f>
        <v>#REF!</v>
      </c>
      <c r="D183" t="e">
        <f>'[23]GABM_R03_RandiAPI-data'!$K182</f>
        <v>#REF!</v>
      </c>
      <c r="E183" t="e">
        <f>'[24]GABM_R03_NavidAPI-data'!$K182</f>
        <v>#REF!</v>
      </c>
      <c r="F183" t="e">
        <f>'[25]GABM_R03_Terry-data'!$K182</f>
        <v>#REF!</v>
      </c>
      <c r="G183" t="e">
        <f>'[26]GABM_R03_SarahAPI-data'!$K182</f>
        <v>#REF!</v>
      </c>
      <c r="H183" t="e">
        <f>'[27]GABM_R03_savannah-data'!$K182</f>
        <v>#REF!</v>
      </c>
      <c r="I183" t="e">
        <f>'[28]GABM_R03_MitchellAPI-data'!$K182</f>
        <v>#REF!</v>
      </c>
      <c r="J183">
        <f>'[29]GABM_R03_SudipaAPI-data'!$K182</f>
        <v>2</v>
      </c>
      <c r="K183" t="e">
        <f>'[30]R03_GABM_run2-data'!$K182</f>
        <v>#REF!</v>
      </c>
      <c r="L183" t="e">
        <f t="shared" si="4"/>
        <v>#REF!</v>
      </c>
      <c r="N183">
        <v>180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f>'[29]GABM_R03_SudipaAPI-data'!$K182</f>
        <v>2</v>
      </c>
      <c r="X183">
        <v>0</v>
      </c>
      <c r="Y183">
        <f t="shared" si="5"/>
        <v>0.2</v>
      </c>
    </row>
    <row r="184" spans="1:25" x14ac:dyDescent="0.35">
      <c r="A184">
        <v>181</v>
      </c>
      <c r="B184" t="e">
        <f>'[21]R03_GABM-data'!$K183</f>
        <v>#REF!</v>
      </c>
      <c r="C184" t="e">
        <f>'[22]GABM_R03_RossAPI-data'!$K183</f>
        <v>#REF!</v>
      </c>
      <c r="D184" t="e">
        <f>'[23]GABM_R03_RandiAPI-data'!$K183</f>
        <v>#REF!</v>
      </c>
      <c r="E184" t="e">
        <f>'[24]GABM_R03_NavidAPI-data'!$K183</f>
        <v>#REF!</v>
      </c>
      <c r="F184" t="e">
        <f>'[25]GABM_R03_Terry-data'!$K183</f>
        <v>#REF!</v>
      </c>
      <c r="G184" t="e">
        <f>'[26]GABM_R03_SarahAPI-data'!$K183</f>
        <v>#REF!</v>
      </c>
      <c r="H184" t="e">
        <f>'[27]GABM_R03_savannah-data'!$K183</f>
        <v>#REF!</v>
      </c>
      <c r="I184" t="e">
        <f>'[28]GABM_R03_MitchellAPI-data'!$K183</f>
        <v>#REF!</v>
      </c>
      <c r="J184">
        <f>'[29]GABM_R03_SudipaAPI-data'!$K183</f>
        <v>0</v>
      </c>
      <c r="K184" t="e">
        <f>'[30]R03_GABM_run2-data'!$K183</f>
        <v>#REF!</v>
      </c>
      <c r="L184" t="e">
        <f t="shared" si="4"/>
        <v>#REF!</v>
      </c>
      <c r="N184">
        <v>181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f>'[29]GABM_R03_SudipaAPI-data'!$K183</f>
        <v>0</v>
      </c>
      <c r="X184">
        <v>0</v>
      </c>
      <c r="Y184">
        <f t="shared" si="5"/>
        <v>0</v>
      </c>
    </row>
    <row r="185" spans="1:25" x14ac:dyDescent="0.35">
      <c r="A185">
        <v>182</v>
      </c>
      <c r="B185" t="e">
        <f>'[21]R03_GABM-data'!$K184</f>
        <v>#REF!</v>
      </c>
      <c r="C185" t="e">
        <f>'[22]GABM_R03_RossAPI-data'!$K184</f>
        <v>#REF!</v>
      </c>
      <c r="D185" t="e">
        <f>'[23]GABM_R03_RandiAPI-data'!$K184</f>
        <v>#REF!</v>
      </c>
      <c r="E185" t="e">
        <f>'[24]GABM_R03_NavidAPI-data'!$K184</f>
        <v>#REF!</v>
      </c>
      <c r="F185" t="e">
        <f>'[25]GABM_R03_Terry-data'!$K184</f>
        <v>#REF!</v>
      </c>
      <c r="G185" t="e">
        <f>'[26]GABM_R03_SarahAPI-data'!$K184</f>
        <v>#REF!</v>
      </c>
      <c r="H185" t="e">
        <f>'[27]GABM_R03_savannah-data'!$K184</f>
        <v>#REF!</v>
      </c>
      <c r="I185" t="e">
        <f>'[28]GABM_R03_MitchellAPI-data'!$K184</f>
        <v>#REF!</v>
      </c>
      <c r="J185">
        <f>'[29]GABM_R03_SudipaAPI-data'!$K184</f>
        <v>1</v>
      </c>
      <c r="K185" t="e">
        <f>'[30]R03_GABM_run2-data'!$K184</f>
        <v>#REF!</v>
      </c>
      <c r="L185" t="e">
        <f t="shared" si="4"/>
        <v>#REF!</v>
      </c>
      <c r="N185">
        <v>182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f>'[29]GABM_R03_SudipaAPI-data'!$K184</f>
        <v>1</v>
      </c>
      <c r="X185">
        <v>0</v>
      </c>
      <c r="Y185">
        <f t="shared" si="5"/>
        <v>0.1</v>
      </c>
    </row>
    <row r="186" spans="1:25" x14ac:dyDescent="0.35">
      <c r="A186">
        <v>183</v>
      </c>
      <c r="B186" t="e">
        <f>'[21]R03_GABM-data'!$K185</f>
        <v>#REF!</v>
      </c>
      <c r="C186" t="e">
        <f>'[22]GABM_R03_RossAPI-data'!$K185</f>
        <v>#REF!</v>
      </c>
      <c r="D186" t="e">
        <f>'[23]GABM_R03_RandiAPI-data'!$K185</f>
        <v>#REF!</v>
      </c>
      <c r="E186" t="e">
        <f>'[24]GABM_R03_NavidAPI-data'!$K185</f>
        <v>#REF!</v>
      </c>
      <c r="F186" t="e">
        <f>'[25]GABM_R03_Terry-data'!$K185</f>
        <v>#REF!</v>
      </c>
      <c r="G186" t="e">
        <f>'[26]GABM_R03_SarahAPI-data'!$K185</f>
        <v>#REF!</v>
      </c>
      <c r="H186" t="e">
        <f>'[27]GABM_R03_savannah-data'!$K185</f>
        <v>#REF!</v>
      </c>
      <c r="I186" t="e">
        <f>'[28]GABM_R03_MitchellAPI-data'!$K185</f>
        <v>#REF!</v>
      </c>
      <c r="J186">
        <f>'[29]GABM_R03_SudipaAPI-data'!$K185</f>
        <v>1</v>
      </c>
      <c r="K186" t="e">
        <f>'[30]R03_GABM_run2-data'!$K185</f>
        <v>#REF!</v>
      </c>
      <c r="L186" t="e">
        <f t="shared" si="4"/>
        <v>#REF!</v>
      </c>
      <c r="N186">
        <v>183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f>'[29]GABM_R03_SudipaAPI-data'!$K185</f>
        <v>1</v>
      </c>
      <c r="X186">
        <v>0</v>
      </c>
      <c r="Y186">
        <f t="shared" si="5"/>
        <v>0.1</v>
      </c>
    </row>
    <row r="187" spans="1:25" x14ac:dyDescent="0.35">
      <c r="A187">
        <v>184</v>
      </c>
      <c r="B187" t="e">
        <f>'[21]R03_GABM-data'!$K186</f>
        <v>#REF!</v>
      </c>
      <c r="C187" t="e">
        <f>'[22]GABM_R03_RossAPI-data'!$K186</f>
        <v>#REF!</v>
      </c>
      <c r="D187" t="e">
        <f>'[23]GABM_R03_RandiAPI-data'!$K186</f>
        <v>#REF!</v>
      </c>
      <c r="E187" t="e">
        <f>'[24]GABM_R03_NavidAPI-data'!$K186</f>
        <v>#REF!</v>
      </c>
      <c r="F187" t="e">
        <f>'[25]GABM_R03_Terry-data'!$K186</f>
        <v>#REF!</v>
      </c>
      <c r="G187" t="e">
        <f>'[26]GABM_R03_SarahAPI-data'!$K186</f>
        <v>#REF!</v>
      </c>
      <c r="H187" t="e">
        <f>'[27]GABM_R03_savannah-data'!$K186</f>
        <v>#REF!</v>
      </c>
      <c r="I187" t="e">
        <f>'[28]GABM_R03_MitchellAPI-data'!$K186</f>
        <v>#REF!</v>
      </c>
      <c r="J187">
        <f>'[29]GABM_R03_SudipaAPI-data'!$K186</f>
        <v>0</v>
      </c>
      <c r="K187" t="e">
        <f>'[30]R03_GABM_run2-data'!$K186</f>
        <v>#REF!</v>
      </c>
      <c r="L187" t="e">
        <f t="shared" si="4"/>
        <v>#REF!</v>
      </c>
      <c r="N187">
        <v>184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f>'[29]GABM_R03_SudipaAPI-data'!$K186</f>
        <v>0</v>
      </c>
      <c r="X187">
        <v>0</v>
      </c>
      <c r="Y187">
        <f t="shared" si="5"/>
        <v>0</v>
      </c>
    </row>
    <row r="188" spans="1:25" x14ac:dyDescent="0.35">
      <c r="A188">
        <v>185</v>
      </c>
      <c r="B188" t="e">
        <f>'[21]R03_GABM-data'!$K187</f>
        <v>#REF!</v>
      </c>
      <c r="C188" t="e">
        <f>'[22]GABM_R03_RossAPI-data'!$K187</f>
        <v>#REF!</v>
      </c>
      <c r="D188" t="e">
        <f>'[23]GABM_R03_RandiAPI-data'!$K187</f>
        <v>#REF!</v>
      </c>
      <c r="E188" t="e">
        <f>'[24]GABM_R03_NavidAPI-data'!$K187</f>
        <v>#REF!</v>
      </c>
      <c r="F188" t="e">
        <f>'[25]GABM_R03_Terry-data'!$K187</f>
        <v>#REF!</v>
      </c>
      <c r="G188" t="e">
        <f>'[26]GABM_R03_SarahAPI-data'!$K187</f>
        <v>#REF!</v>
      </c>
      <c r="H188" t="e">
        <f>'[27]GABM_R03_savannah-data'!$K187</f>
        <v>#REF!</v>
      </c>
      <c r="I188" t="e">
        <f>'[28]GABM_R03_MitchellAPI-data'!$K187</f>
        <v>#REF!</v>
      </c>
      <c r="J188">
        <f>'[29]GABM_R03_SudipaAPI-data'!$K187</f>
        <v>2</v>
      </c>
      <c r="K188" t="e">
        <f>'[30]R03_GABM_run2-data'!$K187</f>
        <v>#REF!</v>
      </c>
      <c r="L188" t="e">
        <f t="shared" si="4"/>
        <v>#REF!</v>
      </c>
      <c r="N188">
        <v>185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f>'[29]GABM_R03_SudipaAPI-data'!$K187</f>
        <v>2</v>
      </c>
      <c r="X188">
        <v>0</v>
      </c>
      <c r="Y188">
        <f t="shared" si="5"/>
        <v>0.2</v>
      </c>
    </row>
    <row r="189" spans="1:25" x14ac:dyDescent="0.35">
      <c r="A189">
        <v>186</v>
      </c>
      <c r="B189" t="e">
        <f>'[21]R03_GABM-data'!$K188</f>
        <v>#REF!</v>
      </c>
      <c r="C189" t="e">
        <f>'[22]GABM_R03_RossAPI-data'!$K188</f>
        <v>#REF!</v>
      </c>
      <c r="D189" t="e">
        <f>'[23]GABM_R03_RandiAPI-data'!$K188</f>
        <v>#REF!</v>
      </c>
      <c r="E189" t="e">
        <f>'[24]GABM_R03_NavidAPI-data'!$K188</f>
        <v>#REF!</v>
      </c>
      <c r="F189" t="e">
        <f>'[25]GABM_R03_Terry-data'!$K188</f>
        <v>#REF!</v>
      </c>
      <c r="G189" t="e">
        <f>'[26]GABM_R03_SarahAPI-data'!$K188</f>
        <v>#REF!</v>
      </c>
      <c r="H189" t="e">
        <f>'[27]GABM_R03_savannah-data'!$K188</f>
        <v>#REF!</v>
      </c>
      <c r="I189" t="e">
        <f>'[28]GABM_R03_MitchellAPI-data'!$K188</f>
        <v>#REF!</v>
      </c>
      <c r="J189">
        <f>'[29]GABM_R03_SudipaAPI-data'!$K188</f>
        <v>1</v>
      </c>
      <c r="K189" t="e">
        <f>'[30]R03_GABM_run2-data'!$K188</f>
        <v>#REF!</v>
      </c>
      <c r="L189" t="e">
        <f t="shared" si="4"/>
        <v>#REF!</v>
      </c>
      <c r="N189">
        <v>186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f>'[29]GABM_R03_SudipaAPI-data'!$K188</f>
        <v>1</v>
      </c>
      <c r="X189">
        <v>0</v>
      </c>
      <c r="Y189">
        <f t="shared" si="5"/>
        <v>0.1</v>
      </c>
    </row>
    <row r="190" spans="1:25" x14ac:dyDescent="0.35">
      <c r="A190">
        <v>187</v>
      </c>
      <c r="B190" t="e">
        <f>'[21]R03_GABM-data'!$K189</f>
        <v>#REF!</v>
      </c>
      <c r="C190" t="e">
        <f>'[22]GABM_R03_RossAPI-data'!$K189</f>
        <v>#REF!</v>
      </c>
      <c r="D190" t="e">
        <f>'[23]GABM_R03_RandiAPI-data'!$K189</f>
        <v>#REF!</v>
      </c>
      <c r="E190" t="e">
        <f>'[24]GABM_R03_NavidAPI-data'!$K189</f>
        <v>#REF!</v>
      </c>
      <c r="F190" t="e">
        <f>'[25]GABM_R03_Terry-data'!$K189</f>
        <v>#REF!</v>
      </c>
      <c r="G190" t="e">
        <f>'[26]GABM_R03_SarahAPI-data'!$K189</f>
        <v>#REF!</v>
      </c>
      <c r="H190" t="e">
        <f>'[27]GABM_R03_savannah-data'!$K189</f>
        <v>#REF!</v>
      </c>
      <c r="I190" t="e">
        <f>'[28]GABM_R03_MitchellAPI-data'!$K189</f>
        <v>#REF!</v>
      </c>
      <c r="J190">
        <f>'[29]GABM_R03_SudipaAPI-data'!$K189</f>
        <v>1</v>
      </c>
      <c r="K190" t="e">
        <f>'[30]R03_GABM_run2-data'!$K189</f>
        <v>#REF!</v>
      </c>
      <c r="L190" t="e">
        <f t="shared" si="4"/>
        <v>#REF!</v>
      </c>
      <c r="N190">
        <v>187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f>'[29]GABM_R03_SudipaAPI-data'!$K189</f>
        <v>1</v>
      </c>
      <c r="X190">
        <v>0</v>
      </c>
      <c r="Y190">
        <f t="shared" si="5"/>
        <v>0.1</v>
      </c>
    </row>
    <row r="191" spans="1:25" x14ac:dyDescent="0.35">
      <c r="A191">
        <v>188</v>
      </c>
      <c r="B191" t="e">
        <f>'[21]R03_GABM-data'!$K190</f>
        <v>#REF!</v>
      </c>
      <c r="C191" t="e">
        <f>'[22]GABM_R03_RossAPI-data'!$K190</f>
        <v>#REF!</v>
      </c>
      <c r="D191" t="e">
        <f>'[23]GABM_R03_RandiAPI-data'!$K190</f>
        <v>#REF!</v>
      </c>
      <c r="E191" t="e">
        <f>'[24]GABM_R03_NavidAPI-data'!$K190</f>
        <v>#REF!</v>
      </c>
      <c r="F191" t="e">
        <f>'[25]GABM_R03_Terry-data'!$K190</f>
        <v>#REF!</v>
      </c>
      <c r="G191" t="e">
        <f>'[26]GABM_R03_SarahAPI-data'!$K190</f>
        <v>#REF!</v>
      </c>
      <c r="H191" t="e">
        <f>'[27]GABM_R03_savannah-data'!$K190</f>
        <v>#REF!</v>
      </c>
      <c r="I191" t="e">
        <f>'[28]GABM_R03_MitchellAPI-data'!$K190</f>
        <v>#REF!</v>
      </c>
      <c r="J191">
        <f>'[29]GABM_R03_SudipaAPI-data'!$K190</f>
        <v>1</v>
      </c>
      <c r="K191" t="e">
        <f>'[30]R03_GABM_run2-data'!$K190</f>
        <v>#REF!</v>
      </c>
      <c r="L191" t="e">
        <f t="shared" si="4"/>
        <v>#REF!</v>
      </c>
      <c r="N191">
        <v>188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f>'[29]GABM_R03_SudipaAPI-data'!$K190</f>
        <v>1</v>
      </c>
      <c r="X191">
        <v>0</v>
      </c>
      <c r="Y191">
        <f t="shared" si="5"/>
        <v>0.1</v>
      </c>
    </row>
    <row r="192" spans="1:25" x14ac:dyDescent="0.35">
      <c r="A192">
        <v>189</v>
      </c>
      <c r="B192" t="e">
        <f>'[21]R03_GABM-data'!$K191</f>
        <v>#REF!</v>
      </c>
      <c r="C192" t="e">
        <f>'[22]GABM_R03_RossAPI-data'!$K191</f>
        <v>#REF!</v>
      </c>
      <c r="D192" t="e">
        <f>'[23]GABM_R03_RandiAPI-data'!$K191</f>
        <v>#REF!</v>
      </c>
      <c r="E192" t="e">
        <f>'[24]GABM_R03_NavidAPI-data'!$K191</f>
        <v>#REF!</v>
      </c>
      <c r="F192" t="e">
        <f>'[25]GABM_R03_Terry-data'!$K191</f>
        <v>#REF!</v>
      </c>
      <c r="G192" t="e">
        <f>'[26]GABM_R03_SarahAPI-data'!$K191</f>
        <v>#REF!</v>
      </c>
      <c r="H192" t="e">
        <f>'[27]GABM_R03_savannah-data'!$K191</f>
        <v>#REF!</v>
      </c>
      <c r="I192" t="e">
        <f>'[28]GABM_R03_MitchellAPI-data'!$K191</f>
        <v>#REF!</v>
      </c>
      <c r="J192">
        <f>'[29]GABM_R03_SudipaAPI-data'!$K191</f>
        <v>2</v>
      </c>
      <c r="K192" t="e">
        <f>'[30]R03_GABM_run2-data'!$K191</f>
        <v>#REF!</v>
      </c>
      <c r="L192" t="e">
        <f t="shared" si="4"/>
        <v>#REF!</v>
      </c>
      <c r="N192">
        <v>189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f>'[29]GABM_R03_SudipaAPI-data'!$K191</f>
        <v>2</v>
      </c>
      <c r="X192">
        <v>0</v>
      </c>
      <c r="Y192">
        <f t="shared" si="5"/>
        <v>0.2</v>
      </c>
    </row>
    <row r="193" spans="1:25" x14ac:dyDescent="0.35">
      <c r="A193">
        <v>190</v>
      </c>
      <c r="B193" t="e">
        <f>'[21]R03_GABM-data'!$K192</f>
        <v>#REF!</v>
      </c>
      <c r="C193" t="e">
        <f>'[22]GABM_R03_RossAPI-data'!$K192</f>
        <v>#REF!</v>
      </c>
      <c r="D193" t="e">
        <f>'[23]GABM_R03_RandiAPI-data'!$K192</f>
        <v>#REF!</v>
      </c>
      <c r="E193" t="e">
        <f>'[24]GABM_R03_NavidAPI-data'!$K192</f>
        <v>#REF!</v>
      </c>
      <c r="F193" t="e">
        <f>'[25]GABM_R03_Terry-data'!$K192</f>
        <v>#REF!</v>
      </c>
      <c r="G193" t="e">
        <f>'[26]GABM_R03_SarahAPI-data'!$K192</f>
        <v>#REF!</v>
      </c>
      <c r="H193" t="e">
        <f>'[27]GABM_R03_savannah-data'!$K192</f>
        <v>#REF!</v>
      </c>
      <c r="I193" t="e">
        <f>'[28]GABM_R03_MitchellAPI-data'!$K192</f>
        <v>#REF!</v>
      </c>
      <c r="J193">
        <f>'[29]GABM_R03_SudipaAPI-data'!$K192</f>
        <v>2</v>
      </c>
      <c r="K193" t="e">
        <f>'[30]R03_GABM_run2-data'!$K192</f>
        <v>#REF!</v>
      </c>
      <c r="L193" t="e">
        <f t="shared" si="4"/>
        <v>#REF!</v>
      </c>
      <c r="N193">
        <v>190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f>'[29]GABM_R03_SudipaAPI-data'!$K192</f>
        <v>2</v>
      </c>
      <c r="X193">
        <v>0</v>
      </c>
      <c r="Y193">
        <f t="shared" si="5"/>
        <v>0.2</v>
      </c>
    </row>
    <row r="194" spans="1:25" x14ac:dyDescent="0.35">
      <c r="A194">
        <v>191</v>
      </c>
      <c r="B194" t="e">
        <f>'[21]R03_GABM-data'!$K193</f>
        <v>#REF!</v>
      </c>
      <c r="C194" t="e">
        <f>'[22]GABM_R03_RossAPI-data'!$K193</f>
        <v>#REF!</v>
      </c>
      <c r="D194" t="e">
        <f>'[23]GABM_R03_RandiAPI-data'!$K193</f>
        <v>#REF!</v>
      </c>
      <c r="E194" t="e">
        <f>'[24]GABM_R03_NavidAPI-data'!$K193</f>
        <v>#REF!</v>
      </c>
      <c r="F194" t="e">
        <f>'[25]GABM_R03_Terry-data'!$K193</f>
        <v>#REF!</v>
      </c>
      <c r="G194" t="e">
        <f>'[26]GABM_R03_SarahAPI-data'!$K193</f>
        <v>#REF!</v>
      </c>
      <c r="H194" t="e">
        <f>'[27]GABM_R03_savannah-data'!$K193</f>
        <v>#REF!</v>
      </c>
      <c r="I194" t="e">
        <f>'[28]GABM_R03_MitchellAPI-data'!$K193</f>
        <v>#REF!</v>
      </c>
      <c r="J194">
        <f>'[29]GABM_R03_SudipaAPI-data'!$K193</f>
        <v>1</v>
      </c>
      <c r="K194" t="e">
        <f>'[30]R03_GABM_run2-data'!$K193</f>
        <v>#REF!</v>
      </c>
      <c r="L194" t="e">
        <f t="shared" si="4"/>
        <v>#REF!</v>
      </c>
      <c r="N194">
        <v>191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f>'[29]GABM_R03_SudipaAPI-data'!$K193</f>
        <v>1</v>
      </c>
      <c r="X194">
        <v>0</v>
      </c>
      <c r="Y194">
        <f t="shared" si="5"/>
        <v>0.1</v>
      </c>
    </row>
    <row r="195" spans="1:25" x14ac:dyDescent="0.35">
      <c r="A195">
        <v>192</v>
      </c>
      <c r="B195" t="e">
        <f>'[21]R03_GABM-data'!$K194</f>
        <v>#REF!</v>
      </c>
      <c r="C195" t="e">
        <f>'[22]GABM_R03_RossAPI-data'!$K194</f>
        <v>#REF!</v>
      </c>
      <c r="D195" t="e">
        <f>'[23]GABM_R03_RandiAPI-data'!$K194</f>
        <v>#REF!</v>
      </c>
      <c r="E195" t="e">
        <f>'[24]GABM_R03_NavidAPI-data'!$K194</f>
        <v>#REF!</v>
      </c>
      <c r="F195" t="e">
        <f>'[25]GABM_R03_Terry-data'!$K194</f>
        <v>#REF!</v>
      </c>
      <c r="G195" t="e">
        <f>'[26]GABM_R03_SarahAPI-data'!$K194</f>
        <v>#REF!</v>
      </c>
      <c r="H195" t="e">
        <f>'[27]GABM_R03_savannah-data'!$K194</f>
        <v>#REF!</v>
      </c>
      <c r="I195" t="e">
        <f>'[28]GABM_R03_MitchellAPI-data'!$K194</f>
        <v>#REF!</v>
      </c>
      <c r="J195">
        <f>'[29]GABM_R03_SudipaAPI-data'!$K194</f>
        <v>1</v>
      </c>
      <c r="K195" t="e">
        <f>'[30]R03_GABM_run2-data'!$K194</f>
        <v>#REF!</v>
      </c>
      <c r="L195" t="e">
        <f t="shared" si="4"/>
        <v>#REF!</v>
      </c>
      <c r="N195">
        <v>192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f>'[29]GABM_R03_SudipaAPI-data'!$K194</f>
        <v>1</v>
      </c>
      <c r="X195">
        <v>0</v>
      </c>
      <c r="Y195">
        <f t="shared" si="5"/>
        <v>0.1</v>
      </c>
    </row>
    <row r="196" spans="1:25" x14ac:dyDescent="0.35">
      <c r="A196">
        <v>193</v>
      </c>
      <c r="B196" t="e">
        <f>'[21]R03_GABM-data'!$K195</f>
        <v>#REF!</v>
      </c>
      <c r="C196" t="e">
        <f>'[22]GABM_R03_RossAPI-data'!$K195</f>
        <v>#REF!</v>
      </c>
      <c r="D196" t="e">
        <f>'[23]GABM_R03_RandiAPI-data'!$K195</f>
        <v>#REF!</v>
      </c>
      <c r="E196" t="e">
        <f>'[24]GABM_R03_NavidAPI-data'!$K195</f>
        <v>#REF!</v>
      </c>
      <c r="F196" t="e">
        <f>'[25]GABM_R03_Terry-data'!$K195</f>
        <v>#REF!</v>
      </c>
      <c r="G196" t="e">
        <f>'[26]GABM_R03_SarahAPI-data'!$K195</f>
        <v>#REF!</v>
      </c>
      <c r="H196" t="e">
        <f>'[27]GABM_R03_savannah-data'!$K195</f>
        <v>#REF!</v>
      </c>
      <c r="I196" t="e">
        <f>'[28]GABM_R03_MitchellAPI-data'!$K195</f>
        <v>#REF!</v>
      </c>
      <c r="J196">
        <f>'[29]GABM_R03_SudipaAPI-data'!$K195</f>
        <v>1</v>
      </c>
      <c r="K196" t="e">
        <f>'[30]R03_GABM_run2-data'!$K195</f>
        <v>#REF!</v>
      </c>
      <c r="L196" t="e">
        <f t="shared" ref="L196:L200" si="6">AVERAGE(B196:K196)</f>
        <v>#REF!</v>
      </c>
      <c r="N196">
        <v>193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f>'[29]GABM_R03_SudipaAPI-data'!$K195</f>
        <v>1</v>
      </c>
      <c r="X196">
        <v>0</v>
      </c>
      <c r="Y196">
        <f t="shared" ref="Y196:Y200" si="7">AVERAGE(O196:X196)</f>
        <v>0.1</v>
      </c>
    </row>
    <row r="197" spans="1:25" x14ac:dyDescent="0.35">
      <c r="A197">
        <v>194</v>
      </c>
      <c r="B197" t="e">
        <f>'[21]R03_GABM-data'!$K196</f>
        <v>#REF!</v>
      </c>
      <c r="C197" t="e">
        <f>'[22]GABM_R03_RossAPI-data'!$K196</f>
        <v>#REF!</v>
      </c>
      <c r="D197" t="e">
        <f>'[23]GABM_R03_RandiAPI-data'!$K196</f>
        <v>#REF!</v>
      </c>
      <c r="E197" t="e">
        <f>'[24]GABM_R03_NavidAPI-data'!$K196</f>
        <v>#REF!</v>
      </c>
      <c r="F197" t="e">
        <f>'[25]GABM_R03_Terry-data'!$K196</f>
        <v>#REF!</v>
      </c>
      <c r="G197" t="e">
        <f>'[26]GABM_R03_SarahAPI-data'!$K196</f>
        <v>#REF!</v>
      </c>
      <c r="H197" t="e">
        <f>'[27]GABM_R03_savannah-data'!$K196</f>
        <v>#REF!</v>
      </c>
      <c r="I197" t="e">
        <f>'[28]GABM_R03_MitchellAPI-data'!$K196</f>
        <v>#REF!</v>
      </c>
      <c r="J197">
        <f>'[29]GABM_R03_SudipaAPI-data'!$K196</f>
        <v>1</v>
      </c>
      <c r="K197" t="e">
        <f>'[30]R03_GABM_run2-data'!$K196</f>
        <v>#REF!</v>
      </c>
      <c r="L197" t="e">
        <f t="shared" si="6"/>
        <v>#REF!</v>
      </c>
      <c r="N197">
        <v>194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f>'[29]GABM_R03_SudipaAPI-data'!$K196</f>
        <v>1</v>
      </c>
      <c r="X197">
        <v>0</v>
      </c>
      <c r="Y197">
        <f t="shared" si="7"/>
        <v>0.1</v>
      </c>
    </row>
    <row r="198" spans="1:25" x14ac:dyDescent="0.35">
      <c r="A198">
        <v>195</v>
      </c>
      <c r="B198" t="e">
        <f>'[21]R03_GABM-data'!$K197</f>
        <v>#REF!</v>
      </c>
      <c r="C198" t="e">
        <f>'[22]GABM_R03_RossAPI-data'!$K197</f>
        <v>#REF!</v>
      </c>
      <c r="D198" t="e">
        <f>'[23]GABM_R03_RandiAPI-data'!$K197</f>
        <v>#REF!</v>
      </c>
      <c r="E198" t="e">
        <f>'[24]GABM_R03_NavidAPI-data'!$K197</f>
        <v>#REF!</v>
      </c>
      <c r="F198" t="e">
        <f>'[25]GABM_R03_Terry-data'!$K197</f>
        <v>#REF!</v>
      </c>
      <c r="G198" t="e">
        <f>'[26]GABM_R03_SarahAPI-data'!$K197</f>
        <v>#REF!</v>
      </c>
      <c r="H198" t="e">
        <f>'[27]GABM_R03_savannah-data'!$K197</f>
        <v>#REF!</v>
      </c>
      <c r="I198" t="e">
        <f>'[28]GABM_R03_MitchellAPI-data'!$K197</f>
        <v>#REF!</v>
      </c>
      <c r="J198">
        <f>'[29]GABM_R03_SudipaAPI-data'!$K197</f>
        <v>0</v>
      </c>
      <c r="K198" t="e">
        <f>'[30]R03_GABM_run2-data'!$K197</f>
        <v>#REF!</v>
      </c>
      <c r="L198" t="e">
        <f t="shared" si="6"/>
        <v>#REF!</v>
      </c>
      <c r="N198">
        <v>195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f>'[29]GABM_R03_SudipaAPI-data'!$K197</f>
        <v>0</v>
      </c>
      <c r="X198">
        <v>0</v>
      </c>
      <c r="Y198">
        <f t="shared" si="7"/>
        <v>0</v>
      </c>
    </row>
    <row r="199" spans="1:25" x14ac:dyDescent="0.35">
      <c r="A199">
        <v>196</v>
      </c>
      <c r="B199" t="e">
        <f>'[21]R03_GABM-data'!$K198</f>
        <v>#REF!</v>
      </c>
      <c r="C199" t="e">
        <f>'[22]GABM_R03_RossAPI-data'!$K198</f>
        <v>#REF!</v>
      </c>
      <c r="D199" t="e">
        <f>'[23]GABM_R03_RandiAPI-data'!$K198</f>
        <v>#REF!</v>
      </c>
      <c r="E199" t="e">
        <f>'[24]GABM_R03_NavidAPI-data'!$K198</f>
        <v>#REF!</v>
      </c>
      <c r="F199" t="e">
        <f>'[25]GABM_R03_Terry-data'!$K198</f>
        <v>#REF!</v>
      </c>
      <c r="G199" t="e">
        <f>'[26]GABM_R03_SarahAPI-data'!$K198</f>
        <v>#REF!</v>
      </c>
      <c r="H199" t="e">
        <f>'[27]GABM_R03_savannah-data'!$K198</f>
        <v>#REF!</v>
      </c>
      <c r="I199" t="e">
        <f>'[28]GABM_R03_MitchellAPI-data'!$K198</f>
        <v>#REF!</v>
      </c>
      <c r="J199">
        <f>'[29]GABM_R03_SudipaAPI-data'!$K198</f>
        <v>0</v>
      </c>
      <c r="K199" t="e">
        <f>'[30]R03_GABM_run2-data'!$K198</f>
        <v>#REF!</v>
      </c>
      <c r="L199" t="e">
        <f t="shared" si="6"/>
        <v>#REF!</v>
      </c>
      <c r="N199">
        <v>196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f>'[29]GABM_R03_SudipaAPI-data'!$K198</f>
        <v>0</v>
      </c>
      <c r="X199">
        <v>0</v>
      </c>
      <c r="Y199">
        <f t="shared" si="7"/>
        <v>0</v>
      </c>
    </row>
    <row r="200" spans="1:25" x14ac:dyDescent="0.35">
      <c r="A200">
        <v>197</v>
      </c>
      <c r="B200" t="e">
        <f>'[21]R03_GABM-data'!$K199</f>
        <v>#REF!</v>
      </c>
      <c r="C200" t="e">
        <f>'[22]GABM_R03_RossAPI-data'!$K199</f>
        <v>#REF!</v>
      </c>
      <c r="D200" t="e">
        <f>'[23]GABM_R03_RandiAPI-data'!$K199</f>
        <v>#REF!</v>
      </c>
      <c r="E200" t="e">
        <f>'[24]GABM_R03_NavidAPI-data'!$K199</f>
        <v>#REF!</v>
      </c>
      <c r="F200" t="e">
        <f>'[25]GABM_R03_Terry-data'!$K199</f>
        <v>#REF!</v>
      </c>
      <c r="G200" t="e">
        <f>'[26]GABM_R03_SarahAPI-data'!$K199</f>
        <v>#REF!</v>
      </c>
      <c r="H200" t="e">
        <f>'[27]GABM_R03_savannah-data'!$K199</f>
        <v>#REF!</v>
      </c>
      <c r="I200" t="e">
        <f>'[28]GABM_R03_MitchellAPI-data'!$K199</f>
        <v>#REF!</v>
      </c>
      <c r="J200">
        <f>'[29]GABM_R03_SudipaAPI-data'!$K199</f>
        <v>0</v>
      </c>
      <c r="K200" t="e">
        <f>'[30]R03_GABM_run2-data'!$K199</f>
        <v>#REF!</v>
      </c>
      <c r="L200" t="e">
        <f t="shared" si="6"/>
        <v>#REF!</v>
      </c>
      <c r="N200">
        <v>197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f>'[29]GABM_R03_SudipaAPI-data'!$K199</f>
        <v>0</v>
      </c>
      <c r="X200">
        <v>0</v>
      </c>
      <c r="Y200">
        <f t="shared" si="7"/>
        <v>0</v>
      </c>
    </row>
    <row r="203" spans="1:25" x14ac:dyDescent="0.35">
      <c r="A203" t="s">
        <v>48</v>
      </c>
      <c r="B203">
        <v>76</v>
      </c>
      <c r="C203">
        <v>75</v>
      </c>
      <c r="D203">
        <v>53</v>
      </c>
      <c r="E203">
        <v>76</v>
      </c>
      <c r="F203">
        <v>85</v>
      </c>
      <c r="G203">
        <v>123</v>
      </c>
      <c r="H203">
        <v>89</v>
      </c>
      <c r="I203">
        <v>115</v>
      </c>
      <c r="J203">
        <v>197</v>
      </c>
      <c r="K203">
        <v>96</v>
      </c>
    </row>
    <row r="205" spans="1:25" x14ac:dyDescent="0.35">
      <c r="A205" t="s">
        <v>44</v>
      </c>
      <c r="B205">
        <f>MEDIAN(B203:K203)</f>
        <v>87</v>
      </c>
    </row>
    <row r="206" spans="1:25" x14ac:dyDescent="0.35">
      <c r="A206" t="s">
        <v>50</v>
      </c>
      <c r="B206">
        <v>75</v>
      </c>
    </row>
    <row r="207" spans="1:25" x14ac:dyDescent="0.35">
      <c r="A207" t="s">
        <v>51</v>
      </c>
      <c r="B207">
        <v>123</v>
      </c>
    </row>
    <row r="209" spans="3:6" x14ac:dyDescent="0.35">
      <c r="E209">
        <v>1980</v>
      </c>
      <c r="F209">
        <f>COUNTIF(B3:K200,"#REF!")</f>
        <v>985</v>
      </c>
    </row>
    <row r="211" spans="3:6" x14ac:dyDescent="0.35">
      <c r="F211">
        <f>E209-F209</f>
        <v>995</v>
      </c>
    </row>
    <row r="212" spans="3:6" x14ac:dyDescent="0.35">
      <c r="C212" t="s">
        <v>38</v>
      </c>
      <c r="F212" s="3">
        <f>F211/10</f>
        <v>99.5</v>
      </c>
    </row>
  </sheetData>
  <mergeCells count="2">
    <mergeCell ref="A1:L1"/>
    <mergeCell ref="N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Bar Chart Medians</vt:lpstr>
      <vt:lpstr>GraphsTime</vt:lpstr>
      <vt:lpstr>Bar Graphs Means</vt:lpstr>
      <vt:lpstr>Mobility Curve FF</vt:lpstr>
      <vt:lpstr>Infected NF</vt:lpstr>
      <vt:lpstr>Infected SF</vt:lpstr>
      <vt:lpstr>Infected FF</vt:lpstr>
      <vt:lpstr>Mobility NF</vt:lpstr>
      <vt:lpstr>Mobility SF</vt:lpstr>
      <vt:lpstr>Mobility FF</vt:lpstr>
      <vt:lpstr># Out NF</vt:lpstr>
      <vt:lpstr># Out SF</vt:lpstr>
      <vt:lpstr># Out FF</vt:lpstr>
      <vt:lpstr>New Infections NF</vt:lpstr>
      <vt:lpstr>New Infections SF</vt:lpstr>
      <vt:lpstr>New Infections FF</vt:lpstr>
      <vt:lpstr>DNC4 NF</vt:lpstr>
      <vt:lpstr>DNC4 SF</vt:lpstr>
      <vt:lpstr>DNC4 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</dc:creator>
  <cp:lastModifiedBy>Williams, Ross</cp:lastModifiedBy>
  <dcterms:created xsi:type="dcterms:W3CDTF">2015-06-05T18:17:20Z</dcterms:created>
  <dcterms:modified xsi:type="dcterms:W3CDTF">2025-04-23T19:53:34Z</dcterms:modified>
</cp:coreProperties>
</file>